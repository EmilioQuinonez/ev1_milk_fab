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cmx-my.sharepoint.com/personal/cdorante_tec_mx/Documents/ATec/202613/TI3006C/Project1/"/>
    </mc:Choice>
  </mc:AlternateContent>
  <xr:revisionPtr revIDLastSave="68" documentId="8_{0FB33732-D71F-495F-B85B-A44DC7DAD51F}" xr6:coauthVersionLast="47" xr6:coauthVersionMax="47" xr10:uidLastSave="{F7866EF2-DA44-49F5-9C9C-555EBC0AC13D}"/>
  <bookViews>
    <workbookView xWindow="-120" yWindow="-120" windowWidth="29040" windowHeight="15720" xr2:uid="{EE969C87-FB9F-4AD1-8137-20FBF4E70A70}"/>
  </bookViews>
  <sheets>
    <sheet name="datos" sheetId="5" r:id="rId1"/>
  </sheets>
  <definedNames>
    <definedName name="_xlnm._FilterDatabase" localSheetId="0">datos!$B$1:$O$3297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1" i="5" l="1"/>
  <c r="N3297" i="5"/>
  <c r="L3297" i="5"/>
  <c r="I3297" i="5"/>
  <c r="H3297" i="5"/>
  <c r="G3297" i="5"/>
  <c r="D3297" i="5"/>
  <c r="N3296" i="5"/>
  <c r="L3296" i="5"/>
  <c r="H3296" i="5"/>
  <c r="G3296" i="5"/>
  <c r="I3296" i="5" s="1"/>
  <c r="D3296" i="5"/>
  <c r="N3295" i="5"/>
  <c r="L3295" i="5"/>
  <c r="H3295" i="5"/>
  <c r="G3295" i="5"/>
  <c r="I3295" i="5" s="1"/>
  <c r="D3295" i="5"/>
  <c r="N3294" i="5"/>
  <c r="L3294" i="5"/>
  <c r="I3294" i="5"/>
  <c r="H3294" i="5"/>
  <c r="G3294" i="5"/>
  <c r="D3294" i="5"/>
  <c r="N3293" i="5"/>
  <c r="L3293" i="5"/>
  <c r="I3293" i="5"/>
  <c r="H3293" i="5"/>
  <c r="G3293" i="5"/>
  <c r="D3293" i="5"/>
  <c r="N3292" i="5"/>
  <c r="L3292" i="5"/>
  <c r="H3292" i="5"/>
  <c r="G3292" i="5"/>
  <c r="I3292" i="5" s="1"/>
  <c r="D3292" i="5"/>
  <c r="N3291" i="5"/>
  <c r="L3291" i="5"/>
  <c r="H3291" i="5"/>
  <c r="G3291" i="5"/>
  <c r="I3291" i="5" s="1"/>
  <c r="D3291" i="5"/>
  <c r="N3290" i="5"/>
  <c r="L3290" i="5"/>
  <c r="I3290" i="5"/>
  <c r="H3290" i="5"/>
  <c r="G3290" i="5"/>
  <c r="D3290" i="5"/>
  <c r="N3289" i="5"/>
  <c r="L3289" i="5"/>
  <c r="I3289" i="5"/>
  <c r="H3289" i="5"/>
  <c r="G3289" i="5"/>
  <c r="D3289" i="5"/>
  <c r="N3288" i="5"/>
  <c r="L3288" i="5"/>
  <c r="H3288" i="5"/>
  <c r="G3288" i="5"/>
  <c r="I3288" i="5" s="1"/>
  <c r="D3288" i="5"/>
  <c r="N3287" i="5"/>
  <c r="L3287" i="5"/>
  <c r="H3287" i="5"/>
  <c r="G3287" i="5"/>
  <c r="I3287" i="5" s="1"/>
  <c r="D3287" i="5"/>
  <c r="N3286" i="5"/>
  <c r="L3286" i="5"/>
  <c r="I3286" i="5"/>
  <c r="H3286" i="5"/>
  <c r="G3286" i="5"/>
  <c r="D3286" i="5"/>
  <c r="N3285" i="5"/>
  <c r="L3285" i="5"/>
  <c r="I3285" i="5"/>
  <c r="H3285" i="5"/>
  <c r="G3285" i="5"/>
  <c r="D3285" i="5"/>
  <c r="N3284" i="5"/>
  <c r="L3284" i="5"/>
  <c r="H3284" i="5"/>
  <c r="G3284" i="5"/>
  <c r="I3284" i="5" s="1"/>
  <c r="D3284" i="5"/>
  <c r="N3283" i="5"/>
  <c r="L3283" i="5"/>
  <c r="H3283" i="5"/>
  <c r="G3283" i="5"/>
  <c r="I3283" i="5" s="1"/>
  <c r="D3283" i="5"/>
  <c r="N3282" i="5"/>
  <c r="L3282" i="5"/>
  <c r="I3282" i="5"/>
  <c r="H3282" i="5"/>
  <c r="G3282" i="5"/>
  <c r="D3282" i="5"/>
  <c r="N3281" i="5"/>
  <c r="L3281" i="5"/>
  <c r="I3281" i="5"/>
  <c r="H3281" i="5"/>
  <c r="G3281" i="5"/>
  <c r="D3281" i="5"/>
  <c r="N3280" i="5"/>
  <c r="L3280" i="5"/>
  <c r="H3280" i="5"/>
  <c r="G3280" i="5"/>
  <c r="I3280" i="5" s="1"/>
  <c r="D3280" i="5"/>
  <c r="N3279" i="5"/>
  <c r="L3279" i="5"/>
  <c r="H3279" i="5"/>
  <c r="G3279" i="5"/>
  <c r="I3279" i="5" s="1"/>
  <c r="D3279" i="5"/>
  <c r="N3278" i="5"/>
  <c r="L3278" i="5"/>
  <c r="I3278" i="5"/>
  <c r="H3278" i="5"/>
  <c r="G3278" i="5"/>
  <c r="D3278" i="5"/>
  <c r="N3277" i="5"/>
  <c r="L3277" i="5"/>
  <c r="I3277" i="5"/>
  <c r="H3277" i="5"/>
  <c r="G3277" i="5"/>
  <c r="D3277" i="5"/>
  <c r="N3276" i="5"/>
  <c r="L3276" i="5"/>
  <c r="H3276" i="5"/>
  <c r="G3276" i="5"/>
  <c r="I3276" i="5" s="1"/>
  <c r="D3276" i="5"/>
  <c r="N3275" i="5"/>
  <c r="L3275" i="5"/>
  <c r="H3275" i="5"/>
  <c r="G3275" i="5"/>
  <c r="I3275" i="5" s="1"/>
  <c r="D3275" i="5"/>
  <c r="N3274" i="5"/>
  <c r="L3274" i="5"/>
  <c r="H3274" i="5"/>
  <c r="G3274" i="5"/>
  <c r="I3274" i="5" s="1"/>
  <c r="D3274" i="5"/>
  <c r="N3273" i="5"/>
  <c r="L3273" i="5"/>
  <c r="I3273" i="5"/>
  <c r="H3273" i="5"/>
  <c r="G3273" i="5"/>
  <c r="D3273" i="5"/>
  <c r="N3272" i="5"/>
  <c r="L3272" i="5"/>
  <c r="H3272" i="5"/>
  <c r="G3272" i="5"/>
  <c r="I3272" i="5" s="1"/>
  <c r="D3272" i="5"/>
  <c r="N3271" i="5"/>
  <c r="L3271" i="5"/>
  <c r="H3271" i="5"/>
  <c r="G3271" i="5"/>
  <c r="I3271" i="5" s="1"/>
  <c r="D3271" i="5"/>
  <c r="I3270" i="5"/>
  <c r="H3270" i="5"/>
  <c r="G3270" i="5"/>
  <c r="D3270" i="5"/>
  <c r="N3269" i="5"/>
  <c r="L3269" i="5"/>
  <c r="H3269" i="5"/>
  <c r="G3269" i="5"/>
  <c r="I3269" i="5" s="1"/>
  <c r="D3269" i="5"/>
  <c r="N3268" i="5"/>
  <c r="L3268" i="5"/>
  <c r="H3268" i="5"/>
  <c r="G3268" i="5"/>
  <c r="I3268" i="5" s="1"/>
  <c r="D3268" i="5"/>
  <c r="N3267" i="5"/>
  <c r="L3267" i="5"/>
  <c r="I3267" i="5"/>
  <c r="H3267" i="5"/>
  <c r="G3267" i="5"/>
  <c r="D3267" i="5"/>
  <c r="N3266" i="5"/>
  <c r="L3266" i="5"/>
  <c r="I3266" i="5"/>
  <c r="H3266" i="5"/>
  <c r="G3266" i="5"/>
  <c r="D3266" i="5"/>
  <c r="N3265" i="5"/>
  <c r="L3265" i="5"/>
  <c r="H3265" i="5"/>
  <c r="G3265" i="5"/>
  <c r="I3265" i="5" s="1"/>
  <c r="D3265" i="5"/>
  <c r="N3264" i="5"/>
  <c r="L3264" i="5"/>
  <c r="H3264" i="5"/>
  <c r="G3264" i="5"/>
  <c r="I3264" i="5" s="1"/>
  <c r="D3264" i="5"/>
  <c r="N3263" i="5"/>
  <c r="L3263" i="5"/>
  <c r="H3263" i="5"/>
  <c r="G3263" i="5"/>
  <c r="I3263" i="5" s="1"/>
  <c r="D3263" i="5"/>
  <c r="N3262" i="5"/>
  <c r="L3262" i="5"/>
  <c r="I3262" i="5"/>
  <c r="H3262" i="5"/>
  <c r="G3262" i="5"/>
  <c r="D3262" i="5"/>
  <c r="N3261" i="5"/>
  <c r="L3261" i="5"/>
  <c r="H3261" i="5"/>
  <c r="G3261" i="5"/>
  <c r="I3261" i="5" s="1"/>
  <c r="D3261" i="5"/>
  <c r="N3260" i="5"/>
  <c r="L3260" i="5"/>
  <c r="H3260" i="5"/>
  <c r="G3260" i="5"/>
  <c r="I3260" i="5" s="1"/>
  <c r="D3260" i="5"/>
  <c r="N3259" i="5"/>
  <c r="L3259" i="5"/>
  <c r="H3259" i="5"/>
  <c r="G3259" i="5"/>
  <c r="I3259" i="5" s="1"/>
  <c r="D3259" i="5"/>
  <c r="N3258" i="5"/>
  <c r="L3258" i="5"/>
  <c r="I3258" i="5"/>
  <c r="H3258" i="5"/>
  <c r="G3258" i="5"/>
  <c r="D3258" i="5"/>
  <c r="N3257" i="5"/>
  <c r="L3257" i="5"/>
  <c r="H3257" i="5"/>
  <c r="G3257" i="5"/>
  <c r="I3257" i="5" s="1"/>
  <c r="D3257" i="5"/>
  <c r="N3256" i="5"/>
  <c r="L3256" i="5"/>
  <c r="H3256" i="5"/>
  <c r="G3256" i="5"/>
  <c r="I3256" i="5" s="1"/>
  <c r="D3256" i="5"/>
  <c r="N3255" i="5"/>
  <c r="L3255" i="5"/>
  <c r="H3255" i="5"/>
  <c r="G3255" i="5"/>
  <c r="I3255" i="5" s="1"/>
  <c r="D3255" i="5"/>
  <c r="N3254" i="5"/>
  <c r="L3254" i="5"/>
  <c r="I3254" i="5"/>
  <c r="H3254" i="5"/>
  <c r="G3254" i="5"/>
  <c r="D3254" i="5"/>
  <c r="N3253" i="5"/>
  <c r="L3253" i="5"/>
  <c r="H3253" i="5"/>
  <c r="G3253" i="5"/>
  <c r="I3253" i="5" s="1"/>
  <c r="D3253" i="5"/>
  <c r="N3252" i="5"/>
  <c r="L3252" i="5"/>
  <c r="H3252" i="5"/>
  <c r="G3252" i="5"/>
  <c r="I3252" i="5" s="1"/>
  <c r="D3252" i="5"/>
  <c r="N3251" i="5"/>
  <c r="L3251" i="5"/>
  <c r="H3251" i="5"/>
  <c r="G3251" i="5"/>
  <c r="I3251" i="5" s="1"/>
  <c r="D3251" i="5"/>
  <c r="N3250" i="5"/>
  <c r="L3250" i="5"/>
  <c r="I3250" i="5"/>
  <c r="H3250" i="5"/>
  <c r="G3250" i="5"/>
  <c r="D3250" i="5"/>
  <c r="N3249" i="5"/>
  <c r="L3249" i="5"/>
  <c r="H3249" i="5"/>
  <c r="G3249" i="5"/>
  <c r="I3249" i="5" s="1"/>
  <c r="D3249" i="5"/>
  <c r="N3248" i="5"/>
  <c r="L3248" i="5"/>
  <c r="H3248" i="5"/>
  <c r="G3248" i="5"/>
  <c r="I3248" i="5" s="1"/>
  <c r="D3248" i="5"/>
  <c r="N3247" i="5"/>
  <c r="L3247" i="5"/>
  <c r="H3247" i="5"/>
  <c r="G3247" i="5"/>
  <c r="I3247" i="5" s="1"/>
  <c r="D3247" i="5"/>
  <c r="N3246" i="5"/>
  <c r="L3246" i="5"/>
  <c r="I3246" i="5"/>
  <c r="H3246" i="5"/>
  <c r="G3246" i="5"/>
  <c r="D3246" i="5"/>
  <c r="N3245" i="5"/>
  <c r="L3245" i="5"/>
  <c r="H3245" i="5"/>
  <c r="G3245" i="5"/>
  <c r="I3245" i="5" s="1"/>
  <c r="D3245" i="5"/>
  <c r="N3244" i="5"/>
  <c r="L3244" i="5"/>
  <c r="H3244" i="5"/>
  <c r="G3244" i="5"/>
  <c r="I3244" i="5" s="1"/>
  <c r="D3244" i="5"/>
  <c r="N3243" i="5"/>
  <c r="L3243" i="5"/>
  <c r="H3243" i="5"/>
  <c r="G3243" i="5"/>
  <c r="I3243" i="5" s="1"/>
  <c r="D3243" i="5"/>
  <c r="N3242" i="5"/>
  <c r="L3242" i="5"/>
  <c r="I3242" i="5"/>
  <c r="H3242" i="5"/>
  <c r="G3242" i="5"/>
  <c r="D3242" i="5"/>
  <c r="N3241" i="5"/>
  <c r="L3241" i="5"/>
  <c r="H3241" i="5"/>
  <c r="G3241" i="5"/>
  <c r="I3241" i="5" s="1"/>
  <c r="D3241" i="5"/>
  <c r="N3240" i="5"/>
  <c r="L3240" i="5"/>
  <c r="H3240" i="5"/>
  <c r="G3240" i="5"/>
  <c r="I3240" i="5" s="1"/>
  <c r="D3240" i="5"/>
  <c r="N3239" i="5"/>
  <c r="L3239" i="5"/>
  <c r="H3239" i="5"/>
  <c r="G3239" i="5"/>
  <c r="I3239" i="5" s="1"/>
  <c r="D3239" i="5"/>
  <c r="N3238" i="5"/>
  <c r="L3238" i="5"/>
  <c r="I3238" i="5"/>
  <c r="H3238" i="5"/>
  <c r="G3238" i="5"/>
  <c r="D3238" i="5"/>
  <c r="N3237" i="5"/>
  <c r="L3237" i="5"/>
  <c r="H3237" i="5"/>
  <c r="G3237" i="5"/>
  <c r="I3237" i="5" s="1"/>
  <c r="D3237" i="5"/>
  <c r="N3236" i="5"/>
  <c r="L3236" i="5"/>
  <c r="H3236" i="5"/>
  <c r="G3236" i="5"/>
  <c r="I3236" i="5" s="1"/>
  <c r="D3236" i="5"/>
  <c r="N3235" i="5"/>
  <c r="L3235" i="5"/>
  <c r="H3235" i="5"/>
  <c r="G3235" i="5"/>
  <c r="I3235" i="5" s="1"/>
  <c r="D3235" i="5"/>
  <c r="N3234" i="5"/>
  <c r="L3234" i="5"/>
  <c r="I3234" i="5"/>
  <c r="H3234" i="5"/>
  <c r="G3234" i="5"/>
  <c r="D3234" i="5"/>
  <c r="N3233" i="5"/>
  <c r="L3233" i="5"/>
  <c r="H3233" i="5"/>
  <c r="G3233" i="5"/>
  <c r="I3233" i="5" s="1"/>
  <c r="D3233" i="5"/>
  <c r="N3232" i="5"/>
  <c r="L3232" i="5"/>
  <c r="H3232" i="5"/>
  <c r="G3232" i="5"/>
  <c r="I3232" i="5" s="1"/>
  <c r="D3232" i="5"/>
  <c r="N3231" i="5"/>
  <c r="L3231" i="5"/>
  <c r="H3231" i="5"/>
  <c r="G3231" i="5"/>
  <c r="I3231" i="5" s="1"/>
  <c r="D3231" i="5"/>
  <c r="N3230" i="5"/>
  <c r="L3230" i="5"/>
  <c r="I3230" i="5"/>
  <c r="H3230" i="5"/>
  <c r="G3230" i="5"/>
  <c r="D3230" i="5"/>
  <c r="N3229" i="5"/>
  <c r="L3229" i="5"/>
  <c r="H3229" i="5"/>
  <c r="G3229" i="5"/>
  <c r="I3229" i="5" s="1"/>
  <c r="D3229" i="5"/>
  <c r="N3228" i="5"/>
  <c r="L3228" i="5"/>
  <c r="H3228" i="5"/>
  <c r="G3228" i="5"/>
  <c r="I3228" i="5" s="1"/>
  <c r="D3228" i="5"/>
  <c r="N3227" i="5"/>
  <c r="L3227" i="5"/>
  <c r="H3227" i="5"/>
  <c r="G3227" i="5"/>
  <c r="I3227" i="5" s="1"/>
  <c r="D3227" i="5"/>
  <c r="N3226" i="5"/>
  <c r="L3226" i="5"/>
  <c r="I3226" i="5"/>
  <c r="H3226" i="5"/>
  <c r="G3226" i="5"/>
  <c r="D3226" i="5"/>
  <c r="N3225" i="5"/>
  <c r="L3225" i="5"/>
  <c r="H3225" i="5"/>
  <c r="G3225" i="5"/>
  <c r="I3225" i="5" s="1"/>
  <c r="D3225" i="5"/>
  <c r="N3224" i="5"/>
  <c r="L3224" i="5"/>
  <c r="H3224" i="5"/>
  <c r="G3224" i="5"/>
  <c r="I3224" i="5" s="1"/>
  <c r="D3224" i="5"/>
  <c r="N3223" i="5"/>
  <c r="L3223" i="5"/>
  <c r="H3223" i="5"/>
  <c r="G3223" i="5"/>
  <c r="I3223" i="5" s="1"/>
  <c r="D3223" i="5"/>
  <c r="N3222" i="5"/>
  <c r="L3222" i="5"/>
  <c r="I3222" i="5"/>
  <c r="H3222" i="5"/>
  <c r="G3222" i="5"/>
  <c r="D3222" i="5"/>
  <c r="N3221" i="5"/>
  <c r="L3221" i="5"/>
  <c r="H3221" i="5"/>
  <c r="G3221" i="5"/>
  <c r="I3221" i="5" s="1"/>
  <c r="D3221" i="5"/>
  <c r="N3220" i="5"/>
  <c r="L3220" i="5"/>
  <c r="H3220" i="5"/>
  <c r="G3220" i="5"/>
  <c r="I3220" i="5" s="1"/>
  <c r="D3220" i="5"/>
  <c r="N3219" i="5"/>
  <c r="L3219" i="5"/>
  <c r="H3219" i="5"/>
  <c r="G3219" i="5"/>
  <c r="I3219" i="5" s="1"/>
  <c r="D3219" i="5"/>
  <c r="N3218" i="5"/>
  <c r="L3218" i="5"/>
  <c r="I3218" i="5"/>
  <c r="H3218" i="5"/>
  <c r="G3218" i="5"/>
  <c r="D3218" i="5"/>
  <c r="N3217" i="5"/>
  <c r="L3217" i="5"/>
  <c r="H3217" i="5"/>
  <c r="G3217" i="5"/>
  <c r="I3217" i="5" s="1"/>
  <c r="D3217" i="5"/>
  <c r="N3216" i="5"/>
  <c r="L3216" i="5"/>
  <c r="H3216" i="5"/>
  <c r="G3216" i="5"/>
  <c r="I3216" i="5" s="1"/>
  <c r="D3216" i="5"/>
  <c r="N3215" i="5"/>
  <c r="L3215" i="5"/>
  <c r="H3215" i="5"/>
  <c r="G3215" i="5"/>
  <c r="I3215" i="5" s="1"/>
  <c r="D3215" i="5"/>
  <c r="N3214" i="5"/>
  <c r="L3214" i="5"/>
  <c r="I3214" i="5"/>
  <c r="H3214" i="5"/>
  <c r="G3214" i="5"/>
  <c r="D3214" i="5"/>
  <c r="N3213" i="5"/>
  <c r="L3213" i="5"/>
  <c r="H3213" i="5"/>
  <c r="G3213" i="5"/>
  <c r="I3213" i="5" s="1"/>
  <c r="D3213" i="5"/>
  <c r="N3212" i="5"/>
  <c r="L3212" i="5"/>
  <c r="H3212" i="5"/>
  <c r="G3212" i="5"/>
  <c r="I3212" i="5" s="1"/>
  <c r="D3212" i="5"/>
  <c r="N3211" i="5"/>
  <c r="L3211" i="5"/>
  <c r="H3211" i="5"/>
  <c r="G3211" i="5"/>
  <c r="I3211" i="5" s="1"/>
  <c r="D3211" i="5"/>
  <c r="N3210" i="5"/>
  <c r="L3210" i="5"/>
  <c r="I3210" i="5"/>
  <c r="H3210" i="5"/>
  <c r="G3210" i="5"/>
  <c r="D3210" i="5"/>
  <c r="N3209" i="5"/>
  <c r="L3209" i="5"/>
  <c r="H3209" i="5"/>
  <c r="G3209" i="5"/>
  <c r="I3209" i="5" s="1"/>
  <c r="D3209" i="5"/>
  <c r="N3208" i="5"/>
  <c r="L3208" i="5"/>
  <c r="H3208" i="5"/>
  <c r="G3208" i="5"/>
  <c r="I3208" i="5" s="1"/>
  <c r="D3208" i="5"/>
  <c r="N3207" i="5"/>
  <c r="L3207" i="5"/>
  <c r="H3207" i="5"/>
  <c r="G3207" i="5"/>
  <c r="I3207" i="5" s="1"/>
  <c r="D3207" i="5"/>
  <c r="N3206" i="5"/>
  <c r="L3206" i="5"/>
  <c r="I3206" i="5"/>
  <c r="H3206" i="5"/>
  <c r="G3206" i="5"/>
  <c r="D3206" i="5"/>
  <c r="N3205" i="5"/>
  <c r="L3205" i="5"/>
  <c r="H3205" i="5"/>
  <c r="G3205" i="5"/>
  <c r="I3205" i="5" s="1"/>
  <c r="D3205" i="5"/>
  <c r="N3204" i="5"/>
  <c r="L3204" i="5"/>
  <c r="H3204" i="5"/>
  <c r="G3204" i="5"/>
  <c r="I3204" i="5" s="1"/>
  <c r="D3204" i="5"/>
  <c r="N3203" i="5"/>
  <c r="L3203" i="5"/>
  <c r="H3203" i="5"/>
  <c r="G3203" i="5"/>
  <c r="I3203" i="5" s="1"/>
  <c r="D3203" i="5"/>
  <c r="N3202" i="5"/>
  <c r="L3202" i="5"/>
  <c r="I3202" i="5"/>
  <c r="H3202" i="5"/>
  <c r="G3202" i="5"/>
  <c r="D3202" i="5"/>
  <c r="N3201" i="5"/>
  <c r="L3201" i="5"/>
  <c r="H3201" i="5"/>
  <c r="G3201" i="5"/>
  <c r="I3201" i="5" s="1"/>
  <c r="D3201" i="5"/>
  <c r="N3200" i="5"/>
  <c r="L3200" i="5"/>
  <c r="H3200" i="5"/>
  <c r="G3200" i="5"/>
  <c r="I3200" i="5" s="1"/>
  <c r="D3200" i="5"/>
  <c r="N3199" i="5"/>
  <c r="L3199" i="5"/>
  <c r="H3199" i="5"/>
  <c r="G3199" i="5"/>
  <c r="I3199" i="5" s="1"/>
  <c r="D3199" i="5"/>
  <c r="N3198" i="5"/>
  <c r="L3198" i="5"/>
  <c r="I3198" i="5"/>
  <c r="H3198" i="5"/>
  <c r="G3198" i="5"/>
  <c r="D3198" i="5"/>
  <c r="N3197" i="5"/>
  <c r="L3197" i="5"/>
  <c r="H3197" i="5"/>
  <c r="G3197" i="5"/>
  <c r="I3197" i="5" s="1"/>
  <c r="D3197" i="5"/>
  <c r="N3196" i="5"/>
  <c r="L3196" i="5"/>
  <c r="H3196" i="5"/>
  <c r="G3196" i="5"/>
  <c r="I3196" i="5" s="1"/>
  <c r="D3196" i="5"/>
  <c r="N3195" i="5"/>
  <c r="L3195" i="5"/>
  <c r="H3195" i="5"/>
  <c r="G3195" i="5"/>
  <c r="I3195" i="5" s="1"/>
  <c r="D3195" i="5"/>
  <c r="N3194" i="5"/>
  <c r="L3194" i="5"/>
  <c r="I3194" i="5"/>
  <c r="H3194" i="5"/>
  <c r="G3194" i="5"/>
  <c r="D3194" i="5"/>
  <c r="N3193" i="5"/>
  <c r="L3193" i="5"/>
  <c r="H3193" i="5"/>
  <c r="G3193" i="5"/>
  <c r="I3193" i="5" s="1"/>
  <c r="D3193" i="5"/>
  <c r="N3192" i="5"/>
  <c r="L3192" i="5"/>
  <c r="H3192" i="5"/>
  <c r="G3192" i="5"/>
  <c r="I3192" i="5" s="1"/>
  <c r="D3192" i="5"/>
  <c r="N3191" i="5"/>
  <c r="L3191" i="5"/>
  <c r="H3191" i="5"/>
  <c r="G3191" i="5"/>
  <c r="I3191" i="5" s="1"/>
  <c r="D3191" i="5"/>
  <c r="N3190" i="5"/>
  <c r="L3190" i="5"/>
  <c r="I3190" i="5"/>
  <c r="H3190" i="5"/>
  <c r="G3190" i="5"/>
  <c r="D3190" i="5"/>
  <c r="N3189" i="5"/>
  <c r="L3189" i="5"/>
  <c r="H3189" i="5"/>
  <c r="G3189" i="5"/>
  <c r="I3189" i="5" s="1"/>
  <c r="D3189" i="5"/>
  <c r="N3188" i="5"/>
  <c r="L3188" i="5"/>
  <c r="H3188" i="5"/>
  <c r="G3188" i="5"/>
  <c r="I3188" i="5" s="1"/>
  <c r="D3188" i="5"/>
  <c r="N3187" i="5"/>
  <c r="L3187" i="5"/>
  <c r="H3187" i="5"/>
  <c r="G3187" i="5"/>
  <c r="I3187" i="5" s="1"/>
  <c r="D3187" i="5"/>
  <c r="N3186" i="5"/>
  <c r="L3186" i="5"/>
  <c r="I3186" i="5"/>
  <c r="H3186" i="5"/>
  <c r="G3186" i="5"/>
  <c r="D3186" i="5"/>
  <c r="N3185" i="5"/>
  <c r="L3185" i="5"/>
  <c r="H3185" i="5"/>
  <c r="G3185" i="5"/>
  <c r="I3185" i="5" s="1"/>
  <c r="D3185" i="5"/>
  <c r="N3184" i="5"/>
  <c r="L3184" i="5"/>
  <c r="H3184" i="5"/>
  <c r="G3184" i="5"/>
  <c r="I3184" i="5" s="1"/>
  <c r="D3184" i="5"/>
  <c r="N3183" i="5"/>
  <c r="L3183" i="5"/>
  <c r="H3183" i="5"/>
  <c r="G3183" i="5"/>
  <c r="I3183" i="5" s="1"/>
  <c r="D3183" i="5"/>
  <c r="N3182" i="5"/>
  <c r="L3182" i="5"/>
  <c r="I3182" i="5"/>
  <c r="H3182" i="5"/>
  <c r="G3182" i="5"/>
  <c r="D3182" i="5"/>
  <c r="N3181" i="5"/>
  <c r="L3181" i="5"/>
  <c r="H3181" i="5"/>
  <c r="G3181" i="5"/>
  <c r="I3181" i="5" s="1"/>
  <c r="D3181" i="5"/>
  <c r="N3180" i="5"/>
  <c r="L3180" i="5"/>
  <c r="H3180" i="5"/>
  <c r="G3180" i="5"/>
  <c r="I3180" i="5" s="1"/>
  <c r="D3180" i="5"/>
  <c r="N3179" i="5"/>
  <c r="L3179" i="5"/>
  <c r="H3179" i="5"/>
  <c r="G3179" i="5"/>
  <c r="I3179" i="5" s="1"/>
  <c r="D3179" i="5"/>
  <c r="N3178" i="5"/>
  <c r="L3178" i="5"/>
  <c r="I3178" i="5"/>
  <c r="H3178" i="5"/>
  <c r="G3178" i="5"/>
  <c r="D3178" i="5"/>
  <c r="N3177" i="5"/>
  <c r="L3177" i="5"/>
  <c r="H3177" i="5"/>
  <c r="G3177" i="5"/>
  <c r="I3177" i="5" s="1"/>
  <c r="D3177" i="5"/>
  <c r="N3176" i="5"/>
  <c r="L3176" i="5"/>
  <c r="H3176" i="5"/>
  <c r="G3176" i="5"/>
  <c r="I3176" i="5" s="1"/>
  <c r="D3176" i="5"/>
  <c r="N3175" i="5"/>
  <c r="L3175" i="5"/>
  <c r="H3175" i="5"/>
  <c r="G3175" i="5"/>
  <c r="I3175" i="5" s="1"/>
  <c r="D3175" i="5"/>
  <c r="N3174" i="5"/>
  <c r="L3174" i="5"/>
  <c r="I3174" i="5"/>
  <c r="H3174" i="5"/>
  <c r="G3174" i="5"/>
  <c r="D3174" i="5"/>
  <c r="N3173" i="5"/>
  <c r="L3173" i="5"/>
  <c r="H3173" i="5"/>
  <c r="G3173" i="5"/>
  <c r="I3173" i="5" s="1"/>
  <c r="D3173" i="5"/>
  <c r="N3172" i="5"/>
  <c r="L3172" i="5"/>
  <c r="H3172" i="5"/>
  <c r="G3172" i="5"/>
  <c r="I3172" i="5" s="1"/>
  <c r="D3172" i="5"/>
  <c r="N3171" i="5"/>
  <c r="L3171" i="5"/>
  <c r="H3171" i="5"/>
  <c r="G3171" i="5"/>
  <c r="I3171" i="5" s="1"/>
  <c r="D3171" i="5"/>
  <c r="N3170" i="5"/>
  <c r="L3170" i="5"/>
  <c r="I3170" i="5"/>
  <c r="H3170" i="5"/>
  <c r="G3170" i="5"/>
  <c r="D3170" i="5"/>
  <c r="N3169" i="5"/>
  <c r="L3169" i="5"/>
  <c r="H3169" i="5"/>
  <c r="G3169" i="5"/>
  <c r="I3169" i="5" s="1"/>
  <c r="D3169" i="5"/>
  <c r="N3168" i="5"/>
  <c r="L3168" i="5"/>
  <c r="H3168" i="5"/>
  <c r="G3168" i="5"/>
  <c r="I3168" i="5" s="1"/>
  <c r="D3168" i="5"/>
  <c r="N3167" i="5"/>
  <c r="L3167" i="5"/>
  <c r="H3167" i="5"/>
  <c r="G3167" i="5"/>
  <c r="I3167" i="5" s="1"/>
  <c r="D3167" i="5"/>
  <c r="N3166" i="5"/>
  <c r="L3166" i="5"/>
  <c r="I3166" i="5"/>
  <c r="H3166" i="5"/>
  <c r="G3166" i="5"/>
  <c r="D3166" i="5"/>
  <c r="N3165" i="5"/>
  <c r="L3165" i="5"/>
  <c r="H3165" i="5"/>
  <c r="G3165" i="5"/>
  <c r="I3165" i="5" s="1"/>
  <c r="D3165" i="5"/>
  <c r="N3164" i="5"/>
  <c r="L3164" i="5"/>
  <c r="H3164" i="5"/>
  <c r="G3164" i="5"/>
  <c r="I3164" i="5" s="1"/>
  <c r="D3164" i="5"/>
  <c r="N3163" i="5"/>
  <c r="L3163" i="5"/>
  <c r="H3163" i="5"/>
  <c r="G3163" i="5"/>
  <c r="I3163" i="5" s="1"/>
  <c r="D3163" i="5"/>
  <c r="N3162" i="5"/>
  <c r="L3162" i="5"/>
  <c r="I3162" i="5"/>
  <c r="H3162" i="5"/>
  <c r="G3162" i="5"/>
  <c r="D3162" i="5"/>
  <c r="N3161" i="5"/>
  <c r="L3161" i="5"/>
  <c r="H3161" i="5"/>
  <c r="G3161" i="5"/>
  <c r="I3161" i="5" s="1"/>
  <c r="D3161" i="5"/>
  <c r="N3160" i="5"/>
  <c r="L3160" i="5"/>
  <c r="H3160" i="5"/>
  <c r="G3160" i="5"/>
  <c r="I3160" i="5" s="1"/>
  <c r="D3160" i="5"/>
  <c r="N3159" i="5"/>
  <c r="L3159" i="5"/>
  <c r="H3159" i="5"/>
  <c r="G3159" i="5"/>
  <c r="I3159" i="5" s="1"/>
  <c r="D3159" i="5"/>
  <c r="N3158" i="5"/>
  <c r="L3158" i="5"/>
  <c r="I3158" i="5"/>
  <c r="H3158" i="5"/>
  <c r="G3158" i="5"/>
  <c r="D3158" i="5"/>
  <c r="N3157" i="5"/>
  <c r="L3157" i="5"/>
  <c r="H3157" i="5"/>
  <c r="G3157" i="5"/>
  <c r="I3157" i="5" s="1"/>
  <c r="D3157" i="5"/>
  <c r="N3156" i="5"/>
  <c r="L3156" i="5"/>
  <c r="H3156" i="5"/>
  <c r="G3156" i="5"/>
  <c r="I3156" i="5" s="1"/>
  <c r="D3156" i="5"/>
  <c r="N3155" i="5"/>
  <c r="L3155" i="5"/>
  <c r="H3155" i="5"/>
  <c r="G3155" i="5"/>
  <c r="I3155" i="5" s="1"/>
  <c r="D3155" i="5"/>
  <c r="N3154" i="5"/>
  <c r="L3154" i="5"/>
  <c r="I3154" i="5"/>
  <c r="H3154" i="5"/>
  <c r="G3154" i="5"/>
  <c r="D3154" i="5"/>
  <c r="N3153" i="5"/>
  <c r="L3153" i="5"/>
  <c r="H3153" i="5"/>
  <c r="G3153" i="5"/>
  <c r="I3153" i="5" s="1"/>
  <c r="D3153" i="5"/>
  <c r="N3152" i="5"/>
  <c r="L3152" i="5"/>
  <c r="H3152" i="5"/>
  <c r="G3152" i="5"/>
  <c r="I3152" i="5" s="1"/>
  <c r="D3152" i="5"/>
  <c r="N3151" i="5"/>
  <c r="L3151" i="5"/>
  <c r="H3151" i="5"/>
  <c r="G3151" i="5"/>
  <c r="I3151" i="5" s="1"/>
  <c r="D3151" i="5"/>
  <c r="N3150" i="5"/>
  <c r="L3150" i="5"/>
  <c r="I3150" i="5"/>
  <c r="H3150" i="5"/>
  <c r="G3150" i="5"/>
  <c r="D3150" i="5"/>
  <c r="N3149" i="5"/>
  <c r="L3149" i="5"/>
  <c r="H3149" i="5"/>
  <c r="G3149" i="5"/>
  <c r="I3149" i="5" s="1"/>
  <c r="D3149" i="5"/>
  <c r="N3148" i="5"/>
  <c r="L3148" i="5"/>
  <c r="H3148" i="5"/>
  <c r="G3148" i="5"/>
  <c r="I3148" i="5" s="1"/>
  <c r="D3148" i="5"/>
  <c r="N3147" i="5"/>
  <c r="L3147" i="5"/>
  <c r="H3147" i="5"/>
  <c r="G3147" i="5"/>
  <c r="I3147" i="5" s="1"/>
  <c r="D3147" i="5"/>
  <c r="N3146" i="5"/>
  <c r="L3146" i="5"/>
  <c r="I3146" i="5"/>
  <c r="H3146" i="5"/>
  <c r="G3146" i="5"/>
  <c r="D3146" i="5"/>
  <c r="N3145" i="5"/>
  <c r="L3145" i="5"/>
  <c r="H3145" i="5"/>
  <c r="G3145" i="5"/>
  <c r="I3145" i="5" s="1"/>
  <c r="D3145" i="5"/>
  <c r="N3144" i="5"/>
  <c r="L3144" i="5"/>
  <c r="H3144" i="5"/>
  <c r="G3144" i="5"/>
  <c r="I3144" i="5" s="1"/>
  <c r="D3144" i="5"/>
  <c r="N3143" i="5"/>
  <c r="L3143" i="5"/>
  <c r="H3143" i="5"/>
  <c r="G3143" i="5"/>
  <c r="I3143" i="5" s="1"/>
  <c r="D3143" i="5"/>
  <c r="N3142" i="5"/>
  <c r="L3142" i="5"/>
  <c r="I3142" i="5"/>
  <c r="H3142" i="5"/>
  <c r="G3142" i="5"/>
  <c r="D3142" i="5"/>
  <c r="N3141" i="5"/>
  <c r="L3141" i="5"/>
  <c r="H3141" i="5"/>
  <c r="G3141" i="5"/>
  <c r="I3141" i="5" s="1"/>
  <c r="D3141" i="5"/>
  <c r="N3140" i="5"/>
  <c r="L3140" i="5"/>
  <c r="H3140" i="5"/>
  <c r="G3140" i="5"/>
  <c r="I3140" i="5" s="1"/>
  <c r="D3140" i="5"/>
  <c r="N3139" i="5"/>
  <c r="L3139" i="5"/>
  <c r="H3139" i="5"/>
  <c r="G3139" i="5"/>
  <c r="I3139" i="5" s="1"/>
  <c r="D3139" i="5"/>
  <c r="N3138" i="5"/>
  <c r="L3138" i="5"/>
  <c r="I3138" i="5"/>
  <c r="H3138" i="5"/>
  <c r="G3138" i="5"/>
  <c r="D3138" i="5"/>
  <c r="N3137" i="5"/>
  <c r="L3137" i="5"/>
  <c r="H3137" i="5"/>
  <c r="G3137" i="5"/>
  <c r="I3137" i="5" s="1"/>
  <c r="D3137" i="5"/>
  <c r="N3136" i="5"/>
  <c r="L3136" i="5"/>
  <c r="H3136" i="5"/>
  <c r="G3136" i="5"/>
  <c r="I3136" i="5" s="1"/>
  <c r="D3136" i="5"/>
  <c r="N3135" i="5"/>
  <c r="L3135" i="5"/>
  <c r="H3135" i="5"/>
  <c r="G3135" i="5"/>
  <c r="I3135" i="5" s="1"/>
  <c r="D3135" i="5"/>
  <c r="N3134" i="5"/>
  <c r="L3134" i="5"/>
  <c r="I3134" i="5"/>
  <c r="H3134" i="5"/>
  <c r="G3134" i="5"/>
  <c r="D3134" i="5"/>
  <c r="N3133" i="5"/>
  <c r="L3133" i="5"/>
  <c r="H3133" i="5"/>
  <c r="G3133" i="5"/>
  <c r="I3133" i="5" s="1"/>
  <c r="D3133" i="5"/>
  <c r="N3132" i="5"/>
  <c r="L3132" i="5"/>
  <c r="H3132" i="5"/>
  <c r="G3132" i="5"/>
  <c r="I3132" i="5" s="1"/>
  <c r="D3132" i="5"/>
  <c r="N3131" i="5"/>
  <c r="L3131" i="5"/>
  <c r="H3131" i="5"/>
  <c r="G3131" i="5"/>
  <c r="I3131" i="5" s="1"/>
  <c r="D3131" i="5"/>
  <c r="N3130" i="5"/>
  <c r="L3130" i="5"/>
  <c r="I3130" i="5"/>
  <c r="H3130" i="5"/>
  <c r="G3130" i="5"/>
  <c r="D3130" i="5"/>
  <c r="N3129" i="5"/>
  <c r="L3129" i="5"/>
  <c r="H3129" i="5"/>
  <c r="G3129" i="5"/>
  <c r="I3129" i="5" s="1"/>
  <c r="D3129" i="5"/>
  <c r="N3128" i="5"/>
  <c r="L3128" i="5"/>
  <c r="H3128" i="5"/>
  <c r="G3128" i="5"/>
  <c r="I3128" i="5" s="1"/>
  <c r="D3128" i="5"/>
  <c r="N3127" i="5"/>
  <c r="L3127" i="5"/>
  <c r="H3127" i="5"/>
  <c r="G3127" i="5"/>
  <c r="I3127" i="5" s="1"/>
  <c r="D3127" i="5"/>
  <c r="N3126" i="5"/>
  <c r="L3126" i="5"/>
  <c r="I3126" i="5"/>
  <c r="H3126" i="5"/>
  <c r="G3126" i="5"/>
  <c r="D3126" i="5"/>
  <c r="N3125" i="5"/>
  <c r="L3125" i="5"/>
  <c r="H3125" i="5"/>
  <c r="G3125" i="5"/>
  <c r="I3125" i="5" s="1"/>
  <c r="D3125" i="5"/>
  <c r="N3124" i="5"/>
  <c r="L3124" i="5"/>
  <c r="H3124" i="5"/>
  <c r="G3124" i="5"/>
  <c r="I3124" i="5" s="1"/>
  <c r="D3124" i="5"/>
  <c r="N3123" i="5"/>
  <c r="L3123" i="5"/>
  <c r="H3123" i="5"/>
  <c r="G3123" i="5"/>
  <c r="I3123" i="5" s="1"/>
  <c r="D3123" i="5"/>
  <c r="N3122" i="5"/>
  <c r="L3122" i="5"/>
  <c r="I3122" i="5"/>
  <c r="H3122" i="5"/>
  <c r="G3122" i="5"/>
  <c r="D3122" i="5"/>
  <c r="N3121" i="5"/>
  <c r="L3121" i="5"/>
  <c r="H3121" i="5"/>
  <c r="G3121" i="5"/>
  <c r="I3121" i="5" s="1"/>
  <c r="D3121" i="5"/>
  <c r="N3120" i="5"/>
  <c r="L3120" i="5"/>
  <c r="H3120" i="5"/>
  <c r="G3120" i="5"/>
  <c r="I3120" i="5" s="1"/>
  <c r="D3120" i="5"/>
  <c r="N3119" i="5"/>
  <c r="L3119" i="5"/>
  <c r="H3119" i="5"/>
  <c r="G3119" i="5"/>
  <c r="I3119" i="5" s="1"/>
  <c r="D3119" i="5"/>
  <c r="N3118" i="5"/>
  <c r="L3118" i="5"/>
  <c r="I3118" i="5"/>
  <c r="H3118" i="5"/>
  <c r="G3118" i="5"/>
  <c r="D3118" i="5"/>
  <c r="N3117" i="5"/>
  <c r="L3117" i="5"/>
  <c r="H3117" i="5"/>
  <c r="G3117" i="5"/>
  <c r="I3117" i="5" s="1"/>
  <c r="D3117" i="5"/>
  <c r="N3116" i="5"/>
  <c r="L3116" i="5"/>
  <c r="H3116" i="5"/>
  <c r="G3116" i="5"/>
  <c r="I3116" i="5" s="1"/>
  <c r="D3116" i="5"/>
  <c r="N3115" i="5"/>
  <c r="L3115" i="5"/>
  <c r="H3115" i="5"/>
  <c r="G3115" i="5"/>
  <c r="I3115" i="5" s="1"/>
  <c r="D3115" i="5"/>
  <c r="N3114" i="5"/>
  <c r="L3114" i="5"/>
  <c r="I3114" i="5"/>
  <c r="H3114" i="5"/>
  <c r="G3114" i="5"/>
  <c r="D3114" i="5"/>
  <c r="N3113" i="5"/>
  <c r="L3113" i="5"/>
  <c r="H3113" i="5"/>
  <c r="G3113" i="5"/>
  <c r="I3113" i="5" s="1"/>
  <c r="D3113" i="5"/>
  <c r="N3112" i="5"/>
  <c r="L3112" i="5"/>
  <c r="H3112" i="5"/>
  <c r="G3112" i="5"/>
  <c r="I3112" i="5" s="1"/>
  <c r="D3112" i="5"/>
  <c r="N3111" i="5"/>
  <c r="L3111" i="5"/>
  <c r="H3111" i="5"/>
  <c r="G3111" i="5"/>
  <c r="I3111" i="5" s="1"/>
  <c r="D3111" i="5"/>
  <c r="N3110" i="5"/>
  <c r="L3110" i="5"/>
  <c r="I3110" i="5"/>
  <c r="H3110" i="5"/>
  <c r="G3110" i="5"/>
  <c r="D3110" i="5"/>
  <c r="N3109" i="5"/>
  <c r="L3109" i="5"/>
  <c r="H3109" i="5"/>
  <c r="G3109" i="5"/>
  <c r="I3109" i="5" s="1"/>
  <c r="D3109" i="5"/>
  <c r="N3108" i="5"/>
  <c r="L3108" i="5"/>
  <c r="H3108" i="5"/>
  <c r="G3108" i="5"/>
  <c r="I3108" i="5" s="1"/>
  <c r="D3108" i="5"/>
  <c r="N3107" i="5"/>
  <c r="L3107" i="5"/>
  <c r="H3107" i="5"/>
  <c r="G3107" i="5"/>
  <c r="I3107" i="5" s="1"/>
  <c r="D3107" i="5"/>
  <c r="N3106" i="5"/>
  <c r="L3106" i="5"/>
  <c r="I3106" i="5"/>
  <c r="H3106" i="5"/>
  <c r="G3106" i="5"/>
  <c r="D3106" i="5"/>
  <c r="N3105" i="5"/>
  <c r="L3105" i="5"/>
  <c r="H3105" i="5"/>
  <c r="G3105" i="5"/>
  <c r="I3105" i="5" s="1"/>
  <c r="D3105" i="5"/>
  <c r="N3104" i="5"/>
  <c r="L3104" i="5"/>
  <c r="H3104" i="5"/>
  <c r="G3104" i="5"/>
  <c r="I3104" i="5" s="1"/>
  <c r="D3104" i="5"/>
  <c r="N3103" i="5"/>
  <c r="L3103" i="5"/>
  <c r="H3103" i="5"/>
  <c r="G3103" i="5"/>
  <c r="I3103" i="5" s="1"/>
  <c r="D3103" i="5"/>
  <c r="N3102" i="5"/>
  <c r="L3102" i="5"/>
  <c r="I3102" i="5"/>
  <c r="H3102" i="5"/>
  <c r="G3102" i="5"/>
  <c r="D3102" i="5"/>
  <c r="N3101" i="5"/>
  <c r="L3101" i="5"/>
  <c r="H3101" i="5"/>
  <c r="G3101" i="5"/>
  <c r="I3101" i="5" s="1"/>
  <c r="D3101" i="5"/>
  <c r="N3100" i="5"/>
  <c r="L3100" i="5"/>
  <c r="H3100" i="5"/>
  <c r="G3100" i="5"/>
  <c r="I3100" i="5" s="1"/>
  <c r="D3100" i="5"/>
  <c r="N3099" i="5"/>
  <c r="L3099" i="5"/>
  <c r="H3099" i="5"/>
  <c r="G3099" i="5"/>
  <c r="I3099" i="5" s="1"/>
  <c r="D3099" i="5"/>
  <c r="N3098" i="5"/>
  <c r="L3098" i="5"/>
  <c r="I3098" i="5"/>
  <c r="H3098" i="5"/>
  <c r="G3098" i="5"/>
  <c r="D3098" i="5"/>
  <c r="N3097" i="5"/>
  <c r="L3097" i="5"/>
  <c r="H3097" i="5"/>
  <c r="G3097" i="5"/>
  <c r="I3097" i="5" s="1"/>
  <c r="D3097" i="5"/>
  <c r="N3096" i="5"/>
  <c r="L3096" i="5"/>
  <c r="H3096" i="5"/>
  <c r="G3096" i="5"/>
  <c r="I3096" i="5" s="1"/>
  <c r="D3096" i="5"/>
  <c r="N3095" i="5"/>
  <c r="L3095" i="5"/>
  <c r="H3095" i="5"/>
  <c r="G3095" i="5"/>
  <c r="I3095" i="5" s="1"/>
  <c r="D3095" i="5"/>
  <c r="N3094" i="5"/>
  <c r="L3094" i="5"/>
  <c r="I3094" i="5"/>
  <c r="H3094" i="5"/>
  <c r="G3094" i="5"/>
  <c r="D3094" i="5"/>
  <c r="N3093" i="5"/>
  <c r="L3093" i="5"/>
  <c r="H3093" i="5"/>
  <c r="G3093" i="5"/>
  <c r="I3093" i="5" s="1"/>
  <c r="D3093" i="5"/>
  <c r="N3092" i="5"/>
  <c r="L3092" i="5"/>
  <c r="H3092" i="5"/>
  <c r="G3092" i="5"/>
  <c r="I3092" i="5" s="1"/>
  <c r="D3092" i="5"/>
  <c r="N3091" i="5"/>
  <c r="L3091" i="5"/>
  <c r="H3091" i="5"/>
  <c r="G3091" i="5"/>
  <c r="I3091" i="5" s="1"/>
  <c r="D3091" i="5"/>
  <c r="N3090" i="5"/>
  <c r="L3090" i="5"/>
  <c r="I3090" i="5"/>
  <c r="H3090" i="5"/>
  <c r="G3090" i="5"/>
  <c r="D3090" i="5"/>
  <c r="N3089" i="5"/>
  <c r="L3089" i="5"/>
  <c r="H3089" i="5"/>
  <c r="G3089" i="5"/>
  <c r="I3089" i="5" s="1"/>
  <c r="D3089" i="5"/>
  <c r="N3088" i="5"/>
  <c r="L3088" i="5"/>
  <c r="H3088" i="5"/>
  <c r="G3088" i="5"/>
  <c r="I3088" i="5" s="1"/>
  <c r="D3088" i="5"/>
  <c r="N3087" i="5"/>
  <c r="L3087" i="5"/>
  <c r="H3087" i="5"/>
  <c r="G3087" i="5"/>
  <c r="I3087" i="5" s="1"/>
  <c r="D3087" i="5"/>
  <c r="N3086" i="5"/>
  <c r="L3086" i="5"/>
  <c r="I3086" i="5"/>
  <c r="H3086" i="5"/>
  <c r="G3086" i="5"/>
  <c r="D3086" i="5"/>
  <c r="N3085" i="5"/>
  <c r="L3085" i="5"/>
  <c r="H3085" i="5"/>
  <c r="G3085" i="5"/>
  <c r="I3085" i="5" s="1"/>
  <c r="D3085" i="5"/>
  <c r="N3084" i="5"/>
  <c r="L3084" i="5"/>
  <c r="H3084" i="5"/>
  <c r="G3084" i="5"/>
  <c r="I3084" i="5" s="1"/>
  <c r="D3084" i="5"/>
  <c r="N3083" i="5"/>
  <c r="L3083" i="5"/>
  <c r="H3083" i="5"/>
  <c r="G3083" i="5"/>
  <c r="I3083" i="5" s="1"/>
  <c r="D3083" i="5"/>
  <c r="N3082" i="5"/>
  <c r="L3082" i="5"/>
  <c r="I3082" i="5"/>
  <c r="H3082" i="5"/>
  <c r="G3082" i="5"/>
  <c r="D3082" i="5"/>
  <c r="N3081" i="5"/>
  <c r="L3081" i="5"/>
  <c r="H3081" i="5"/>
  <c r="G3081" i="5"/>
  <c r="I3081" i="5" s="1"/>
  <c r="D3081" i="5"/>
  <c r="N3080" i="5"/>
  <c r="L3080" i="5"/>
  <c r="H3080" i="5"/>
  <c r="G3080" i="5"/>
  <c r="I3080" i="5" s="1"/>
  <c r="D3080" i="5"/>
  <c r="N3079" i="5"/>
  <c r="L3079" i="5"/>
  <c r="H3079" i="5"/>
  <c r="G3079" i="5"/>
  <c r="I3079" i="5" s="1"/>
  <c r="D3079" i="5"/>
  <c r="N3078" i="5"/>
  <c r="L3078" i="5"/>
  <c r="I3078" i="5"/>
  <c r="H3078" i="5"/>
  <c r="G3078" i="5"/>
  <c r="D3078" i="5"/>
  <c r="N3077" i="5"/>
  <c r="L3077" i="5"/>
  <c r="H3077" i="5"/>
  <c r="G3077" i="5"/>
  <c r="I3077" i="5" s="1"/>
  <c r="D3077" i="5"/>
  <c r="N3076" i="5"/>
  <c r="L3076" i="5"/>
  <c r="H3076" i="5"/>
  <c r="G3076" i="5"/>
  <c r="I3076" i="5" s="1"/>
  <c r="D3076" i="5"/>
  <c r="N3075" i="5"/>
  <c r="L3075" i="5"/>
  <c r="H3075" i="5"/>
  <c r="G3075" i="5"/>
  <c r="I3075" i="5" s="1"/>
  <c r="D3075" i="5"/>
  <c r="N3074" i="5"/>
  <c r="L3074" i="5"/>
  <c r="I3074" i="5"/>
  <c r="H3074" i="5"/>
  <c r="G3074" i="5"/>
  <c r="D3074" i="5"/>
  <c r="N3073" i="5"/>
  <c r="L3073" i="5"/>
  <c r="H3073" i="5"/>
  <c r="G3073" i="5"/>
  <c r="I3073" i="5" s="1"/>
  <c r="D3073" i="5"/>
  <c r="N3072" i="5"/>
  <c r="L3072" i="5"/>
  <c r="H3072" i="5"/>
  <c r="G3072" i="5"/>
  <c r="I3072" i="5" s="1"/>
  <c r="D3072" i="5"/>
  <c r="N3071" i="5"/>
  <c r="L3071" i="5"/>
  <c r="H3071" i="5"/>
  <c r="G3071" i="5"/>
  <c r="I3071" i="5" s="1"/>
  <c r="D3071" i="5"/>
  <c r="N3070" i="5"/>
  <c r="L3070" i="5"/>
  <c r="I3070" i="5"/>
  <c r="H3070" i="5"/>
  <c r="G3070" i="5"/>
  <c r="D3070" i="5"/>
  <c r="N3069" i="5"/>
  <c r="L3069" i="5"/>
  <c r="H3069" i="5"/>
  <c r="G3069" i="5"/>
  <c r="I3069" i="5" s="1"/>
  <c r="D3069" i="5"/>
  <c r="N3068" i="5"/>
  <c r="L3068" i="5"/>
  <c r="H3068" i="5"/>
  <c r="G3068" i="5"/>
  <c r="I3068" i="5" s="1"/>
  <c r="D3068" i="5"/>
  <c r="N3067" i="5"/>
  <c r="L3067" i="5"/>
  <c r="H3067" i="5"/>
  <c r="G3067" i="5"/>
  <c r="I3067" i="5" s="1"/>
  <c r="D3067" i="5"/>
  <c r="N3066" i="5"/>
  <c r="L3066" i="5"/>
  <c r="I3066" i="5"/>
  <c r="H3066" i="5"/>
  <c r="G3066" i="5"/>
  <c r="D3066" i="5"/>
  <c r="N3065" i="5"/>
  <c r="L3065" i="5"/>
  <c r="H3065" i="5"/>
  <c r="G3065" i="5"/>
  <c r="I3065" i="5" s="1"/>
  <c r="D3065" i="5"/>
  <c r="N3064" i="5"/>
  <c r="L3064" i="5"/>
  <c r="H3064" i="5"/>
  <c r="G3064" i="5"/>
  <c r="I3064" i="5" s="1"/>
  <c r="D3064" i="5"/>
  <c r="N3063" i="5"/>
  <c r="L3063" i="5"/>
  <c r="H3063" i="5"/>
  <c r="G3063" i="5"/>
  <c r="I3063" i="5" s="1"/>
  <c r="D3063" i="5"/>
  <c r="N3062" i="5"/>
  <c r="L3062" i="5"/>
  <c r="I3062" i="5"/>
  <c r="H3062" i="5"/>
  <c r="G3062" i="5"/>
  <c r="D3062" i="5"/>
  <c r="N3061" i="5"/>
  <c r="L3061" i="5"/>
  <c r="H3061" i="5"/>
  <c r="G3061" i="5"/>
  <c r="I3061" i="5" s="1"/>
  <c r="D3061" i="5"/>
  <c r="N3060" i="5"/>
  <c r="L3060" i="5"/>
  <c r="H3060" i="5"/>
  <c r="G3060" i="5"/>
  <c r="I3060" i="5" s="1"/>
  <c r="D3060" i="5"/>
  <c r="N3059" i="5"/>
  <c r="L3059" i="5"/>
  <c r="H3059" i="5"/>
  <c r="G3059" i="5"/>
  <c r="I3059" i="5" s="1"/>
  <c r="D3059" i="5"/>
  <c r="N3058" i="5"/>
  <c r="L3058" i="5"/>
  <c r="I3058" i="5"/>
  <c r="H3058" i="5"/>
  <c r="G3058" i="5"/>
  <c r="D3058" i="5"/>
  <c r="N3057" i="5"/>
  <c r="L3057" i="5"/>
  <c r="H3057" i="5"/>
  <c r="G3057" i="5"/>
  <c r="I3057" i="5" s="1"/>
  <c r="D3057" i="5"/>
  <c r="N3056" i="5"/>
  <c r="L3056" i="5"/>
  <c r="H3056" i="5"/>
  <c r="G3056" i="5"/>
  <c r="I3056" i="5" s="1"/>
  <c r="D3056" i="5"/>
  <c r="N3055" i="5"/>
  <c r="L3055" i="5"/>
  <c r="H3055" i="5"/>
  <c r="G3055" i="5"/>
  <c r="I3055" i="5" s="1"/>
  <c r="D3055" i="5"/>
  <c r="N3054" i="5"/>
  <c r="L3054" i="5"/>
  <c r="I3054" i="5"/>
  <c r="H3054" i="5"/>
  <c r="G3054" i="5"/>
  <c r="D3054" i="5"/>
  <c r="N3053" i="5"/>
  <c r="L3053" i="5"/>
  <c r="H3053" i="5"/>
  <c r="G3053" i="5"/>
  <c r="I3053" i="5" s="1"/>
  <c r="D3053" i="5"/>
  <c r="N3052" i="5"/>
  <c r="L3052" i="5"/>
  <c r="H3052" i="5"/>
  <c r="G3052" i="5"/>
  <c r="I3052" i="5" s="1"/>
  <c r="D3052" i="5"/>
  <c r="N3051" i="5"/>
  <c r="L3051" i="5"/>
  <c r="H3051" i="5"/>
  <c r="G3051" i="5"/>
  <c r="I3051" i="5" s="1"/>
  <c r="D3051" i="5"/>
  <c r="N3050" i="5"/>
  <c r="L3050" i="5"/>
  <c r="I3050" i="5"/>
  <c r="H3050" i="5"/>
  <c r="G3050" i="5"/>
  <c r="D3050" i="5"/>
  <c r="N3049" i="5"/>
  <c r="L3049" i="5"/>
  <c r="H3049" i="5"/>
  <c r="G3049" i="5"/>
  <c r="I3049" i="5" s="1"/>
  <c r="D3049" i="5"/>
  <c r="N3048" i="5"/>
  <c r="L3048" i="5"/>
  <c r="H3048" i="5"/>
  <c r="G3048" i="5"/>
  <c r="I3048" i="5" s="1"/>
  <c r="D3048" i="5"/>
  <c r="N3047" i="5"/>
  <c r="L3047" i="5"/>
  <c r="H3047" i="5"/>
  <c r="G3047" i="5"/>
  <c r="I3047" i="5" s="1"/>
  <c r="D3047" i="5"/>
  <c r="N3046" i="5"/>
  <c r="L3046" i="5"/>
  <c r="I3046" i="5"/>
  <c r="H3046" i="5"/>
  <c r="G3046" i="5"/>
  <c r="D3046" i="5"/>
  <c r="N3045" i="5"/>
  <c r="L3045" i="5"/>
  <c r="H3045" i="5"/>
  <c r="G3045" i="5"/>
  <c r="I3045" i="5" s="1"/>
  <c r="D3045" i="5"/>
  <c r="N3044" i="5"/>
  <c r="L3044" i="5"/>
  <c r="H3044" i="5"/>
  <c r="G3044" i="5"/>
  <c r="I3044" i="5" s="1"/>
  <c r="D3044" i="5"/>
  <c r="N3043" i="5"/>
  <c r="L3043" i="5"/>
  <c r="H3043" i="5"/>
  <c r="G3043" i="5"/>
  <c r="I3043" i="5" s="1"/>
  <c r="D3043" i="5"/>
  <c r="N3042" i="5"/>
  <c r="L3042" i="5"/>
  <c r="I3042" i="5"/>
  <c r="H3042" i="5"/>
  <c r="G3042" i="5"/>
  <c r="D3042" i="5"/>
  <c r="N3041" i="5"/>
  <c r="L3041" i="5"/>
  <c r="H3041" i="5"/>
  <c r="G3041" i="5"/>
  <c r="I3041" i="5" s="1"/>
  <c r="D3041" i="5"/>
  <c r="N3040" i="5"/>
  <c r="L3040" i="5"/>
  <c r="H3040" i="5"/>
  <c r="G3040" i="5"/>
  <c r="I3040" i="5" s="1"/>
  <c r="D3040" i="5"/>
  <c r="N3039" i="5"/>
  <c r="L3039" i="5"/>
  <c r="H3039" i="5"/>
  <c r="G3039" i="5"/>
  <c r="I3039" i="5" s="1"/>
  <c r="D3039" i="5"/>
  <c r="N3038" i="5"/>
  <c r="L3038" i="5"/>
  <c r="I3038" i="5"/>
  <c r="H3038" i="5"/>
  <c r="G3038" i="5"/>
  <c r="D3038" i="5"/>
  <c r="N3037" i="5"/>
  <c r="L3037" i="5"/>
  <c r="H3037" i="5"/>
  <c r="G3037" i="5"/>
  <c r="I3037" i="5" s="1"/>
  <c r="D3037" i="5"/>
  <c r="N3036" i="5"/>
  <c r="L3036" i="5"/>
  <c r="H3036" i="5"/>
  <c r="G3036" i="5"/>
  <c r="I3036" i="5" s="1"/>
  <c r="D3036" i="5"/>
  <c r="N3035" i="5"/>
  <c r="L3035" i="5"/>
  <c r="H3035" i="5"/>
  <c r="G3035" i="5"/>
  <c r="I3035" i="5" s="1"/>
  <c r="D3035" i="5"/>
  <c r="N3034" i="5"/>
  <c r="L3034" i="5"/>
  <c r="I3034" i="5"/>
  <c r="H3034" i="5"/>
  <c r="G3034" i="5"/>
  <c r="D3034" i="5"/>
  <c r="N3033" i="5"/>
  <c r="L3033" i="5"/>
  <c r="H3033" i="5"/>
  <c r="G3033" i="5"/>
  <c r="I3033" i="5" s="1"/>
  <c r="D3033" i="5"/>
  <c r="N3032" i="5"/>
  <c r="L3032" i="5"/>
  <c r="H3032" i="5"/>
  <c r="G3032" i="5"/>
  <c r="I3032" i="5" s="1"/>
  <c r="D3032" i="5"/>
  <c r="N3031" i="5"/>
  <c r="L3031" i="5"/>
  <c r="H3031" i="5"/>
  <c r="G3031" i="5"/>
  <c r="I3031" i="5" s="1"/>
  <c r="D3031" i="5"/>
  <c r="N3030" i="5"/>
  <c r="L3030" i="5"/>
  <c r="I3030" i="5"/>
  <c r="H3030" i="5"/>
  <c r="G3030" i="5"/>
  <c r="D3030" i="5"/>
  <c r="N3029" i="5"/>
  <c r="L3029" i="5"/>
  <c r="H3029" i="5"/>
  <c r="G3029" i="5"/>
  <c r="I3029" i="5" s="1"/>
  <c r="D3029" i="5"/>
  <c r="N3028" i="5"/>
  <c r="L3028" i="5"/>
  <c r="H3028" i="5"/>
  <c r="G3028" i="5"/>
  <c r="I3028" i="5" s="1"/>
  <c r="D3028" i="5"/>
  <c r="N3027" i="5"/>
  <c r="L3027" i="5"/>
  <c r="H3027" i="5"/>
  <c r="G3027" i="5"/>
  <c r="I3027" i="5" s="1"/>
  <c r="D3027" i="5"/>
  <c r="N3026" i="5"/>
  <c r="L3026" i="5"/>
  <c r="I3026" i="5"/>
  <c r="H3026" i="5"/>
  <c r="G3026" i="5"/>
  <c r="D3026" i="5"/>
  <c r="N3025" i="5"/>
  <c r="L3025" i="5"/>
  <c r="H3025" i="5"/>
  <c r="G3025" i="5"/>
  <c r="I3025" i="5" s="1"/>
  <c r="D3025" i="5"/>
  <c r="N3024" i="5"/>
  <c r="L3024" i="5"/>
  <c r="H3024" i="5"/>
  <c r="G3024" i="5"/>
  <c r="I3024" i="5" s="1"/>
  <c r="D3024" i="5"/>
  <c r="N3023" i="5"/>
  <c r="L3023" i="5"/>
  <c r="H3023" i="5"/>
  <c r="G3023" i="5"/>
  <c r="I3023" i="5" s="1"/>
  <c r="D3023" i="5"/>
  <c r="N3022" i="5"/>
  <c r="L3022" i="5"/>
  <c r="I3022" i="5"/>
  <c r="H3022" i="5"/>
  <c r="G3022" i="5"/>
  <c r="D3022" i="5"/>
  <c r="N3021" i="5"/>
  <c r="L3021" i="5"/>
  <c r="H3021" i="5"/>
  <c r="G3021" i="5"/>
  <c r="I3021" i="5" s="1"/>
  <c r="D3021" i="5"/>
  <c r="N3020" i="5"/>
  <c r="L3020" i="5"/>
  <c r="H3020" i="5"/>
  <c r="G3020" i="5"/>
  <c r="I3020" i="5" s="1"/>
  <c r="D3020" i="5"/>
  <c r="N3019" i="5"/>
  <c r="L3019" i="5"/>
  <c r="H3019" i="5"/>
  <c r="G3019" i="5"/>
  <c r="I3019" i="5" s="1"/>
  <c r="D3019" i="5"/>
  <c r="N3018" i="5"/>
  <c r="L3018" i="5"/>
  <c r="I3018" i="5"/>
  <c r="H3018" i="5"/>
  <c r="G3018" i="5"/>
  <c r="D3018" i="5"/>
  <c r="N3017" i="5"/>
  <c r="L3017" i="5"/>
  <c r="H3017" i="5"/>
  <c r="G3017" i="5"/>
  <c r="I3017" i="5" s="1"/>
  <c r="D3017" i="5"/>
  <c r="N3016" i="5"/>
  <c r="L3016" i="5"/>
  <c r="H3016" i="5"/>
  <c r="G3016" i="5"/>
  <c r="I3016" i="5" s="1"/>
  <c r="D3016" i="5"/>
  <c r="N3015" i="5"/>
  <c r="L3015" i="5"/>
  <c r="H3015" i="5"/>
  <c r="G3015" i="5"/>
  <c r="I3015" i="5" s="1"/>
  <c r="D3015" i="5"/>
  <c r="N3014" i="5"/>
  <c r="L3014" i="5"/>
  <c r="I3014" i="5"/>
  <c r="H3014" i="5"/>
  <c r="G3014" i="5"/>
  <c r="D3014" i="5"/>
  <c r="N3013" i="5"/>
  <c r="L3013" i="5"/>
  <c r="H3013" i="5"/>
  <c r="G3013" i="5"/>
  <c r="I3013" i="5" s="1"/>
  <c r="D3013" i="5"/>
  <c r="N3012" i="5"/>
  <c r="L3012" i="5"/>
  <c r="H3012" i="5"/>
  <c r="G3012" i="5"/>
  <c r="I3012" i="5" s="1"/>
  <c r="D3012" i="5"/>
  <c r="N3011" i="5"/>
  <c r="L3011" i="5"/>
  <c r="H3011" i="5"/>
  <c r="G3011" i="5"/>
  <c r="I3011" i="5" s="1"/>
  <c r="D3011" i="5"/>
  <c r="N3010" i="5"/>
  <c r="L3010" i="5"/>
  <c r="I3010" i="5"/>
  <c r="H3010" i="5"/>
  <c r="G3010" i="5"/>
  <c r="D3010" i="5"/>
  <c r="N3009" i="5"/>
  <c r="L3009" i="5"/>
  <c r="H3009" i="5"/>
  <c r="G3009" i="5"/>
  <c r="I3009" i="5" s="1"/>
  <c r="D3009" i="5"/>
  <c r="N3008" i="5"/>
  <c r="L3008" i="5"/>
  <c r="H3008" i="5"/>
  <c r="G3008" i="5"/>
  <c r="I3008" i="5" s="1"/>
  <c r="D3008" i="5"/>
  <c r="N3007" i="5"/>
  <c r="L3007" i="5"/>
  <c r="H3007" i="5"/>
  <c r="G3007" i="5"/>
  <c r="I3007" i="5" s="1"/>
  <c r="D3007" i="5"/>
  <c r="N3006" i="5"/>
  <c r="L3006" i="5"/>
  <c r="I3006" i="5"/>
  <c r="H3006" i="5"/>
  <c r="G3006" i="5"/>
  <c r="D3006" i="5"/>
  <c r="N3005" i="5"/>
  <c r="L3005" i="5"/>
  <c r="H3005" i="5"/>
  <c r="G3005" i="5"/>
  <c r="I3005" i="5" s="1"/>
  <c r="D3005" i="5"/>
  <c r="N3004" i="5"/>
  <c r="L3004" i="5"/>
  <c r="H3004" i="5"/>
  <c r="G3004" i="5"/>
  <c r="I3004" i="5" s="1"/>
  <c r="D3004" i="5"/>
  <c r="N3003" i="5"/>
  <c r="L3003" i="5"/>
  <c r="H3003" i="5"/>
  <c r="G3003" i="5"/>
  <c r="I3003" i="5" s="1"/>
  <c r="D3003" i="5"/>
  <c r="N3002" i="5"/>
  <c r="L3002" i="5"/>
  <c r="I3002" i="5"/>
  <c r="H3002" i="5"/>
  <c r="G3002" i="5"/>
  <c r="D3002" i="5"/>
  <c r="N3001" i="5"/>
  <c r="L3001" i="5"/>
  <c r="H3001" i="5"/>
  <c r="G3001" i="5"/>
  <c r="I3001" i="5" s="1"/>
  <c r="D3001" i="5"/>
  <c r="N3000" i="5"/>
  <c r="L3000" i="5"/>
  <c r="H3000" i="5"/>
  <c r="G3000" i="5"/>
  <c r="I3000" i="5" s="1"/>
  <c r="D3000" i="5"/>
  <c r="N2999" i="5"/>
  <c r="L2999" i="5"/>
  <c r="H2999" i="5"/>
  <c r="G2999" i="5"/>
  <c r="I2999" i="5" s="1"/>
  <c r="D2999" i="5"/>
  <c r="N2998" i="5"/>
  <c r="L2998" i="5"/>
  <c r="I2998" i="5"/>
  <c r="H2998" i="5"/>
  <c r="G2998" i="5"/>
  <c r="D2998" i="5"/>
  <c r="N2997" i="5"/>
  <c r="L2997" i="5"/>
  <c r="H2997" i="5"/>
  <c r="G2997" i="5"/>
  <c r="I2997" i="5" s="1"/>
  <c r="D2997" i="5"/>
  <c r="N2996" i="5"/>
  <c r="L2996" i="5"/>
  <c r="H2996" i="5"/>
  <c r="G2996" i="5"/>
  <c r="I2996" i="5" s="1"/>
  <c r="D2996" i="5"/>
  <c r="N2995" i="5"/>
  <c r="L2995" i="5"/>
  <c r="H2995" i="5"/>
  <c r="G2995" i="5"/>
  <c r="I2995" i="5" s="1"/>
  <c r="D2995" i="5"/>
  <c r="N2994" i="5"/>
  <c r="L2994" i="5"/>
  <c r="I2994" i="5"/>
  <c r="H2994" i="5"/>
  <c r="G2994" i="5"/>
  <c r="D2994" i="5"/>
  <c r="N2993" i="5"/>
  <c r="L2993" i="5"/>
  <c r="H2993" i="5"/>
  <c r="G2993" i="5"/>
  <c r="I2993" i="5" s="1"/>
  <c r="D2993" i="5"/>
  <c r="N2992" i="5"/>
  <c r="L2992" i="5"/>
  <c r="H2992" i="5"/>
  <c r="G2992" i="5"/>
  <c r="I2992" i="5" s="1"/>
  <c r="D2992" i="5"/>
  <c r="N2991" i="5"/>
  <c r="L2991" i="5"/>
  <c r="H2991" i="5"/>
  <c r="G2991" i="5"/>
  <c r="I2991" i="5" s="1"/>
  <c r="D2991" i="5"/>
  <c r="N2990" i="5"/>
  <c r="L2990" i="5"/>
  <c r="I2990" i="5"/>
  <c r="H2990" i="5"/>
  <c r="G2990" i="5"/>
  <c r="D2990" i="5"/>
  <c r="N2989" i="5"/>
  <c r="L2989" i="5"/>
  <c r="H2989" i="5"/>
  <c r="G2989" i="5"/>
  <c r="I2989" i="5" s="1"/>
  <c r="D2989" i="5"/>
  <c r="N2988" i="5"/>
  <c r="L2988" i="5"/>
  <c r="H2988" i="5"/>
  <c r="G2988" i="5"/>
  <c r="I2988" i="5" s="1"/>
  <c r="D2988" i="5"/>
  <c r="N2987" i="5"/>
  <c r="L2987" i="5"/>
  <c r="H2987" i="5"/>
  <c r="G2987" i="5"/>
  <c r="I2987" i="5" s="1"/>
  <c r="D2987" i="5"/>
  <c r="N2986" i="5"/>
  <c r="L2986" i="5"/>
  <c r="I2986" i="5"/>
  <c r="H2986" i="5"/>
  <c r="G2986" i="5"/>
  <c r="D2986" i="5"/>
  <c r="N2985" i="5"/>
  <c r="L2985" i="5"/>
  <c r="H2985" i="5"/>
  <c r="G2985" i="5"/>
  <c r="I2985" i="5" s="1"/>
  <c r="D2985" i="5"/>
  <c r="N2984" i="5"/>
  <c r="L2984" i="5"/>
  <c r="H2984" i="5"/>
  <c r="G2984" i="5"/>
  <c r="I2984" i="5" s="1"/>
  <c r="D2984" i="5"/>
  <c r="N2983" i="5"/>
  <c r="L2983" i="5"/>
  <c r="H2983" i="5"/>
  <c r="G2983" i="5"/>
  <c r="I2983" i="5" s="1"/>
  <c r="D2983" i="5"/>
  <c r="N2982" i="5"/>
  <c r="L2982" i="5"/>
  <c r="I2982" i="5"/>
  <c r="H2982" i="5"/>
  <c r="G2982" i="5"/>
  <c r="D2982" i="5"/>
  <c r="N2981" i="5"/>
  <c r="L2981" i="5"/>
  <c r="H2981" i="5"/>
  <c r="G2981" i="5"/>
  <c r="I2981" i="5" s="1"/>
  <c r="D2981" i="5"/>
  <c r="N2980" i="5"/>
  <c r="L2980" i="5"/>
  <c r="H2980" i="5"/>
  <c r="G2980" i="5"/>
  <c r="I2980" i="5" s="1"/>
  <c r="D2980" i="5"/>
  <c r="N2979" i="5"/>
  <c r="L2979" i="5"/>
  <c r="H2979" i="5"/>
  <c r="G2979" i="5"/>
  <c r="I2979" i="5" s="1"/>
  <c r="D2979" i="5"/>
  <c r="N2978" i="5"/>
  <c r="L2978" i="5"/>
  <c r="I2978" i="5"/>
  <c r="H2978" i="5"/>
  <c r="G2978" i="5"/>
  <c r="D2978" i="5"/>
  <c r="N2977" i="5"/>
  <c r="L2977" i="5"/>
  <c r="H2977" i="5"/>
  <c r="G2977" i="5"/>
  <c r="I2977" i="5" s="1"/>
  <c r="D2977" i="5"/>
  <c r="N2976" i="5"/>
  <c r="L2976" i="5"/>
  <c r="H2976" i="5"/>
  <c r="G2976" i="5"/>
  <c r="I2976" i="5" s="1"/>
  <c r="D2976" i="5"/>
  <c r="N2975" i="5"/>
  <c r="L2975" i="5"/>
  <c r="H2975" i="5"/>
  <c r="G2975" i="5"/>
  <c r="I2975" i="5" s="1"/>
  <c r="D2975" i="5"/>
  <c r="N2974" i="5"/>
  <c r="L2974" i="5"/>
  <c r="I2974" i="5"/>
  <c r="H2974" i="5"/>
  <c r="G2974" i="5"/>
  <c r="D2974" i="5"/>
  <c r="N2973" i="5"/>
  <c r="L2973" i="5"/>
  <c r="H2973" i="5"/>
  <c r="G2973" i="5"/>
  <c r="I2973" i="5" s="1"/>
  <c r="D2973" i="5"/>
  <c r="N2972" i="5"/>
  <c r="L2972" i="5"/>
  <c r="H2972" i="5"/>
  <c r="G2972" i="5"/>
  <c r="I2972" i="5" s="1"/>
  <c r="D2972" i="5"/>
  <c r="N2971" i="5"/>
  <c r="L2971" i="5"/>
  <c r="H2971" i="5"/>
  <c r="G2971" i="5"/>
  <c r="I2971" i="5" s="1"/>
  <c r="D2971" i="5"/>
  <c r="N2970" i="5"/>
  <c r="L2970" i="5"/>
  <c r="I2970" i="5"/>
  <c r="H2970" i="5"/>
  <c r="G2970" i="5"/>
  <c r="D2970" i="5"/>
  <c r="N2969" i="5"/>
  <c r="L2969" i="5"/>
  <c r="I2969" i="5"/>
  <c r="H2969" i="5"/>
  <c r="G2969" i="5"/>
  <c r="D2969" i="5"/>
  <c r="N2968" i="5"/>
  <c r="L2968" i="5"/>
  <c r="H2968" i="5"/>
  <c r="G2968" i="5"/>
  <c r="I2968" i="5" s="1"/>
  <c r="D2968" i="5"/>
  <c r="N2967" i="5"/>
  <c r="L2967" i="5"/>
  <c r="H2967" i="5"/>
  <c r="G2967" i="5"/>
  <c r="I2967" i="5" s="1"/>
  <c r="D2967" i="5"/>
  <c r="N2966" i="5"/>
  <c r="L2966" i="5"/>
  <c r="I2966" i="5"/>
  <c r="H2966" i="5"/>
  <c r="G2966" i="5"/>
  <c r="D2966" i="5"/>
  <c r="N2965" i="5"/>
  <c r="L2965" i="5"/>
  <c r="I2965" i="5"/>
  <c r="H2965" i="5"/>
  <c r="G2965" i="5"/>
  <c r="D2965" i="5"/>
  <c r="N2964" i="5"/>
  <c r="L2964" i="5"/>
  <c r="H2964" i="5"/>
  <c r="G2964" i="5"/>
  <c r="I2964" i="5" s="1"/>
  <c r="D2964" i="5"/>
  <c r="N2963" i="5"/>
  <c r="L2963" i="5"/>
  <c r="H2963" i="5"/>
  <c r="G2963" i="5"/>
  <c r="I2963" i="5" s="1"/>
  <c r="D2963" i="5"/>
  <c r="N2962" i="5"/>
  <c r="L2962" i="5"/>
  <c r="I2962" i="5"/>
  <c r="H2962" i="5"/>
  <c r="G2962" i="5"/>
  <c r="D2962" i="5"/>
  <c r="N2961" i="5"/>
  <c r="L2961" i="5"/>
  <c r="H2961" i="5"/>
  <c r="G2961" i="5"/>
  <c r="I2961" i="5" s="1"/>
  <c r="D2961" i="5"/>
  <c r="N2960" i="5"/>
  <c r="L2960" i="5"/>
  <c r="H2960" i="5"/>
  <c r="G2960" i="5"/>
  <c r="I2960" i="5" s="1"/>
  <c r="D2960" i="5"/>
  <c r="N2959" i="5"/>
  <c r="L2959" i="5"/>
  <c r="H2959" i="5"/>
  <c r="G2959" i="5"/>
  <c r="I2959" i="5" s="1"/>
  <c r="D2959" i="5"/>
  <c r="N2958" i="5"/>
  <c r="L2958" i="5"/>
  <c r="I2958" i="5"/>
  <c r="H2958" i="5"/>
  <c r="G2958" i="5"/>
  <c r="D2958" i="5"/>
  <c r="N2957" i="5"/>
  <c r="L2957" i="5"/>
  <c r="H2957" i="5"/>
  <c r="G2957" i="5"/>
  <c r="I2957" i="5" s="1"/>
  <c r="D2957" i="5"/>
  <c r="N2956" i="5"/>
  <c r="L2956" i="5"/>
  <c r="I2956" i="5"/>
  <c r="H2956" i="5"/>
  <c r="G2956" i="5"/>
  <c r="D2956" i="5"/>
  <c r="N2955" i="5"/>
  <c r="L2955" i="5"/>
  <c r="I2955" i="5"/>
  <c r="H2955" i="5"/>
  <c r="G2955" i="5"/>
  <c r="D2955" i="5"/>
  <c r="N2954" i="5"/>
  <c r="L2954" i="5"/>
  <c r="H2954" i="5"/>
  <c r="G2954" i="5"/>
  <c r="I2954" i="5" s="1"/>
  <c r="D2954" i="5"/>
  <c r="N2953" i="5"/>
  <c r="L2953" i="5"/>
  <c r="H2953" i="5"/>
  <c r="G2953" i="5"/>
  <c r="I2953" i="5" s="1"/>
  <c r="D2953" i="5"/>
  <c r="N2952" i="5"/>
  <c r="L2952" i="5"/>
  <c r="I2952" i="5"/>
  <c r="H2952" i="5"/>
  <c r="G2952" i="5"/>
  <c r="D2952" i="5"/>
  <c r="N2951" i="5"/>
  <c r="L2951" i="5"/>
  <c r="I2951" i="5"/>
  <c r="H2951" i="5"/>
  <c r="G2951" i="5"/>
  <c r="D2951" i="5"/>
  <c r="N2950" i="5"/>
  <c r="L2950" i="5"/>
  <c r="H2950" i="5"/>
  <c r="G2950" i="5"/>
  <c r="I2950" i="5" s="1"/>
  <c r="D2950" i="5"/>
  <c r="N2949" i="5"/>
  <c r="L2949" i="5"/>
  <c r="H2949" i="5"/>
  <c r="G2949" i="5"/>
  <c r="I2949" i="5" s="1"/>
  <c r="D2949" i="5"/>
  <c r="N2948" i="5"/>
  <c r="L2948" i="5"/>
  <c r="I2948" i="5"/>
  <c r="H2948" i="5"/>
  <c r="G2948" i="5"/>
  <c r="D2948" i="5"/>
  <c r="N2947" i="5"/>
  <c r="L2947" i="5"/>
  <c r="I2947" i="5"/>
  <c r="H2947" i="5"/>
  <c r="G2947" i="5"/>
  <c r="D2947" i="5"/>
  <c r="N2946" i="5"/>
  <c r="L2946" i="5"/>
  <c r="H2946" i="5"/>
  <c r="G2946" i="5"/>
  <c r="I2946" i="5" s="1"/>
  <c r="D2946" i="5"/>
  <c r="N2945" i="5"/>
  <c r="L2945" i="5"/>
  <c r="H2945" i="5"/>
  <c r="G2945" i="5"/>
  <c r="I2945" i="5" s="1"/>
  <c r="D2945" i="5"/>
  <c r="N2944" i="5"/>
  <c r="L2944" i="5"/>
  <c r="I2944" i="5"/>
  <c r="H2944" i="5"/>
  <c r="G2944" i="5"/>
  <c r="D2944" i="5"/>
  <c r="N2943" i="5"/>
  <c r="L2943" i="5"/>
  <c r="I2943" i="5"/>
  <c r="H2943" i="5"/>
  <c r="G2943" i="5"/>
  <c r="D2943" i="5"/>
  <c r="N2942" i="5"/>
  <c r="L2942" i="5"/>
  <c r="H2942" i="5"/>
  <c r="G2942" i="5"/>
  <c r="I2942" i="5" s="1"/>
  <c r="D2942" i="5"/>
  <c r="N2941" i="5"/>
  <c r="L2941" i="5"/>
  <c r="H2941" i="5"/>
  <c r="G2941" i="5"/>
  <c r="I2941" i="5" s="1"/>
  <c r="D2941" i="5"/>
  <c r="N2940" i="5"/>
  <c r="L2940" i="5"/>
  <c r="I2940" i="5"/>
  <c r="H2940" i="5"/>
  <c r="G2940" i="5"/>
  <c r="D2940" i="5"/>
  <c r="N2939" i="5"/>
  <c r="L2939" i="5"/>
  <c r="I2939" i="5"/>
  <c r="H2939" i="5"/>
  <c r="G2939" i="5"/>
  <c r="D2939" i="5"/>
  <c r="N2938" i="5"/>
  <c r="L2938" i="5"/>
  <c r="H2938" i="5"/>
  <c r="G2938" i="5"/>
  <c r="I2938" i="5" s="1"/>
  <c r="D2938" i="5"/>
  <c r="N2937" i="5"/>
  <c r="L2937" i="5"/>
  <c r="H2937" i="5"/>
  <c r="G2937" i="5"/>
  <c r="I2937" i="5" s="1"/>
  <c r="D2937" i="5"/>
  <c r="N2936" i="5"/>
  <c r="L2936" i="5"/>
  <c r="I2936" i="5"/>
  <c r="H2936" i="5"/>
  <c r="G2936" i="5"/>
  <c r="D2936" i="5"/>
  <c r="N2935" i="5"/>
  <c r="L2935" i="5"/>
  <c r="I2935" i="5"/>
  <c r="H2935" i="5"/>
  <c r="G2935" i="5"/>
  <c r="D2935" i="5"/>
  <c r="N2934" i="5"/>
  <c r="L2934" i="5"/>
  <c r="H2934" i="5"/>
  <c r="G2934" i="5"/>
  <c r="I2934" i="5" s="1"/>
  <c r="D2934" i="5"/>
  <c r="N2933" i="5"/>
  <c r="L2933" i="5"/>
  <c r="H2933" i="5"/>
  <c r="G2933" i="5"/>
  <c r="I2933" i="5" s="1"/>
  <c r="D2933" i="5"/>
  <c r="N2932" i="5"/>
  <c r="L2932" i="5"/>
  <c r="I2932" i="5"/>
  <c r="H2932" i="5"/>
  <c r="G2932" i="5"/>
  <c r="D2932" i="5"/>
  <c r="N2931" i="5"/>
  <c r="L2931" i="5"/>
  <c r="I2931" i="5"/>
  <c r="H2931" i="5"/>
  <c r="G2931" i="5"/>
  <c r="D2931" i="5"/>
  <c r="N2930" i="5"/>
  <c r="L2930" i="5"/>
  <c r="H2930" i="5"/>
  <c r="G2930" i="5"/>
  <c r="I2930" i="5" s="1"/>
  <c r="D2930" i="5"/>
  <c r="N2929" i="5"/>
  <c r="L2929" i="5"/>
  <c r="H2929" i="5"/>
  <c r="G2929" i="5"/>
  <c r="I2929" i="5" s="1"/>
  <c r="D2929" i="5"/>
  <c r="N2928" i="5"/>
  <c r="L2928" i="5"/>
  <c r="I2928" i="5"/>
  <c r="H2928" i="5"/>
  <c r="G2928" i="5"/>
  <c r="D2928" i="5"/>
  <c r="N2927" i="5"/>
  <c r="L2927" i="5"/>
  <c r="I2927" i="5"/>
  <c r="H2927" i="5"/>
  <c r="G2927" i="5"/>
  <c r="D2927" i="5"/>
  <c r="N2926" i="5"/>
  <c r="L2926" i="5"/>
  <c r="H2926" i="5"/>
  <c r="G2926" i="5"/>
  <c r="I2926" i="5" s="1"/>
  <c r="D2926" i="5"/>
  <c r="N2925" i="5"/>
  <c r="L2925" i="5"/>
  <c r="H2925" i="5"/>
  <c r="G2925" i="5"/>
  <c r="I2925" i="5" s="1"/>
  <c r="D2925" i="5"/>
  <c r="N2924" i="5"/>
  <c r="L2924" i="5"/>
  <c r="I2924" i="5"/>
  <c r="H2924" i="5"/>
  <c r="G2924" i="5"/>
  <c r="D2924" i="5"/>
  <c r="N2923" i="5"/>
  <c r="L2923" i="5"/>
  <c r="I2923" i="5"/>
  <c r="H2923" i="5"/>
  <c r="G2923" i="5"/>
  <c r="D2923" i="5"/>
  <c r="N2922" i="5"/>
  <c r="L2922" i="5"/>
  <c r="H2922" i="5"/>
  <c r="G2922" i="5"/>
  <c r="I2922" i="5" s="1"/>
  <c r="D2922" i="5"/>
  <c r="N2921" i="5"/>
  <c r="L2921" i="5"/>
  <c r="H2921" i="5"/>
  <c r="G2921" i="5"/>
  <c r="I2921" i="5" s="1"/>
  <c r="D2921" i="5"/>
  <c r="N2920" i="5"/>
  <c r="L2920" i="5"/>
  <c r="I2920" i="5"/>
  <c r="H2920" i="5"/>
  <c r="G2920" i="5"/>
  <c r="D2920" i="5"/>
  <c r="N2919" i="5"/>
  <c r="L2919" i="5"/>
  <c r="I2919" i="5"/>
  <c r="H2919" i="5"/>
  <c r="G2919" i="5"/>
  <c r="D2919" i="5"/>
  <c r="N2918" i="5"/>
  <c r="L2918" i="5"/>
  <c r="H2918" i="5"/>
  <c r="G2918" i="5"/>
  <c r="I2918" i="5" s="1"/>
  <c r="D2918" i="5"/>
  <c r="N2917" i="5"/>
  <c r="L2917" i="5"/>
  <c r="H2917" i="5"/>
  <c r="G2917" i="5"/>
  <c r="I2917" i="5" s="1"/>
  <c r="D2917" i="5"/>
  <c r="N2916" i="5"/>
  <c r="L2916" i="5"/>
  <c r="I2916" i="5"/>
  <c r="H2916" i="5"/>
  <c r="G2916" i="5"/>
  <c r="D2916" i="5"/>
  <c r="N2915" i="5"/>
  <c r="L2915" i="5"/>
  <c r="I2915" i="5"/>
  <c r="H2915" i="5"/>
  <c r="G2915" i="5"/>
  <c r="D2915" i="5"/>
  <c r="N2914" i="5"/>
  <c r="L2914" i="5"/>
  <c r="H2914" i="5"/>
  <c r="G2914" i="5"/>
  <c r="I2914" i="5" s="1"/>
  <c r="D2914" i="5"/>
  <c r="N2913" i="5"/>
  <c r="L2913" i="5"/>
  <c r="H2913" i="5"/>
  <c r="G2913" i="5"/>
  <c r="I2913" i="5" s="1"/>
  <c r="D2913" i="5"/>
  <c r="N2912" i="5"/>
  <c r="L2912" i="5"/>
  <c r="I2912" i="5"/>
  <c r="H2912" i="5"/>
  <c r="G2912" i="5"/>
  <c r="D2912" i="5"/>
  <c r="N2911" i="5"/>
  <c r="L2911" i="5"/>
  <c r="I2911" i="5"/>
  <c r="H2911" i="5"/>
  <c r="G2911" i="5"/>
  <c r="D2911" i="5"/>
  <c r="N2910" i="5"/>
  <c r="L2910" i="5"/>
  <c r="H2910" i="5"/>
  <c r="G2910" i="5"/>
  <c r="I2910" i="5" s="1"/>
  <c r="D2910" i="5"/>
  <c r="N2909" i="5"/>
  <c r="L2909" i="5"/>
  <c r="H2909" i="5"/>
  <c r="G2909" i="5"/>
  <c r="I2909" i="5" s="1"/>
  <c r="D2909" i="5"/>
  <c r="N2908" i="5"/>
  <c r="L2908" i="5"/>
  <c r="I2908" i="5"/>
  <c r="H2908" i="5"/>
  <c r="G2908" i="5"/>
  <c r="D2908" i="5"/>
  <c r="N2907" i="5"/>
  <c r="L2907" i="5"/>
  <c r="I2907" i="5"/>
  <c r="H2907" i="5"/>
  <c r="G2907" i="5"/>
  <c r="D2907" i="5"/>
  <c r="N2906" i="5"/>
  <c r="L2906" i="5"/>
  <c r="H2906" i="5"/>
  <c r="G2906" i="5"/>
  <c r="I2906" i="5" s="1"/>
  <c r="D2906" i="5"/>
  <c r="N2905" i="5"/>
  <c r="L2905" i="5"/>
  <c r="H2905" i="5"/>
  <c r="G2905" i="5"/>
  <c r="I2905" i="5" s="1"/>
  <c r="D2905" i="5"/>
  <c r="N2904" i="5"/>
  <c r="L2904" i="5"/>
  <c r="I2904" i="5"/>
  <c r="H2904" i="5"/>
  <c r="G2904" i="5"/>
  <c r="D2904" i="5"/>
  <c r="N2903" i="5"/>
  <c r="L2903" i="5"/>
  <c r="I2903" i="5"/>
  <c r="H2903" i="5"/>
  <c r="G2903" i="5"/>
  <c r="D2903" i="5"/>
  <c r="N2902" i="5"/>
  <c r="L2902" i="5"/>
  <c r="H2902" i="5"/>
  <c r="G2902" i="5"/>
  <c r="I2902" i="5" s="1"/>
  <c r="D2902" i="5"/>
  <c r="N2901" i="5"/>
  <c r="L2901" i="5"/>
  <c r="H2901" i="5"/>
  <c r="G2901" i="5"/>
  <c r="I2901" i="5" s="1"/>
  <c r="D2901" i="5"/>
  <c r="N2900" i="5"/>
  <c r="L2900" i="5"/>
  <c r="I2900" i="5"/>
  <c r="H2900" i="5"/>
  <c r="G2900" i="5"/>
  <c r="D2900" i="5"/>
  <c r="N2899" i="5"/>
  <c r="L2899" i="5"/>
  <c r="I2899" i="5"/>
  <c r="H2899" i="5"/>
  <c r="G2899" i="5"/>
  <c r="D2899" i="5"/>
  <c r="N2898" i="5"/>
  <c r="L2898" i="5"/>
  <c r="H2898" i="5"/>
  <c r="G2898" i="5"/>
  <c r="I2898" i="5" s="1"/>
  <c r="D2898" i="5"/>
  <c r="N2897" i="5"/>
  <c r="L2897" i="5"/>
  <c r="H2897" i="5"/>
  <c r="G2897" i="5"/>
  <c r="I2897" i="5" s="1"/>
  <c r="D2897" i="5"/>
  <c r="N2896" i="5"/>
  <c r="L2896" i="5"/>
  <c r="I2896" i="5"/>
  <c r="H2896" i="5"/>
  <c r="G2896" i="5"/>
  <c r="D2896" i="5"/>
  <c r="N2895" i="5"/>
  <c r="L2895" i="5"/>
  <c r="I2895" i="5"/>
  <c r="H2895" i="5"/>
  <c r="G2895" i="5"/>
  <c r="D2895" i="5"/>
  <c r="N2894" i="5"/>
  <c r="L2894" i="5"/>
  <c r="H2894" i="5"/>
  <c r="G2894" i="5"/>
  <c r="I2894" i="5" s="1"/>
  <c r="D2894" i="5"/>
  <c r="N2893" i="5"/>
  <c r="L2893" i="5"/>
  <c r="H2893" i="5"/>
  <c r="G2893" i="5"/>
  <c r="I2893" i="5" s="1"/>
  <c r="D2893" i="5"/>
  <c r="N2892" i="5"/>
  <c r="L2892" i="5"/>
  <c r="I2892" i="5"/>
  <c r="H2892" i="5"/>
  <c r="G2892" i="5"/>
  <c r="D2892" i="5"/>
  <c r="N2891" i="5"/>
  <c r="L2891" i="5"/>
  <c r="I2891" i="5"/>
  <c r="H2891" i="5"/>
  <c r="G2891" i="5"/>
  <c r="D2891" i="5"/>
  <c r="N2890" i="5"/>
  <c r="L2890" i="5"/>
  <c r="H2890" i="5"/>
  <c r="G2890" i="5"/>
  <c r="I2890" i="5" s="1"/>
  <c r="D2890" i="5"/>
  <c r="N2889" i="5"/>
  <c r="L2889" i="5"/>
  <c r="H2889" i="5"/>
  <c r="G2889" i="5"/>
  <c r="I2889" i="5" s="1"/>
  <c r="D2889" i="5"/>
  <c r="N2888" i="5"/>
  <c r="L2888" i="5"/>
  <c r="I2888" i="5"/>
  <c r="H2888" i="5"/>
  <c r="G2888" i="5"/>
  <c r="D2888" i="5"/>
  <c r="N2887" i="5"/>
  <c r="L2887" i="5"/>
  <c r="I2887" i="5"/>
  <c r="H2887" i="5"/>
  <c r="G2887" i="5"/>
  <c r="D2887" i="5"/>
  <c r="N2886" i="5"/>
  <c r="L2886" i="5"/>
  <c r="H2886" i="5"/>
  <c r="G2886" i="5"/>
  <c r="I2886" i="5" s="1"/>
  <c r="D2886" i="5"/>
  <c r="N2885" i="5"/>
  <c r="L2885" i="5"/>
  <c r="H2885" i="5"/>
  <c r="G2885" i="5"/>
  <c r="I2885" i="5" s="1"/>
  <c r="D2885" i="5"/>
  <c r="N2884" i="5"/>
  <c r="L2884" i="5"/>
  <c r="I2884" i="5"/>
  <c r="H2884" i="5"/>
  <c r="G2884" i="5"/>
  <c r="D2884" i="5"/>
  <c r="N2883" i="5"/>
  <c r="L2883" i="5"/>
  <c r="I2883" i="5"/>
  <c r="H2883" i="5"/>
  <c r="G2883" i="5"/>
  <c r="D2883" i="5"/>
  <c r="N2882" i="5"/>
  <c r="L2882" i="5"/>
  <c r="H2882" i="5"/>
  <c r="G2882" i="5"/>
  <c r="I2882" i="5" s="1"/>
  <c r="D2882" i="5"/>
  <c r="N2881" i="5"/>
  <c r="L2881" i="5"/>
  <c r="H2881" i="5"/>
  <c r="G2881" i="5"/>
  <c r="I2881" i="5" s="1"/>
  <c r="D2881" i="5"/>
  <c r="N2880" i="5"/>
  <c r="L2880" i="5"/>
  <c r="I2880" i="5"/>
  <c r="H2880" i="5"/>
  <c r="G2880" i="5"/>
  <c r="D2880" i="5"/>
  <c r="N2879" i="5"/>
  <c r="L2879" i="5"/>
  <c r="I2879" i="5"/>
  <c r="H2879" i="5"/>
  <c r="G2879" i="5"/>
  <c r="D2879" i="5"/>
  <c r="N2878" i="5"/>
  <c r="L2878" i="5"/>
  <c r="H2878" i="5"/>
  <c r="G2878" i="5"/>
  <c r="I2878" i="5" s="1"/>
  <c r="D2878" i="5"/>
  <c r="N2877" i="5"/>
  <c r="L2877" i="5"/>
  <c r="H2877" i="5"/>
  <c r="G2877" i="5"/>
  <c r="I2877" i="5" s="1"/>
  <c r="D2877" i="5"/>
  <c r="N2876" i="5"/>
  <c r="L2876" i="5"/>
  <c r="I2876" i="5"/>
  <c r="H2876" i="5"/>
  <c r="G2876" i="5"/>
  <c r="D2876" i="5"/>
  <c r="N2875" i="5"/>
  <c r="L2875" i="5"/>
  <c r="I2875" i="5"/>
  <c r="H2875" i="5"/>
  <c r="G2875" i="5"/>
  <c r="D2875" i="5"/>
  <c r="N2874" i="5"/>
  <c r="L2874" i="5"/>
  <c r="H2874" i="5"/>
  <c r="G2874" i="5"/>
  <c r="I2874" i="5" s="1"/>
  <c r="D2874" i="5"/>
  <c r="N2873" i="5"/>
  <c r="L2873" i="5"/>
  <c r="H2873" i="5"/>
  <c r="G2873" i="5"/>
  <c r="I2873" i="5" s="1"/>
  <c r="D2873" i="5"/>
  <c r="N2872" i="5"/>
  <c r="L2872" i="5"/>
  <c r="I2872" i="5"/>
  <c r="H2872" i="5"/>
  <c r="G2872" i="5"/>
  <c r="D2872" i="5"/>
  <c r="N2871" i="5"/>
  <c r="L2871" i="5"/>
  <c r="I2871" i="5"/>
  <c r="H2871" i="5"/>
  <c r="G2871" i="5"/>
  <c r="D2871" i="5"/>
  <c r="N2870" i="5"/>
  <c r="L2870" i="5"/>
  <c r="H2870" i="5"/>
  <c r="G2870" i="5"/>
  <c r="I2870" i="5" s="1"/>
  <c r="D2870" i="5"/>
  <c r="N2869" i="5"/>
  <c r="L2869" i="5"/>
  <c r="H2869" i="5"/>
  <c r="G2869" i="5"/>
  <c r="I2869" i="5" s="1"/>
  <c r="D2869" i="5"/>
  <c r="N2868" i="5"/>
  <c r="L2868" i="5"/>
  <c r="I2868" i="5"/>
  <c r="H2868" i="5"/>
  <c r="G2868" i="5"/>
  <c r="D2868" i="5"/>
  <c r="N2867" i="5"/>
  <c r="L2867" i="5"/>
  <c r="I2867" i="5"/>
  <c r="H2867" i="5"/>
  <c r="G2867" i="5"/>
  <c r="D2867" i="5"/>
  <c r="N2866" i="5"/>
  <c r="L2866" i="5"/>
  <c r="H2866" i="5"/>
  <c r="G2866" i="5"/>
  <c r="I2866" i="5" s="1"/>
  <c r="D2866" i="5"/>
  <c r="N2865" i="5"/>
  <c r="L2865" i="5"/>
  <c r="H2865" i="5"/>
  <c r="G2865" i="5"/>
  <c r="I2865" i="5" s="1"/>
  <c r="D2865" i="5"/>
  <c r="N2864" i="5"/>
  <c r="L2864" i="5"/>
  <c r="I2864" i="5"/>
  <c r="H2864" i="5"/>
  <c r="G2864" i="5"/>
  <c r="D2864" i="5"/>
  <c r="N2863" i="5"/>
  <c r="L2863" i="5"/>
  <c r="I2863" i="5"/>
  <c r="H2863" i="5"/>
  <c r="G2863" i="5"/>
  <c r="D2863" i="5"/>
  <c r="N2862" i="5"/>
  <c r="L2862" i="5"/>
  <c r="H2862" i="5"/>
  <c r="G2862" i="5"/>
  <c r="I2862" i="5" s="1"/>
  <c r="D2862" i="5"/>
  <c r="N2861" i="5"/>
  <c r="L2861" i="5"/>
  <c r="H2861" i="5"/>
  <c r="G2861" i="5"/>
  <c r="I2861" i="5" s="1"/>
  <c r="D2861" i="5"/>
  <c r="N2860" i="5"/>
  <c r="L2860" i="5"/>
  <c r="I2860" i="5"/>
  <c r="H2860" i="5"/>
  <c r="G2860" i="5"/>
  <c r="D2860" i="5"/>
  <c r="N2859" i="5"/>
  <c r="L2859" i="5"/>
  <c r="I2859" i="5"/>
  <c r="H2859" i="5"/>
  <c r="G2859" i="5"/>
  <c r="D2859" i="5"/>
  <c r="N2858" i="5"/>
  <c r="L2858" i="5"/>
  <c r="H2858" i="5"/>
  <c r="G2858" i="5"/>
  <c r="I2858" i="5" s="1"/>
  <c r="D2858" i="5"/>
  <c r="N2857" i="5"/>
  <c r="L2857" i="5"/>
  <c r="H2857" i="5"/>
  <c r="G2857" i="5"/>
  <c r="I2857" i="5" s="1"/>
  <c r="D2857" i="5"/>
  <c r="N2856" i="5"/>
  <c r="L2856" i="5"/>
  <c r="I2856" i="5"/>
  <c r="H2856" i="5"/>
  <c r="G2856" i="5"/>
  <c r="D2856" i="5"/>
  <c r="N2855" i="5"/>
  <c r="L2855" i="5"/>
  <c r="I2855" i="5"/>
  <c r="H2855" i="5"/>
  <c r="G2855" i="5"/>
  <c r="D2855" i="5"/>
  <c r="N2854" i="5"/>
  <c r="L2854" i="5"/>
  <c r="H2854" i="5"/>
  <c r="G2854" i="5"/>
  <c r="I2854" i="5" s="1"/>
  <c r="D2854" i="5"/>
  <c r="N2853" i="5"/>
  <c r="L2853" i="5"/>
  <c r="H2853" i="5"/>
  <c r="G2853" i="5"/>
  <c r="I2853" i="5" s="1"/>
  <c r="D2853" i="5"/>
  <c r="N2852" i="5"/>
  <c r="L2852" i="5"/>
  <c r="I2852" i="5"/>
  <c r="H2852" i="5"/>
  <c r="G2852" i="5"/>
  <c r="D2852" i="5"/>
  <c r="N2851" i="5"/>
  <c r="L2851" i="5"/>
  <c r="I2851" i="5"/>
  <c r="H2851" i="5"/>
  <c r="G2851" i="5"/>
  <c r="D2851" i="5"/>
  <c r="N2850" i="5"/>
  <c r="L2850" i="5"/>
  <c r="H2850" i="5"/>
  <c r="G2850" i="5"/>
  <c r="I2850" i="5" s="1"/>
  <c r="D2850" i="5"/>
  <c r="N2849" i="5"/>
  <c r="L2849" i="5"/>
  <c r="H2849" i="5"/>
  <c r="G2849" i="5"/>
  <c r="I2849" i="5" s="1"/>
  <c r="D2849" i="5"/>
  <c r="N2848" i="5"/>
  <c r="L2848" i="5"/>
  <c r="I2848" i="5"/>
  <c r="H2848" i="5"/>
  <c r="G2848" i="5"/>
  <c r="D2848" i="5"/>
  <c r="N2847" i="5"/>
  <c r="L2847" i="5"/>
  <c r="I2847" i="5"/>
  <c r="H2847" i="5"/>
  <c r="G2847" i="5"/>
  <c r="D2847" i="5"/>
  <c r="N2846" i="5"/>
  <c r="L2846" i="5"/>
  <c r="H2846" i="5"/>
  <c r="G2846" i="5"/>
  <c r="I2846" i="5" s="1"/>
  <c r="D2846" i="5"/>
  <c r="N2845" i="5"/>
  <c r="L2845" i="5"/>
  <c r="H2845" i="5"/>
  <c r="G2845" i="5"/>
  <c r="I2845" i="5" s="1"/>
  <c r="D2845" i="5"/>
  <c r="N2844" i="5"/>
  <c r="L2844" i="5"/>
  <c r="I2844" i="5"/>
  <c r="H2844" i="5"/>
  <c r="G2844" i="5"/>
  <c r="D2844" i="5"/>
  <c r="N2843" i="5"/>
  <c r="L2843" i="5"/>
  <c r="I2843" i="5"/>
  <c r="H2843" i="5"/>
  <c r="G2843" i="5"/>
  <c r="D2843" i="5"/>
  <c r="N2842" i="5"/>
  <c r="L2842" i="5"/>
  <c r="H2842" i="5"/>
  <c r="G2842" i="5"/>
  <c r="I2842" i="5" s="1"/>
  <c r="D2842" i="5"/>
  <c r="N2841" i="5"/>
  <c r="L2841" i="5"/>
  <c r="H2841" i="5"/>
  <c r="G2841" i="5"/>
  <c r="I2841" i="5" s="1"/>
  <c r="D2841" i="5"/>
  <c r="N2840" i="5"/>
  <c r="L2840" i="5"/>
  <c r="I2840" i="5"/>
  <c r="H2840" i="5"/>
  <c r="G2840" i="5"/>
  <c r="D2840" i="5"/>
  <c r="N2839" i="5"/>
  <c r="L2839" i="5"/>
  <c r="I2839" i="5"/>
  <c r="H2839" i="5"/>
  <c r="G2839" i="5"/>
  <c r="D2839" i="5"/>
  <c r="N2838" i="5"/>
  <c r="L2838" i="5"/>
  <c r="H2838" i="5"/>
  <c r="G2838" i="5"/>
  <c r="I2838" i="5" s="1"/>
  <c r="D2838" i="5"/>
  <c r="N2837" i="5"/>
  <c r="L2837" i="5"/>
  <c r="H2837" i="5"/>
  <c r="G2837" i="5"/>
  <c r="I2837" i="5" s="1"/>
  <c r="D2837" i="5"/>
  <c r="N2836" i="5"/>
  <c r="L2836" i="5"/>
  <c r="I2836" i="5"/>
  <c r="H2836" i="5"/>
  <c r="G2836" i="5"/>
  <c r="D2836" i="5"/>
  <c r="N2835" i="5"/>
  <c r="L2835" i="5"/>
  <c r="I2835" i="5"/>
  <c r="H2835" i="5"/>
  <c r="G2835" i="5"/>
  <c r="D2835" i="5"/>
  <c r="N2834" i="5"/>
  <c r="L2834" i="5"/>
  <c r="H2834" i="5"/>
  <c r="G2834" i="5"/>
  <c r="I2834" i="5" s="1"/>
  <c r="D2834" i="5"/>
  <c r="N2833" i="5"/>
  <c r="L2833" i="5"/>
  <c r="H2833" i="5"/>
  <c r="G2833" i="5"/>
  <c r="I2833" i="5" s="1"/>
  <c r="D2833" i="5"/>
  <c r="N2832" i="5"/>
  <c r="L2832" i="5"/>
  <c r="I2832" i="5"/>
  <c r="H2832" i="5"/>
  <c r="G2832" i="5"/>
  <c r="D2832" i="5"/>
  <c r="N2831" i="5"/>
  <c r="L2831" i="5"/>
  <c r="I2831" i="5"/>
  <c r="H2831" i="5"/>
  <c r="G2831" i="5"/>
  <c r="D2831" i="5"/>
  <c r="N2830" i="5"/>
  <c r="L2830" i="5"/>
  <c r="H2830" i="5"/>
  <c r="G2830" i="5"/>
  <c r="I2830" i="5" s="1"/>
  <c r="D2830" i="5"/>
  <c r="N2829" i="5"/>
  <c r="L2829" i="5"/>
  <c r="H2829" i="5"/>
  <c r="G2829" i="5"/>
  <c r="I2829" i="5" s="1"/>
  <c r="D2829" i="5"/>
  <c r="N2828" i="5"/>
  <c r="L2828" i="5"/>
  <c r="I2828" i="5"/>
  <c r="H2828" i="5"/>
  <c r="G2828" i="5"/>
  <c r="D2828" i="5"/>
  <c r="N2827" i="5"/>
  <c r="L2827" i="5"/>
  <c r="I2827" i="5"/>
  <c r="H2827" i="5"/>
  <c r="G2827" i="5"/>
  <c r="D2827" i="5"/>
  <c r="N2826" i="5"/>
  <c r="L2826" i="5"/>
  <c r="H2826" i="5"/>
  <c r="G2826" i="5"/>
  <c r="I2826" i="5" s="1"/>
  <c r="D2826" i="5"/>
  <c r="N2825" i="5"/>
  <c r="L2825" i="5"/>
  <c r="H2825" i="5"/>
  <c r="G2825" i="5"/>
  <c r="I2825" i="5" s="1"/>
  <c r="D2825" i="5"/>
  <c r="N2824" i="5"/>
  <c r="L2824" i="5"/>
  <c r="I2824" i="5"/>
  <c r="H2824" i="5"/>
  <c r="G2824" i="5"/>
  <c r="D2824" i="5"/>
  <c r="N2823" i="5"/>
  <c r="L2823" i="5"/>
  <c r="I2823" i="5"/>
  <c r="H2823" i="5"/>
  <c r="G2823" i="5"/>
  <c r="D2823" i="5"/>
  <c r="N2822" i="5"/>
  <c r="L2822" i="5"/>
  <c r="H2822" i="5"/>
  <c r="G2822" i="5"/>
  <c r="I2822" i="5" s="1"/>
  <c r="D2822" i="5"/>
  <c r="N2821" i="5"/>
  <c r="L2821" i="5"/>
  <c r="H2821" i="5"/>
  <c r="G2821" i="5"/>
  <c r="I2821" i="5" s="1"/>
  <c r="D2821" i="5"/>
  <c r="N2820" i="5"/>
  <c r="L2820" i="5"/>
  <c r="I2820" i="5"/>
  <c r="H2820" i="5"/>
  <c r="G2820" i="5"/>
  <c r="D2820" i="5"/>
  <c r="N2819" i="5"/>
  <c r="L2819" i="5"/>
  <c r="I2819" i="5"/>
  <c r="H2819" i="5"/>
  <c r="G2819" i="5"/>
  <c r="D2819" i="5"/>
  <c r="N2818" i="5"/>
  <c r="L2818" i="5"/>
  <c r="H2818" i="5"/>
  <c r="G2818" i="5"/>
  <c r="I2818" i="5" s="1"/>
  <c r="D2818" i="5"/>
  <c r="N2817" i="5"/>
  <c r="L2817" i="5"/>
  <c r="H2817" i="5"/>
  <c r="G2817" i="5"/>
  <c r="I2817" i="5" s="1"/>
  <c r="D2817" i="5"/>
  <c r="N2816" i="5"/>
  <c r="L2816" i="5"/>
  <c r="I2816" i="5"/>
  <c r="H2816" i="5"/>
  <c r="G2816" i="5"/>
  <c r="D2816" i="5"/>
  <c r="N2815" i="5"/>
  <c r="L2815" i="5"/>
  <c r="I2815" i="5"/>
  <c r="H2815" i="5"/>
  <c r="G2815" i="5"/>
  <c r="D2815" i="5"/>
  <c r="N2814" i="5"/>
  <c r="L2814" i="5"/>
  <c r="H2814" i="5"/>
  <c r="G2814" i="5"/>
  <c r="I2814" i="5" s="1"/>
  <c r="D2814" i="5"/>
  <c r="N2813" i="5"/>
  <c r="L2813" i="5"/>
  <c r="H2813" i="5"/>
  <c r="G2813" i="5"/>
  <c r="I2813" i="5" s="1"/>
  <c r="D2813" i="5"/>
  <c r="N2812" i="5"/>
  <c r="L2812" i="5"/>
  <c r="I2812" i="5"/>
  <c r="H2812" i="5"/>
  <c r="G2812" i="5"/>
  <c r="D2812" i="5"/>
  <c r="N2811" i="5"/>
  <c r="L2811" i="5"/>
  <c r="I2811" i="5"/>
  <c r="H2811" i="5"/>
  <c r="G2811" i="5"/>
  <c r="D2811" i="5"/>
  <c r="N2810" i="5"/>
  <c r="L2810" i="5"/>
  <c r="H2810" i="5"/>
  <c r="G2810" i="5"/>
  <c r="I2810" i="5" s="1"/>
  <c r="D2810" i="5"/>
  <c r="N2809" i="5"/>
  <c r="L2809" i="5"/>
  <c r="H2809" i="5"/>
  <c r="G2809" i="5"/>
  <c r="I2809" i="5" s="1"/>
  <c r="D2809" i="5"/>
  <c r="N2808" i="5"/>
  <c r="L2808" i="5"/>
  <c r="I2808" i="5"/>
  <c r="H2808" i="5"/>
  <c r="G2808" i="5"/>
  <c r="D2808" i="5"/>
  <c r="N2807" i="5"/>
  <c r="L2807" i="5"/>
  <c r="I2807" i="5"/>
  <c r="H2807" i="5"/>
  <c r="G2807" i="5"/>
  <c r="D2807" i="5"/>
  <c r="N2806" i="5"/>
  <c r="L2806" i="5"/>
  <c r="H2806" i="5"/>
  <c r="G2806" i="5"/>
  <c r="I2806" i="5" s="1"/>
  <c r="D2806" i="5"/>
  <c r="N2805" i="5"/>
  <c r="L2805" i="5"/>
  <c r="H2805" i="5"/>
  <c r="G2805" i="5"/>
  <c r="I2805" i="5" s="1"/>
  <c r="D2805" i="5"/>
  <c r="N2804" i="5"/>
  <c r="L2804" i="5"/>
  <c r="I2804" i="5"/>
  <c r="H2804" i="5"/>
  <c r="G2804" i="5"/>
  <c r="D2804" i="5"/>
  <c r="N2803" i="5"/>
  <c r="L2803" i="5"/>
  <c r="I2803" i="5"/>
  <c r="H2803" i="5"/>
  <c r="G2803" i="5"/>
  <c r="D2803" i="5"/>
  <c r="N2802" i="5"/>
  <c r="L2802" i="5"/>
  <c r="H2802" i="5"/>
  <c r="G2802" i="5"/>
  <c r="I2802" i="5" s="1"/>
  <c r="D2802" i="5"/>
  <c r="N2801" i="5"/>
  <c r="L2801" i="5"/>
  <c r="H2801" i="5"/>
  <c r="G2801" i="5"/>
  <c r="I2801" i="5" s="1"/>
  <c r="D2801" i="5"/>
  <c r="N2800" i="5"/>
  <c r="L2800" i="5"/>
  <c r="I2800" i="5"/>
  <c r="H2800" i="5"/>
  <c r="G2800" i="5"/>
  <c r="D2800" i="5"/>
  <c r="N2799" i="5"/>
  <c r="L2799" i="5"/>
  <c r="I2799" i="5"/>
  <c r="H2799" i="5"/>
  <c r="G2799" i="5"/>
  <c r="D2799" i="5"/>
  <c r="N2798" i="5"/>
  <c r="L2798" i="5"/>
  <c r="H2798" i="5"/>
  <c r="G2798" i="5"/>
  <c r="I2798" i="5" s="1"/>
  <c r="D2798" i="5"/>
  <c r="N2797" i="5"/>
  <c r="L2797" i="5"/>
  <c r="H2797" i="5"/>
  <c r="G2797" i="5"/>
  <c r="I2797" i="5" s="1"/>
  <c r="D2797" i="5"/>
  <c r="N2796" i="5"/>
  <c r="L2796" i="5"/>
  <c r="I2796" i="5"/>
  <c r="H2796" i="5"/>
  <c r="G2796" i="5"/>
  <c r="D2796" i="5"/>
  <c r="N2795" i="5"/>
  <c r="L2795" i="5"/>
  <c r="I2795" i="5"/>
  <c r="H2795" i="5"/>
  <c r="G2795" i="5"/>
  <c r="D2795" i="5"/>
  <c r="N2794" i="5"/>
  <c r="L2794" i="5"/>
  <c r="H2794" i="5"/>
  <c r="G2794" i="5"/>
  <c r="I2794" i="5" s="1"/>
  <c r="D2794" i="5"/>
  <c r="N2793" i="5"/>
  <c r="L2793" i="5"/>
  <c r="H2793" i="5"/>
  <c r="G2793" i="5"/>
  <c r="I2793" i="5" s="1"/>
  <c r="D2793" i="5"/>
  <c r="N2792" i="5"/>
  <c r="L2792" i="5"/>
  <c r="I2792" i="5"/>
  <c r="H2792" i="5"/>
  <c r="G2792" i="5"/>
  <c r="D2792" i="5"/>
  <c r="N2791" i="5"/>
  <c r="L2791" i="5"/>
  <c r="I2791" i="5"/>
  <c r="H2791" i="5"/>
  <c r="G2791" i="5"/>
  <c r="D2791" i="5"/>
  <c r="N2790" i="5"/>
  <c r="L2790" i="5"/>
  <c r="H2790" i="5"/>
  <c r="G2790" i="5"/>
  <c r="I2790" i="5" s="1"/>
  <c r="D2790" i="5"/>
  <c r="N2789" i="5"/>
  <c r="L2789" i="5"/>
  <c r="H2789" i="5"/>
  <c r="G2789" i="5"/>
  <c r="I2789" i="5" s="1"/>
  <c r="D2789" i="5"/>
  <c r="N2788" i="5"/>
  <c r="L2788" i="5"/>
  <c r="I2788" i="5"/>
  <c r="H2788" i="5"/>
  <c r="G2788" i="5"/>
  <c r="D2788" i="5"/>
  <c r="N2787" i="5"/>
  <c r="L2787" i="5"/>
  <c r="I2787" i="5"/>
  <c r="H2787" i="5"/>
  <c r="G2787" i="5"/>
  <c r="D2787" i="5"/>
  <c r="N2786" i="5"/>
  <c r="L2786" i="5"/>
  <c r="H2786" i="5"/>
  <c r="G2786" i="5"/>
  <c r="I2786" i="5" s="1"/>
  <c r="D2786" i="5"/>
  <c r="N2785" i="5"/>
  <c r="L2785" i="5"/>
  <c r="H2785" i="5"/>
  <c r="G2785" i="5"/>
  <c r="I2785" i="5" s="1"/>
  <c r="D2785" i="5"/>
  <c r="N2784" i="5"/>
  <c r="L2784" i="5"/>
  <c r="I2784" i="5"/>
  <c r="H2784" i="5"/>
  <c r="G2784" i="5"/>
  <c r="D2784" i="5"/>
  <c r="N2783" i="5"/>
  <c r="L2783" i="5"/>
  <c r="I2783" i="5"/>
  <c r="H2783" i="5"/>
  <c r="G2783" i="5"/>
  <c r="D2783" i="5"/>
  <c r="N2782" i="5"/>
  <c r="L2782" i="5"/>
  <c r="H2782" i="5"/>
  <c r="G2782" i="5"/>
  <c r="I2782" i="5" s="1"/>
  <c r="D2782" i="5"/>
  <c r="N2781" i="5"/>
  <c r="L2781" i="5"/>
  <c r="H2781" i="5"/>
  <c r="G2781" i="5"/>
  <c r="I2781" i="5" s="1"/>
  <c r="D2781" i="5"/>
  <c r="N2780" i="5"/>
  <c r="L2780" i="5"/>
  <c r="I2780" i="5"/>
  <c r="H2780" i="5"/>
  <c r="G2780" i="5"/>
  <c r="D2780" i="5"/>
  <c r="N2779" i="5"/>
  <c r="L2779" i="5"/>
  <c r="I2779" i="5"/>
  <c r="H2779" i="5"/>
  <c r="G2779" i="5"/>
  <c r="D2779" i="5"/>
  <c r="N2778" i="5"/>
  <c r="L2778" i="5"/>
  <c r="H2778" i="5"/>
  <c r="G2778" i="5"/>
  <c r="I2778" i="5" s="1"/>
  <c r="D2778" i="5"/>
  <c r="N2777" i="5"/>
  <c r="L2777" i="5"/>
  <c r="H2777" i="5"/>
  <c r="G2777" i="5"/>
  <c r="I2777" i="5" s="1"/>
  <c r="D2777" i="5"/>
  <c r="N2776" i="5"/>
  <c r="L2776" i="5"/>
  <c r="I2776" i="5"/>
  <c r="H2776" i="5"/>
  <c r="G2776" i="5"/>
  <c r="D2776" i="5"/>
  <c r="N2775" i="5"/>
  <c r="L2775" i="5"/>
  <c r="I2775" i="5"/>
  <c r="H2775" i="5"/>
  <c r="G2775" i="5"/>
  <c r="D2775" i="5"/>
  <c r="N2774" i="5"/>
  <c r="L2774" i="5"/>
  <c r="H2774" i="5"/>
  <c r="G2774" i="5"/>
  <c r="I2774" i="5" s="1"/>
  <c r="D2774" i="5"/>
  <c r="N2773" i="5"/>
  <c r="L2773" i="5"/>
  <c r="H2773" i="5"/>
  <c r="G2773" i="5"/>
  <c r="I2773" i="5" s="1"/>
  <c r="D2773" i="5"/>
  <c r="N2772" i="5"/>
  <c r="L2772" i="5"/>
  <c r="I2772" i="5"/>
  <c r="H2772" i="5"/>
  <c r="G2772" i="5"/>
  <c r="D2772" i="5"/>
  <c r="N2771" i="5"/>
  <c r="L2771" i="5"/>
  <c r="I2771" i="5"/>
  <c r="H2771" i="5"/>
  <c r="G2771" i="5"/>
  <c r="D2771" i="5"/>
  <c r="N2770" i="5"/>
  <c r="L2770" i="5"/>
  <c r="H2770" i="5"/>
  <c r="G2770" i="5"/>
  <c r="I2770" i="5" s="1"/>
  <c r="D2770" i="5"/>
  <c r="N2769" i="5"/>
  <c r="L2769" i="5"/>
  <c r="H2769" i="5"/>
  <c r="G2769" i="5"/>
  <c r="I2769" i="5" s="1"/>
  <c r="D2769" i="5"/>
  <c r="N2768" i="5"/>
  <c r="L2768" i="5"/>
  <c r="I2768" i="5"/>
  <c r="H2768" i="5"/>
  <c r="G2768" i="5"/>
  <c r="D2768" i="5"/>
  <c r="N2767" i="5"/>
  <c r="L2767" i="5"/>
  <c r="I2767" i="5"/>
  <c r="H2767" i="5"/>
  <c r="G2767" i="5"/>
  <c r="D2767" i="5"/>
  <c r="N2766" i="5"/>
  <c r="L2766" i="5"/>
  <c r="H2766" i="5"/>
  <c r="G2766" i="5"/>
  <c r="I2766" i="5" s="1"/>
  <c r="D2766" i="5"/>
  <c r="N2765" i="5"/>
  <c r="L2765" i="5"/>
  <c r="H2765" i="5"/>
  <c r="G2765" i="5"/>
  <c r="I2765" i="5" s="1"/>
  <c r="D2765" i="5"/>
  <c r="N2764" i="5"/>
  <c r="L2764" i="5"/>
  <c r="I2764" i="5"/>
  <c r="H2764" i="5"/>
  <c r="G2764" i="5"/>
  <c r="D2764" i="5"/>
  <c r="N2763" i="5"/>
  <c r="L2763" i="5"/>
  <c r="I2763" i="5"/>
  <c r="H2763" i="5"/>
  <c r="G2763" i="5"/>
  <c r="D2763" i="5"/>
  <c r="N2762" i="5"/>
  <c r="L2762" i="5"/>
  <c r="H2762" i="5"/>
  <c r="G2762" i="5"/>
  <c r="I2762" i="5" s="1"/>
  <c r="D2762" i="5"/>
  <c r="N2761" i="5"/>
  <c r="L2761" i="5"/>
  <c r="H2761" i="5"/>
  <c r="G2761" i="5"/>
  <c r="I2761" i="5" s="1"/>
  <c r="D2761" i="5"/>
  <c r="N2760" i="5"/>
  <c r="L2760" i="5"/>
  <c r="I2760" i="5"/>
  <c r="H2760" i="5"/>
  <c r="G2760" i="5"/>
  <c r="D2760" i="5"/>
  <c r="N2759" i="5"/>
  <c r="L2759" i="5"/>
  <c r="I2759" i="5"/>
  <c r="H2759" i="5"/>
  <c r="G2759" i="5"/>
  <c r="D2759" i="5"/>
  <c r="N2758" i="5"/>
  <c r="L2758" i="5"/>
  <c r="H2758" i="5"/>
  <c r="G2758" i="5"/>
  <c r="I2758" i="5" s="1"/>
  <c r="D2758" i="5"/>
  <c r="N2757" i="5"/>
  <c r="L2757" i="5"/>
  <c r="H2757" i="5"/>
  <c r="G2757" i="5"/>
  <c r="I2757" i="5" s="1"/>
  <c r="D2757" i="5"/>
  <c r="N2756" i="5"/>
  <c r="L2756" i="5"/>
  <c r="I2756" i="5"/>
  <c r="H2756" i="5"/>
  <c r="G2756" i="5"/>
  <c r="D2756" i="5"/>
  <c r="N2755" i="5"/>
  <c r="L2755" i="5"/>
  <c r="I2755" i="5"/>
  <c r="H2755" i="5"/>
  <c r="G2755" i="5"/>
  <c r="D2755" i="5"/>
  <c r="N2754" i="5"/>
  <c r="L2754" i="5"/>
  <c r="H2754" i="5"/>
  <c r="G2754" i="5"/>
  <c r="I2754" i="5" s="1"/>
  <c r="D2754" i="5"/>
  <c r="N2753" i="5"/>
  <c r="L2753" i="5"/>
  <c r="H2753" i="5"/>
  <c r="G2753" i="5"/>
  <c r="I2753" i="5" s="1"/>
  <c r="D2753" i="5"/>
  <c r="N2752" i="5"/>
  <c r="L2752" i="5"/>
  <c r="I2752" i="5"/>
  <c r="H2752" i="5"/>
  <c r="G2752" i="5"/>
  <c r="D2752" i="5"/>
  <c r="N2751" i="5"/>
  <c r="L2751" i="5"/>
  <c r="I2751" i="5"/>
  <c r="H2751" i="5"/>
  <c r="G2751" i="5"/>
  <c r="D2751" i="5"/>
  <c r="N2750" i="5"/>
  <c r="L2750" i="5"/>
  <c r="H2750" i="5"/>
  <c r="G2750" i="5"/>
  <c r="I2750" i="5" s="1"/>
  <c r="D2750" i="5"/>
  <c r="N2749" i="5"/>
  <c r="L2749" i="5"/>
  <c r="H2749" i="5"/>
  <c r="G2749" i="5"/>
  <c r="I2749" i="5" s="1"/>
  <c r="D2749" i="5"/>
  <c r="N2748" i="5"/>
  <c r="L2748" i="5"/>
  <c r="I2748" i="5"/>
  <c r="H2748" i="5"/>
  <c r="G2748" i="5"/>
  <c r="D2748" i="5"/>
  <c r="N2747" i="5"/>
  <c r="L2747" i="5"/>
  <c r="I2747" i="5"/>
  <c r="H2747" i="5"/>
  <c r="G2747" i="5"/>
  <c r="D2747" i="5"/>
  <c r="N2746" i="5"/>
  <c r="L2746" i="5"/>
  <c r="H2746" i="5"/>
  <c r="G2746" i="5"/>
  <c r="I2746" i="5" s="1"/>
  <c r="D2746" i="5"/>
  <c r="N2745" i="5"/>
  <c r="L2745" i="5"/>
  <c r="H2745" i="5"/>
  <c r="G2745" i="5"/>
  <c r="I2745" i="5" s="1"/>
  <c r="D2745" i="5"/>
  <c r="N2744" i="5"/>
  <c r="L2744" i="5"/>
  <c r="I2744" i="5"/>
  <c r="H2744" i="5"/>
  <c r="G2744" i="5"/>
  <c r="D2744" i="5"/>
  <c r="N2743" i="5"/>
  <c r="L2743" i="5"/>
  <c r="I2743" i="5"/>
  <c r="H2743" i="5"/>
  <c r="G2743" i="5"/>
  <c r="D2743" i="5"/>
  <c r="N2742" i="5"/>
  <c r="L2742" i="5"/>
  <c r="H2742" i="5"/>
  <c r="G2742" i="5"/>
  <c r="I2742" i="5" s="1"/>
  <c r="D2742" i="5"/>
  <c r="N2741" i="5"/>
  <c r="L2741" i="5"/>
  <c r="H2741" i="5"/>
  <c r="G2741" i="5"/>
  <c r="I2741" i="5" s="1"/>
  <c r="D2741" i="5"/>
  <c r="N2740" i="5"/>
  <c r="L2740" i="5"/>
  <c r="I2740" i="5"/>
  <c r="H2740" i="5"/>
  <c r="G2740" i="5"/>
  <c r="D2740" i="5"/>
  <c r="N2739" i="5"/>
  <c r="L2739" i="5"/>
  <c r="I2739" i="5"/>
  <c r="H2739" i="5"/>
  <c r="G2739" i="5"/>
  <c r="D2739" i="5"/>
  <c r="N2738" i="5"/>
  <c r="L2738" i="5"/>
  <c r="H2738" i="5"/>
  <c r="G2738" i="5"/>
  <c r="I2738" i="5" s="1"/>
  <c r="D2738" i="5"/>
  <c r="N2737" i="5"/>
  <c r="L2737" i="5"/>
  <c r="H2737" i="5"/>
  <c r="G2737" i="5"/>
  <c r="I2737" i="5" s="1"/>
  <c r="D2737" i="5"/>
  <c r="N2736" i="5"/>
  <c r="L2736" i="5"/>
  <c r="I2736" i="5"/>
  <c r="H2736" i="5"/>
  <c r="G2736" i="5"/>
  <c r="D2736" i="5"/>
  <c r="N2735" i="5"/>
  <c r="L2735" i="5"/>
  <c r="I2735" i="5"/>
  <c r="H2735" i="5"/>
  <c r="G2735" i="5"/>
  <c r="D2735" i="5"/>
  <c r="N2734" i="5"/>
  <c r="L2734" i="5"/>
  <c r="H2734" i="5"/>
  <c r="G2734" i="5"/>
  <c r="I2734" i="5" s="1"/>
  <c r="D2734" i="5"/>
  <c r="N2733" i="5"/>
  <c r="L2733" i="5"/>
  <c r="H2733" i="5"/>
  <c r="G2733" i="5"/>
  <c r="I2733" i="5" s="1"/>
  <c r="D2733" i="5"/>
  <c r="N2732" i="5"/>
  <c r="L2732" i="5"/>
  <c r="I2732" i="5"/>
  <c r="H2732" i="5"/>
  <c r="G2732" i="5"/>
  <c r="D2732" i="5"/>
  <c r="N2731" i="5"/>
  <c r="L2731" i="5"/>
  <c r="I2731" i="5"/>
  <c r="H2731" i="5"/>
  <c r="G2731" i="5"/>
  <c r="D2731" i="5"/>
  <c r="N2730" i="5"/>
  <c r="L2730" i="5"/>
  <c r="H2730" i="5"/>
  <c r="G2730" i="5"/>
  <c r="I2730" i="5" s="1"/>
  <c r="D2730" i="5"/>
  <c r="N2729" i="5"/>
  <c r="L2729" i="5"/>
  <c r="H2729" i="5"/>
  <c r="G2729" i="5"/>
  <c r="I2729" i="5" s="1"/>
  <c r="D2729" i="5"/>
  <c r="N2728" i="5"/>
  <c r="L2728" i="5"/>
  <c r="I2728" i="5"/>
  <c r="H2728" i="5"/>
  <c r="G2728" i="5"/>
  <c r="D2728" i="5"/>
  <c r="N2727" i="5"/>
  <c r="L2727" i="5"/>
  <c r="I2727" i="5"/>
  <c r="H2727" i="5"/>
  <c r="G2727" i="5"/>
  <c r="D2727" i="5"/>
  <c r="N2726" i="5"/>
  <c r="L2726" i="5"/>
  <c r="H2726" i="5"/>
  <c r="G2726" i="5"/>
  <c r="I2726" i="5" s="1"/>
  <c r="D2726" i="5"/>
  <c r="N2725" i="5"/>
  <c r="L2725" i="5"/>
  <c r="H2725" i="5"/>
  <c r="G2725" i="5"/>
  <c r="I2725" i="5" s="1"/>
  <c r="D2725" i="5"/>
  <c r="N2724" i="5"/>
  <c r="L2724" i="5"/>
  <c r="I2724" i="5"/>
  <c r="H2724" i="5"/>
  <c r="G2724" i="5"/>
  <c r="D2724" i="5"/>
  <c r="N2723" i="5"/>
  <c r="L2723" i="5"/>
  <c r="I2723" i="5"/>
  <c r="H2723" i="5"/>
  <c r="G2723" i="5"/>
  <c r="D2723" i="5"/>
  <c r="N2722" i="5"/>
  <c r="L2722" i="5"/>
  <c r="H2722" i="5"/>
  <c r="G2722" i="5"/>
  <c r="I2722" i="5" s="1"/>
  <c r="D2722" i="5"/>
  <c r="N2721" i="5"/>
  <c r="L2721" i="5"/>
  <c r="H2721" i="5"/>
  <c r="G2721" i="5"/>
  <c r="I2721" i="5" s="1"/>
  <c r="D2721" i="5"/>
  <c r="N2720" i="5"/>
  <c r="L2720" i="5"/>
  <c r="I2720" i="5"/>
  <c r="H2720" i="5"/>
  <c r="G2720" i="5"/>
  <c r="D2720" i="5"/>
  <c r="N2719" i="5"/>
  <c r="L2719" i="5"/>
  <c r="I2719" i="5"/>
  <c r="H2719" i="5"/>
  <c r="G2719" i="5"/>
  <c r="D2719" i="5"/>
  <c r="N2718" i="5"/>
  <c r="L2718" i="5"/>
  <c r="H2718" i="5"/>
  <c r="G2718" i="5"/>
  <c r="I2718" i="5" s="1"/>
  <c r="D2718" i="5"/>
  <c r="N2717" i="5"/>
  <c r="L2717" i="5"/>
  <c r="H2717" i="5"/>
  <c r="G2717" i="5"/>
  <c r="I2717" i="5" s="1"/>
  <c r="D2717" i="5"/>
  <c r="N2716" i="5"/>
  <c r="L2716" i="5"/>
  <c r="I2716" i="5"/>
  <c r="H2716" i="5"/>
  <c r="G2716" i="5"/>
  <c r="D2716" i="5"/>
  <c r="N2715" i="5"/>
  <c r="L2715" i="5"/>
  <c r="I2715" i="5"/>
  <c r="H2715" i="5"/>
  <c r="G2715" i="5"/>
  <c r="D2715" i="5"/>
  <c r="N2714" i="5"/>
  <c r="L2714" i="5"/>
  <c r="H2714" i="5"/>
  <c r="G2714" i="5"/>
  <c r="I2714" i="5" s="1"/>
  <c r="D2714" i="5"/>
  <c r="N2713" i="5"/>
  <c r="L2713" i="5"/>
  <c r="H2713" i="5"/>
  <c r="G2713" i="5"/>
  <c r="I2713" i="5" s="1"/>
  <c r="D2713" i="5"/>
  <c r="N2712" i="5"/>
  <c r="L2712" i="5"/>
  <c r="I2712" i="5"/>
  <c r="H2712" i="5"/>
  <c r="G2712" i="5"/>
  <c r="D2712" i="5"/>
  <c r="N2711" i="5"/>
  <c r="L2711" i="5"/>
  <c r="I2711" i="5"/>
  <c r="H2711" i="5"/>
  <c r="G2711" i="5"/>
  <c r="D2711" i="5"/>
  <c r="N2710" i="5"/>
  <c r="L2710" i="5"/>
  <c r="H2710" i="5"/>
  <c r="G2710" i="5"/>
  <c r="I2710" i="5" s="1"/>
  <c r="D2710" i="5"/>
  <c r="N2709" i="5"/>
  <c r="L2709" i="5"/>
  <c r="H2709" i="5"/>
  <c r="G2709" i="5"/>
  <c r="I2709" i="5" s="1"/>
  <c r="D2709" i="5"/>
  <c r="N2708" i="5"/>
  <c r="L2708" i="5"/>
  <c r="I2708" i="5"/>
  <c r="H2708" i="5"/>
  <c r="G2708" i="5"/>
  <c r="D2708" i="5"/>
  <c r="N2707" i="5"/>
  <c r="L2707" i="5"/>
  <c r="I2707" i="5"/>
  <c r="H2707" i="5"/>
  <c r="G2707" i="5"/>
  <c r="D2707" i="5"/>
  <c r="N2706" i="5"/>
  <c r="L2706" i="5"/>
  <c r="H2706" i="5"/>
  <c r="G2706" i="5"/>
  <c r="I2706" i="5" s="1"/>
  <c r="D2706" i="5"/>
  <c r="N2705" i="5"/>
  <c r="L2705" i="5"/>
  <c r="H2705" i="5"/>
  <c r="G2705" i="5"/>
  <c r="I2705" i="5" s="1"/>
  <c r="D2705" i="5"/>
  <c r="N2704" i="5"/>
  <c r="L2704" i="5"/>
  <c r="I2704" i="5"/>
  <c r="H2704" i="5"/>
  <c r="G2704" i="5"/>
  <c r="D2704" i="5"/>
  <c r="N2703" i="5"/>
  <c r="L2703" i="5"/>
  <c r="I2703" i="5"/>
  <c r="H2703" i="5"/>
  <c r="G2703" i="5"/>
  <c r="D2703" i="5"/>
  <c r="N2702" i="5"/>
  <c r="L2702" i="5"/>
  <c r="H2702" i="5"/>
  <c r="G2702" i="5"/>
  <c r="I2702" i="5" s="1"/>
  <c r="D2702" i="5"/>
  <c r="N2701" i="5"/>
  <c r="L2701" i="5"/>
  <c r="H2701" i="5"/>
  <c r="G2701" i="5"/>
  <c r="I2701" i="5" s="1"/>
  <c r="D2701" i="5"/>
  <c r="N2700" i="5"/>
  <c r="L2700" i="5"/>
  <c r="I2700" i="5"/>
  <c r="H2700" i="5"/>
  <c r="G2700" i="5"/>
  <c r="D2700" i="5"/>
  <c r="N2699" i="5"/>
  <c r="L2699" i="5"/>
  <c r="I2699" i="5"/>
  <c r="H2699" i="5"/>
  <c r="G2699" i="5"/>
  <c r="D2699" i="5"/>
  <c r="N2698" i="5"/>
  <c r="L2698" i="5"/>
  <c r="H2698" i="5"/>
  <c r="G2698" i="5"/>
  <c r="I2698" i="5" s="1"/>
  <c r="D2698" i="5"/>
  <c r="N2697" i="5"/>
  <c r="L2697" i="5"/>
  <c r="H2697" i="5"/>
  <c r="G2697" i="5"/>
  <c r="I2697" i="5" s="1"/>
  <c r="D2697" i="5"/>
  <c r="N2696" i="5"/>
  <c r="L2696" i="5"/>
  <c r="I2696" i="5"/>
  <c r="H2696" i="5"/>
  <c r="G2696" i="5"/>
  <c r="D2696" i="5"/>
  <c r="N2695" i="5"/>
  <c r="L2695" i="5"/>
  <c r="I2695" i="5"/>
  <c r="H2695" i="5"/>
  <c r="G2695" i="5"/>
  <c r="D2695" i="5"/>
  <c r="N2694" i="5"/>
  <c r="L2694" i="5"/>
  <c r="H2694" i="5"/>
  <c r="G2694" i="5"/>
  <c r="I2694" i="5" s="1"/>
  <c r="D2694" i="5"/>
  <c r="N2693" i="5"/>
  <c r="L2693" i="5"/>
  <c r="H2693" i="5"/>
  <c r="G2693" i="5"/>
  <c r="I2693" i="5" s="1"/>
  <c r="D2693" i="5"/>
  <c r="N2692" i="5"/>
  <c r="L2692" i="5"/>
  <c r="I2692" i="5"/>
  <c r="H2692" i="5"/>
  <c r="G2692" i="5"/>
  <c r="D2692" i="5"/>
  <c r="N2691" i="5"/>
  <c r="L2691" i="5"/>
  <c r="I2691" i="5"/>
  <c r="H2691" i="5"/>
  <c r="G2691" i="5"/>
  <c r="D2691" i="5"/>
  <c r="N2690" i="5"/>
  <c r="L2690" i="5"/>
  <c r="H2690" i="5"/>
  <c r="G2690" i="5"/>
  <c r="I2690" i="5" s="1"/>
  <c r="D2690" i="5"/>
  <c r="N2689" i="5"/>
  <c r="L2689" i="5"/>
  <c r="H2689" i="5"/>
  <c r="G2689" i="5"/>
  <c r="I2689" i="5" s="1"/>
  <c r="D2689" i="5"/>
  <c r="N2688" i="5"/>
  <c r="L2688" i="5"/>
  <c r="I2688" i="5"/>
  <c r="H2688" i="5"/>
  <c r="G2688" i="5"/>
  <c r="D2688" i="5"/>
  <c r="N2687" i="5"/>
  <c r="L2687" i="5"/>
  <c r="I2687" i="5"/>
  <c r="H2687" i="5"/>
  <c r="G2687" i="5"/>
  <c r="D2687" i="5"/>
  <c r="N2686" i="5"/>
  <c r="L2686" i="5"/>
  <c r="H2686" i="5"/>
  <c r="G2686" i="5"/>
  <c r="I2686" i="5" s="1"/>
  <c r="D2686" i="5"/>
  <c r="N2685" i="5"/>
  <c r="L2685" i="5"/>
  <c r="H2685" i="5"/>
  <c r="G2685" i="5"/>
  <c r="I2685" i="5" s="1"/>
  <c r="D2685" i="5"/>
  <c r="N2684" i="5"/>
  <c r="L2684" i="5"/>
  <c r="I2684" i="5"/>
  <c r="H2684" i="5"/>
  <c r="G2684" i="5"/>
  <c r="D2684" i="5"/>
  <c r="N2683" i="5"/>
  <c r="L2683" i="5"/>
  <c r="I2683" i="5"/>
  <c r="H2683" i="5"/>
  <c r="G2683" i="5"/>
  <c r="D2683" i="5"/>
  <c r="N2682" i="5"/>
  <c r="L2682" i="5"/>
  <c r="H2682" i="5"/>
  <c r="G2682" i="5"/>
  <c r="I2682" i="5" s="1"/>
  <c r="D2682" i="5"/>
  <c r="N2681" i="5"/>
  <c r="L2681" i="5"/>
  <c r="H2681" i="5"/>
  <c r="G2681" i="5"/>
  <c r="I2681" i="5" s="1"/>
  <c r="D2681" i="5"/>
  <c r="N2680" i="5"/>
  <c r="L2680" i="5"/>
  <c r="I2680" i="5"/>
  <c r="H2680" i="5"/>
  <c r="G2680" i="5"/>
  <c r="D2680" i="5"/>
  <c r="N2679" i="5"/>
  <c r="L2679" i="5"/>
  <c r="H2679" i="5"/>
  <c r="G2679" i="5"/>
  <c r="I2679" i="5" s="1"/>
  <c r="D2679" i="5"/>
  <c r="N2678" i="5"/>
  <c r="L2678" i="5"/>
  <c r="H2678" i="5"/>
  <c r="G2678" i="5"/>
  <c r="I2678" i="5" s="1"/>
  <c r="D2678" i="5"/>
  <c r="N2677" i="5"/>
  <c r="L2677" i="5"/>
  <c r="H2677" i="5"/>
  <c r="G2677" i="5"/>
  <c r="I2677" i="5" s="1"/>
  <c r="D2677" i="5"/>
  <c r="N2676" i="5"/>
  <c r="L2676" i="5"/>
  <c r="I2676" i="5"/>
  <c r="H2676" i="5"/>
  <c r="G2676" i="5"/>
  <c r="D2676" i="5"/>
  <c r="N2675" i="5"/>
  <c r="L2675" i="5"/>
  <c r="H2675" i="5"/>
  <c r="G2675" i="5"/>
  <c r="I2675" i="5" s="1"/>
  <c r="D2675" i="5"/>
  <c r="N2674" i="5"/>
  <c r="L2674" i="5"/>
  <c r="H2674" i="5"/>
  <c r="G2674" i="5"/>
  <c r="I2674" i="5" s="1"/>
  <c r="D2674" i="5"/>
  <c r="N2673" i="5"/>
  <c r="L2673" i="5"/>
  <c r="H2673" i="5"/>
  <c r="G2673" i="5"/>
  <c r="I2673" i="5" s="1"/>
  <c r="D2673" i="5"/>
  <c r="N2672" i="5"/>
  <c r="L2672" i="5"/>
  <c r="I2672" i="5"/>
  <c r="H2672" i="5"/>
  <c r="G2672" i="5"/>
  <c r="D2672" i="5"/>
  <c r="N2671" i="5"/>
  <c r="L2671" i="5"/>
  <c r="I2671" i="5"/>
  <c r="H2671" i="5"/>
  <c r="G2671" i="5"/>
  <c r="D2671" i="5"/>
  <c r="N2670" i="5"/>
  <c r="L2670" i="5"/>
  <c r="H2670" i="5"/>
  <c r="G2670" i="5"/>
  <c r="I2670" i="5" s="1"/>
  <c r="D2670" i="5"/>
  <c r="N2669" i="5"/>
  <c r="L2669" i="5"/>
  <c r="H2669" i="5"/>
  <c r="G2669" i="5"/>
  <c r="I2669" i="5" s="1"/>
  <c r="D2669" i="5"/>
  <c r="N2668" i="5"/>
  <c r="L2668" i="5"/>
  <c r="I2668" i="5"/>
  <c r="H2668" i="5"/>
  <c r="G2668" i="5"/>
  <c r="D2668" i="5"/>
  <c r="N2667" i="5"/>
  <c r="L2667" i="5"/>
  <c r="H2667" i="5"/>
  <c r="G2667" i="5"/>
  <c r="I2667" i="5" s="1"/>
  <c r="D2667" i="5"/>
  <c r="N2666" i="5"/>
  <c r="L2666" i="5"/>
  <c r="H2666" i="5"/>
  <c r="G2666" i="5"/>
  <c r="I2666" i="5" s="1"/>
  <c r="D2666" i="5"/>
  <c r="N2665" i="5"/>
  <c r="L2665" i="5"/>
  <c r="H2665" i="5"/>
  <c r="G2665" i="5"/>
  <c r="I2665" i="5" s="1"/>
  <c r="D2665" i="5"/>
  <c r="N2664" i="5"/>
  <c r="L2664" i="5"/>
  <c r="I2664" i="5"/>
  <c r="H2664" i="5"/>
  <c r="G2664" i="5"/>
  <c r="D2664" i="5"/>
  <c r="N2663" i="5"/>
  <c r="L2663" i="5"/>
  <c r="H2663" i="5"/>
  <c r="G2663" i="5"/>
  <c r="I2663" i="5" s="1"/>
  <c r="D2663" i="5"/>
  <c r="N2662" i="5"/>
  <c r="L2662" i="5"/>
  <c r="H2662" i="5"/>
  <c r="G2662" i="5"/>
  <c r="I2662" i="5" s="1"/>
  <c r="D2662" i="5"/>
  <c r="N2661" i="5"/>
  <c r="L2661" i="5"/>
  <c r="H2661" i="5"/>
  <c r="G2661" i="5"/>
  <c r="I2661" i="5" s="1"/>
  <c r="D2661" i="5"/>
  <c r="N2660" i="5"/>
  <c r="L2660" i="5"/>
  <c r="I2660" i="5"/>
  <c r="H2660" i="5"/>
  <c r="G2660" i="5"/>
  <c r="D2660" i="5"/>
  <c r="N2659" i="5"/>
  <c r="L2659" i="5"/>
  <c r="H2659" i="5"/>
  <c r="G2659" i="5"/>
  <c r="I2659" i="5" s="1"/>
  <c r="D2659" i="5"/>
  <c r="N2658" i="5"/>
  <c r="L2658" i="5"/>
  <c r="H2658" i="5"/>
  <c r="G2658" i="5"/>
  <c r="I2658" i="5" s="1"/>
  <c r="D2658" i="5"/>
  <c r="N2657" i="5"/>
  <c r="L2657" i="5"/>
  <c r="H2657" i="5"/>
  <c r="G2657" i="5"/>
  <c r="I2657" i="5" s="1"/>
  <c r="D2657" i="5"/>
  <c r="N2656" i="5"/>
  <c r="L2656" i="5"/>
  <c r="I2656" i="5"/>
  <c r="H2656" i="5"/>
  <c r="G2656" i="5"/>
  <c r="D2656" i="5"/>
  <c r="N2655" i="5"/>
  <c r="L2655" i="5"/>
  <c r="I2655" i="5"/>
  <c r="H2655" i="5"/>
  <c r="G2655" i="5"/>
  <c r="D2655" i="5"/>
  <c r="N2654" i="5"/>
  <c r="L2654" i="5"/>
  <c r="H2654" i="5"/>
  <c r="G2654" i="5"/>
  <c r="I2654" i="5" s="1"/>
  <c r="D2654" i="5"/>
  <c r="N2653" i="5"/>
  <c r="L2653" i="5"/>
  <c r="H2653" i="5"/>
  <c r="G2653" i="5"/>
  <c r="I2653" i="5" s="1"/>
  <c r="D2653" i="5"/>
  <c r="N2652" i="5"/>
  <c r="L2652" i="5"/>
  <c r="I2652" i="5"/>
  <c r="H2652" i="5"/>
  <c r="G2652" i="5"/>
  <c r="D2652" i="5"/>
  <c r="N2651" i="5"/>
  <c r="L2651" i="5"/>
  <c r="H2651" i="5"/>
  <c r="G2651" i="5"/>
  <c r="I2651" i="5" s="1"/>
  <c r="D2651" i="5"/>
  <c r="N2650" i="5"/>
  <c r="L2650" i="5"/>
  <c r="H2650" i="5"/>
  <c r="G2650" i="5"/>
  <c r="I2650" i="5" s="1"/>
  <c r="D2650" i="5"/>
  <c r="N2649" i="5"/>
  <c r="L2649" i="5"/>
  <c r="H2649" i="5"/>
  <c r="G2649" i="5"/>
  <c r="I2649" i="5" s="1"/>
  <c r="D2649" i="5"/>
  <c r="N2648" i="5"/>
  <c r="L2648" i="5"/>
  <c r="I2648" i="5"/>
  <c r="H2648" i="5"/>
  <c r="G2648" i="5"/>
  <c r="D2648" i="5"/>
  <c r="N2647" i="5"/>
  <c r="L2647" i="5"/>
  <c r="H2647" i="5"/>
  <c r="G2647" i="5"/>
  <c r="I2647" i="5" s="1"/>
  <c r="D2647" i="5"/>
  <c r="N2646" i="5"/>
  <c r="L2646" i="5"/>
  <c r="H2646" i="5"/>
  <c r="G2646" i="5"/>
  <c r="I2646" i="5" s="1"/>
  <c r="D2646" i="5"/>
  <c r="N2645" i="5"/>
  <c r="L2645" i="5"/>
  <c r="H2645" i="5"/>
  <c r="G2645" i="5"/>
  <c r="I2645" i="5" s="1"/>
  <c r="D2645" i="5"/>
  <c r="N2644" i="5"/>
  <c r="L2644" i="5"/>
  <c r="I2644" i="5"/>
  <c r="H2644" i="5"/>
  <c r="G2644" i="5"/>
  <c r="D2644" i="5"/>
  <c r="N2643" i="5"/>
  <c r="L2643" i="5"/>
  <c r="H2643" i="5"/>
  <c r="G2643" i="5"/>
  <c r="I2643" i="5" s="1"/>
  <c r="D2643" i="5"/>
  <c r="N2642" i="5"/>
  <c r="L2642" i="5"/>
  <c r="I2642" i="5"/>
  <c r="H2642" i="5"/>
  <c r="G2642" i="5"/>
  <c r="D2642" i="5"/>
  <c r="N2641" i="5"/>
  <c r="L2641" i="5"/>
  <c r="H2641" i="5"/>
  <c r="G2641" i="5"/>
  <c r="I2641" i="5" s="1"/>
  <c r="D2641" i="5"/>
  <c r="N2640" i="5"/>
  <c r="L2640" i="5"/>
  <c r="I2640" i="5"/>
  <c r="H2640" i="5"/>
  <c r="G2640" i="5"/>
  <c r="D2640" i="5"/>
  <c r="N2639" i="5"/>
  <c r="L2639" i="5"/>
  <c r="I2639" i="5"/>
  <c r="H2639" i="5"/>
  <c r="G2639" i="5"/>
  <c r="D2639" i="5"/>
  <c r="N2638" i="5"/>
  <c r="L2638" i="5"/>
  <c r="I2638" i="5"/>
  <c r="H2638" i="5"/>
  <c r="G2638" i="5"/>
  <c r="D2638" i="5"/>
  <c r="N2637" i="5"/>
  <c r="L2637" i="5"/>
  <c r="H2637" i="5"/>
  <c r="G2637" i="5"/>
  <c r="I2637" i="5" s="1"/>
  <c r="D2637" i="5"/>
  <c r="N2636" i="5"/>
  <c r="L2636" i="5"/>
  <c r="I2636" i="5"/>
  <c r="H2636" i="5"/>
  <c r="G2636" i="5"/>
  <c r="D2636" i="5"/>
  <c r="N2635" i="5"/>
  <c r="L2635" i="5"/>
  <c r="I2635" i="5"/>
  <c r="H2635" i="5"/>
  <c r="G2635" i="5"/>
  <c r="D2635" i="5"/>
  <c r="N2634" i="5"/>
  <c r="L2634" i="5"/>
  <c r="H2634" i="5"/>
  <c r="G2634" i="5"/>
  <c r="I2634" i="5" s="1"/>
  <c r="D2634" i="5"/>
  <c r="N2633" i="5"/>
  <c r="L2633" i="5"/>
  <c r="H2633" i="5"/>
  <c r="G2633" i="5"/>
  <c r="I2633" i="5" s="1"/>
  <c r="D2633" i="5"/>
  <c r="N2632" i="5"/>
  <c r="L2632" i="5"/>
  <c r="I2632" i="5"/>
  <c r="H2632" i="5"/>
  <c r="G2632" i="5"/>
  <c r="D2632" i="5"/>
  <c r="N2631" i="5"/>
  <c r="L2631" i="5"/>
  <c r="I2631" i="5"/>
  <c r="H2631" i="5"/>
  <c r="G2631" i="5"/>
  <c r="D2631" i="5"/>
  <c r="N2630" i="5"/>
  <c r="L2630" i="5"/>
  <c r="H2630" i="5"/>
  <c r="G2630" i="5"/>
  <c r="I2630" i="5" s="1"/>
  <c r="D2630" i="5"/>
  <c r="N2629" i="5"/>
  <c r="L2629" i="5"/>
  <c r="H2629" i="5"/>
  <c r="G2629" i="5"/>
  <c r="I2629" i="5" s="1"/>
  <c r="D2629" i="5"/>
  <c r="N2628" i="5"/>
  <c r="L2628" i="5"/>
  <c r="I2628" i="5"/>
  <c r="H2628" i="5"/>
  <c r="G2628" i="5"/>
  <c r="D2628" i="5"/>
  <c r="N2627" i="5"/>
  <c r="L2627" i="5"/>
  <c r="H2627" i="5"/>
  <c r="G2627" i="5"/>
  <c r="I2627" i="5" s="1"/>
  <c r="D2627" i="5"/>
  <c r="N2626" i="5"/>
  <c r="L2626" i="5"/>
  <c r="H2626" i="5"/>
  <c r="G2626" i="5"/>
  <c r="I2626" i="5" s="1"/>
  <c r="D2626" i="5"/>
  <c r="N2625" i="5"/>
  <c r="L2625" i="5"/>
  <c r="H2625" i="5"/>
  <c r="G2625" i="5"/>
  <c r="I2625" i="5" s="1"/>
  <c r="D2625" i="5"/>
  <c r="N2624" i="5"/>
  <c r="L2624" i="5"/>
  <c r="I2624" i="5"/>
  <c r="H2624" i="5"/>
  <c r="G2624" i="5"/>
  <c r="D2624" i="5"/>
  <c r="N2623" i="5"/>
  <c r="L2623" i="5"/>
  <c r="H2623" i="5"/>
  <c r="G2623" i="5"/>
  <c r="I2623" i="5" s="1"/>
  <c r="D2623" i="5"/>
  <c r="N2622" i="5"/>
  <c r="L2622" i="5"/>
  <c r="H2622" i="5"/>
  <c r="G2622" i="5"/>
  <c r="I2622" i="5" s="1"/>
  <c r="D2622" i="5"/>
  <c r="N2621" i="5"/>
  <c r="L2621" i="5"/>
  <c r="H2621" i="5"/>
  <c r="G2621" i="5"/>
  <c r="I2621" i="5" s="1"/>
  <c r="D2621" i="5"/>
  <c r="N2620" i="5"/>
  <c r="L2620" i="5"/>
  <c r="H2620" i="5"/>
  <c r="G2620" i="5"/>
  <c r="I2620" i="5" s="1"/>
  <c r="D2620" i="5"/>
  <c r="N2619" i="5"/>
  <c r="L2619" i="5"/>
  <c r="H2619" i="5"/>
  <c r="G2619" i="5"/>
  <c r="I2619" i="5" s="1"/>
  <c r="D2619" i="5"/>
  <c r="N2618" i="5"/>
  <c r="L2618" i="5"/>
  <c r="I2618" i="5"/>
  <c r="H2618" i="5"/>
  <c r="G2618" i="5"/>
  <c r="D2618" i="5"/>
  <c r="N2617" i="5"/>
  <c r="L2617" i="5"/>
  <c r="I2617" i="5"/>
  <c r="H2617" i="5"/>
  <c r="G2617" i="5"/>
  <c r="D2617" i="5"/>
  <c r="N2616" i="5"/>
  <c r="L2616" i="5"/>
  <c r="H2616" i="5"/>
  <c r="G2616" i="5"/>
  <c r="I2616" i="5" s="1"/>
  <c r="D2616" i="5"/>
  <c r="N2615" i="5"/>
  <c r="L2615" i="5"/>
  <c r="H2615" i="5"/>
  <c r="G2615" i="5"/>
  <c r="I2615" i="5" s="1"/>
  <c r="D2615" i="5"/>
  <c r="N2614" i="5"/>
  <c r="L2614" i="5"/>
  <c r="I2614" i="5"/>
  <c r="H2614" i="5"/>
  <c r="G2614" i="5"/>
  <c r="D2614" i="5"/>
  <c r="N2613" i="5"/>
  <c r="L2613" i="5"/>
  <c r="I2613" i="5"/>
  <c r="H2613" i="5"/>
  <c r="G2613" i="5"/>
  <c r="D2613" i="5"/>
  <c r="N2612" i="5"/>
  <c r="L2612" i="5"/>
  <c r="H2612" i="5"/>
  <c r="G2612" i="5"/>
  <c r="I2612" i="5" s="1"/>
  <c r="D2612" i="5"/>
  <c r="N2611" i="5"/>
  <c r="L2611" i="5"/>
  <c r="H2611" i="5"/>
  <c r="G2611" i="5"/>
  <c r="I2611" i="5" s="1"/>
  <c r="D2611" i="5"/>
  <c r="N2610" i="5"/>
  <c r="L2610" i="5"/>
  <c r="I2610" i="5"/>
  <c r="H2610" i="5"/>
  <c r="G2610" i="5"/>
  <c r="D2610" i="5"/>
  <c r="N2609" i="5"/>
  <c r="L2609" i="5"/>
  <c r="I2609" i="5"/>
  <c r="H2609" i="5"/>
  <c r="G2609" i="5"/>
  <c r="D2609" i="5"/>
  <c r="N2608" i="5"/>
  <c r="L2608" i="5"/>
  <c r="H2608" i="5"/>
  <c r="G2608" i="5"/>
  <c r="I2608" i="5" s="1"/>
  <c r="D2608" i="5"/>
  <c r="N2607" i="5"/>
  <c r="L2607" i="5"/>
  <c r="H2607" i="5"/>
  <c r="G2607" i="5"/>
  <c r="I2607" i="5" s="1"/>
  <c r="D2607" i="5"/>
  <c r="N2606" i="5"/>
  <c r="L2606" i="5"/>
  <c r="I2606" i="5"/>
  <c r="H2606" i="5"/>
  <c r="G2606" i="5"/>
  <c r="D2606" i="5"/>
  <c r="N2605" i="5"/>
  <c r="L2605" i="5"/>
  <c r="I2605" i="5"/>
  <c r="H2605" i="5"/>
  <c r="G2605" i="5"/>
  <c r="D2605" i="5"/>
  <c r="N2604" i="5"/>
  <c r="L2604" i="5"/>
  <c r="H2604" i="5"/>
  <c r="G2604" i="5"/>
  <c r="I2604" i="5" s="1"/>
  <c r="D2604" i="5"/>
  <c r="N2603" i="5"/>
  <c r="L2603" i="5"/>
  <c r="H2603" i="5"/>
  <c r="G2603" i="5"/>
  <c r="I2603" i="5" s="1"/>
  <c r="D2603" i="5"/>
  <c r="N2602" i="5"/>
  <c r="L2602" i="5"/>
  <c r="I2602" i="5"/>
  <c r="H2602" i="5"/>
  <c r="G2602" i="5"/>
  <c r="D2602" i="5"/>
  <c r="N2601" i="5"/>
  <c r="L2601" i="5"/>
  <c r="I2601" i="5"/>
  <c r="H2601" i="5"/>
  <c r="G2601" i="5"/>
  <c r="D2601" i="5"/>
  <c r="N2600" i="5"/>
  <c r="L2600" i="5"/>
  <c r="H2600" i="5"/>
  <c r="G2600" i="5"/>
  <c r="I2600" i="5" s="1"/>
  <c r="D2600" i="5"/>
  <c r="N2599" i="5"/>
  <c r="L2599" i="5"/>
  <c r="H2599" i="5"/>
  <c r="G2599" i="5"/>
  <c r="I2599" i="5" s="1"/>
  <c r="D2599" i="5"/>
  <c r="N2598" i="5"/>
  <c r="L2598" i="5"/>
  <c r="I2598" i="5"/>
  <c r="H2598" i="5"/>
  <c r="G2598" i="5"/>
  <c r="D2598" i="5"/>
  <c r="N2597" i="5"/>
  <c r="L2597" i="5"/>
  <c r="I2597" i="5"/>
  <c r="H2597" i="5"/>
  <c r="G2597" i="5"/>
  <c r="D2597" i="5"/>
  <c r="N2596" i="5"/>
  <c r="L2596" i="5"/>
  <c r="H2596" i="5"/>
  <c r="G2596" i="5"/>
  <c r="I2596" i="5" s="1"/>
  <c r="D2596" i="5"/>
  <c r="N2595" i="5"/>
  <c r="L2595" i="5"/>
  <c r="H2595" i="5"/>
  <c r="G2595" i="5"/>
  <c r="I2595" i="5" s="1"/>
  <c r="D2595" i="5"/>
  <c r="N2594" i="5"/>
  <c r="L2594" i="5"/>
  <c r="I2594" i="5"/>
  <c r="H2594" i="5"/>
  <c r="G2594" i="5"/>
  <c r="D2594" i="5"/>
  <c r="N2593" i="5"/>
  <c r="L2593" i="5"/>
  <c r="I2593" i="5"/>
  <c r="H2593" i="5"/>
  <c r="G2593" i="5"/>
  <c r="D2593" i="5"/>
  <c r="N2592" i="5"/>
  <c r="L2592" i="5"/>
  <c r="H2592" i="5"/>
  <c r="G2592" i="5"/>
  <c r="I2592" i="5" s="1"/>
  <c r="D2592" i="5"/>
  <c r="N2591" i="5"/>
  <c r="L2591" i="5"/>
  <c r="H2591" i="5"/>
  <c r="G2591" i="5"/>
  <c r="I2591" i="5" s="1"/>
  <c r="D2591" i="5"/>
  <c r="N2590" i="5"/>
  <c r="L2590" i="5"/>
  <c r="I2590" i="5"/>
  <c r="H2590" i="5"/>
  <c r="G2590" i="5"/>
  <c r="D2590" i="5"/>
  <c r="N2589" i="5"/>
  <c r="L2589" i="5"/>
  <c r="I2589" i="5"/>
  <c r="H2589" i="5"/>
  <c r="G2589" i="5"/>
  <c r="D2589" i="5"/>
  <c r="N2588" i="5"/>
  <c r="L2588" i="5"/>
  <c r="H2588" i="5"/>
  <c r="G2588" i="5"/>
  <c r="I2588" i="5" s="1"/>
  <c r="D2588" i="5"/>
  <c r="N2587" i="5"/>
  <c r="L2587" i="5"/>
  <c r="H2587" i="5"/>
  <c r="G2587" i="5"/>
  <c r="I2587" i="5" s="1"/>
  <c r="D2587" i="5"/>
  <c r="N2586" i="5"/>
  <c r="L2586" i="5"/>
  <c r="I2586" i="5"/>
  <c r="H2586" i="5"/>
  <c r="G2586" i="5"/>
  <c r="D2586" i="5"/>
  <c r="N2585" i="5"/>
  <c r="L2585" i="5"/>
  <c r="I2585" i="5"/>
  <c r="H2585" i="5"/>
  <c r="G2585" i="5"/>
  <c r="D2585" i="5"/>
  <c r="N2584" i="5"/>
  <c r="L2584" i="5"/>
  <c r="H2584" i="5"/>
  <c r="G2584" i="5"/>
  <c r="I2584" i="5" s="1"/>
  <c r="D2584" i="5"/>
  <c r="N2583" i="5"/>
  <c r="L2583" i="5"/>
  <c r="H2583" i="5"/>
  <c r="G2583" i="5"/>
  <c r="I2583" i="5" s="1"/>
  <c r="D2583" i="5"/>
  <c r="N2582" i="5"/>
  <c r="L2582" i="5"/>
  <c r="I2582" i="5"/>
  <c r="H2582" i="5"/>
  <c r="G2582" i="5"/>
  <c r="D2582" i="5"/>
  <c r="N2581" i="5"/>
  <c r="L2581" i="5"/>
  <c r="I2581" i="5"/>
  <c r="H2581" i="5"/>
  <c r="G2581" i="5"/>
  <c r="D2581" i="5"/>
  <c r="N2580" i="5"/>
  <c r="L2580" i="5"/>
  <c r="H2580" i="5"/>
  <c r="G2580" i="5"/>
  <c r="I2580" i="5" s="1"/>
  <c r="D2580" i="5"/>
  <c r="N2579" i="5"/>
  <c r="L2579" i="5"/>
  <c r="H2579" i="5"/>
  <c r="G2579" i="5"/>
  <c r="I2579" i="5" s="1"/>
  <c r="D2579" i="5"/>
  <c r="N2578" i="5"/>
  <c r="L2578" i="5"/>
  <c r="I2578" i="5"/>
  <c r="H2578" i="5"/>
  <c r="G2578" i="5"/>
  <c r="D2578" i="5"/>
  <c r="N2577" i="5"/>
  <c r="L2577" i="5"/>
  <c r="I2577" i="5"/>
  <c r="H2577" i="5"/>
  <c r="G2577" i="5"/>
  <c r="D2577" i="5"/>
  <c r="N2576" i="5"/>
  <c r="L2576" i="5"/>
  <c r="H2576" i="5"/>
  <c r="G2576" i="5"/>
  <c r="I2576" i="5" s="1"/>
  <c r="D2576" i="5"/>
  <c r="N2575" i="5"/>
  <c r="L2575" i="5"/>
  <c r="H2575" i="5"/>
  <c r="G2575" i="5"/>
  <c r="I2575" i="5" s="1"/>
  <c r="D2575" i="5"/>
  <c r="N2574" i="5"/>
  <c r="L2574" i="5"/>
  <c r="I2574" i="5"/>
  <c r="H2574" i="5"/>
  <c r="G2574" i="5"/>
  <c r="D2574" i="5"/>
  <c r="N2573" i="5"/>
  <c r="L2573" i="5"/>
  <c r="I2573" i="5"/>
  <c r="H2573" i="5"/>
  <c r="G2573" i="5"/>
  <c r="D2573" i="5"/>
  <c r="N2572" i="5"/>
  <c r="L2572" i="5"/>
  <c r="H2572" i="5"/>
  <c r="G2572" i="5"/>
  <c r="I2572" i="5" s="1"/>
  <c r="D2572" i="5"/>
  <c r="N2571" i="5"/>
  <c r="L2571" i="5"/>
  <c r="H2571" i="5"/>
  <c r="G2571" i="5"/>
  <c r="I2571" i="5" s="1"/>
  <c r="D2571" i="5"/>
  <c r="N2570" i="5"/>
  <c r="L2570" i="5"/>
  <c r="I2570" i="5"/>
  <c r="H2570" i="5"/>
  <c r="G2570" i="5"/>
  <c r="D2570" i="5"/>
  <c r="N2569" i="5"/>
  <c r="L2569" i="5"/>
  <c r="I2569" i="5"/>
  <c r="H2569" i="5"/>
  <c r="G2569" i="5"/>
  <c r="D2569" i="5"/>
  <c r="N2568" i="5"/>
  <c r="L2568" i="5"/>
  <c r="H2568" i="5"/>
  <c r="G2568" i="5"/>
  <c r="I2568" i="5" s="1"/>
  <c r="D2568" i="5"/>
  <c r="N2567" i="5"/>
  <c r="L2567" i="5"/>
  <c r="H2567" i="5"/>
  <c r="G2567" i="5"/>
  <c r="I2567" i="5" s="1"/>
  <c r="D2567" i="5"/>
  <c r="N2566" i="5"/>
  <c r="L2566" i="5"/>
  <c r="I2566" i="5"/>
  <c r="H2566" i="5"/>
  <c r="G2566" i="5"/>
  <c r="D2566" i="5"/>
  <c r="N2565" i="5"/>
  <c r="L2565" i="5"/>
  <c r="I2565" i="5"/>
  <c r="H2565" i="5"/>
  <c r="G2565" i="5"/>
  <c r="D2565" i="5"/>
  <c r="N2564" i="5"/>
  <c r="L2564" i="5"/>
  <c r="H2564" i="5"/>
  <c r="G2564" i="5"/>
  <c r="I2564" i="5" s="1"/>
  <c r="D2564" i="5"/>
  <c r="N2563" i="5"/>
  <c r="L2563" i="5"/>
  <c r="H2563" i="5"/>
  <c r="G2563" i="5"/>
  <c r="I2563" i="5" s="1"/>
  <c r="D2563" i="5"/>
  <c r="N2562" i="5"/>
  <c r="L2562" i="5"/>
  <c r="I2562" i="5"/>
  <c r="H2562" i="5"/>
  <c r="G2562" i="5"/>
  <c r="D2562" i="5"/>
  <c r="N2561" i="5"/>
  <c r="L2561" i="5"/>
  <c r="I2561" i="5"/>
  <c r="H2561" i="5"/>
  <c r="G2561" i="5"/>
  <c r="D2561" i="5"/>
  <c r="N2560" i="5"/>
  <c r="L2560" i="5"/>
  <c r="H2560" i="5"/>
  <c r="G2560" i="5"/>
  <c r="I2560" i="5" s="1"/>
  <c r="D2560" i="5"/>
  <c r="N2559" i="5"/>
  <c r="L2559" i="5"/>
  <c r="H2559" i="5"/>
  <c r="G2559" i="5"/>
  <c r="I2559" i="5" s="1"/>
  <c r="D2559" i="5"/>
  <c r="N2558" i="5"/>
  <c r="L2558" i="5"/>
  <c r="I2558" i="5"/>
  <c r="H2558" i="5"/>
  <c r="G2558" i="5"/>
  <c r="D2558" i="5"/>
  <c r="N2557" i="5"/>
  <c r="L2557" i="5"/>
  <c r="I2557" i="5"/>
  <c r="H2557" i="5"/>
  <c r="G2557" i="5"/>
  <c r="D2557" i="5"/>
  <c r="N2556" i="5"/>
  <c r="L2556" i="5"/>
  <c r="H2556" i="5"/>
  <c r="G2556" i="5"/>
  <c r="I2556" i="5" s="1"/>
  <c r="D2556" i="5"/>
  <c r="N2555" i="5"/>
  <c r="L2555" i="5"/>
  <c r="H2555" i="5"/>
  <c r="G2555" i="5"/>
  <c r="I2555" i="5" s="1"/>
  <c r="D2555" i="5"/>
  <c r="N2554" i="5"/>
  <c r="L2554" i="5"/>
  <c r="I2554" i="5"/>
  <c r="H2554" i="5"/>
  <c r="G2554" i="5"/>
  <c r="D2554" i="5"/>
  <c r="N2553" i="5"/>
  <c r="L2553" i="5"/>
  <c r="I2553" i="5"/>
  <c r="H2553" i="5"/>
  <c r="G2553" i="5"/>
  <c r="D2553" i="5"/>
  <c r="N2552" i="5"/>
  <c r="L2552" i="5"/>
  <c r="H2552" i="5"/>
  <c r="G2552" i="5"/>
  <c r="I2552" i="5" s="1"/>
  <c r="D2552" i="5"/>
  <c r="N2551" i="5"/>
  <c r="L2551" i="5"/>
  <c r="H2551" i="5"/>
  <c r="G2551" i="5"/>
  <c r="I2551" i="5" s="1"/>
  <c r="D2551" i="5"/>
  <c r="N2550" i="5"/>
  <c r="L2550" i="5"/>
  <c r="I2550" i="5"/>
  <c r="H2550" i="5"/>
  <c r="G2550" i="5"/>
  <c r="D2550" i="5"/>
  <c r="N2549" i="5"/>
  <c r="L2549" i="5"/>
  <c r="I2549" i="5"/>
  <c r="H2549" i="5"/>
  <c r="G2549" i="5"/>
  <c r="D2549" i="5"/>
  <c r="N2548" i="5"/>
  <c r="L2548" i="5"/>
  <c r="H2548" i="5"/>
  <c r="G2548" i="5"/>
  <c r="I2548" i="5" s="1"/>
  <c r="D2548" i="5"/>
  <c r="N2547" i="5"/>
  <c r="L2547" i="5"/>
  <c r="H2547" i="5"/>
  <c r="G2547" i="5"/>
  <c r="I2547" i="5" s="1"/>
  <c r="D2547" i="5"/>
  <c r="N2546" i="5"/>
  <c r="L2546" i="5"/>
  <c r="I2546" i="5"/>
  <c r="H2546" i="5"/>
  <c r="G2546" i="5"/>
  <c r="D2546" i="5"/>
  <c r="N2545" i="5"/>
  <c r="L2545" i="5"/>
  <c r="I2545" i="5"/>
  <c r="H2545" i="5"/>
  <c r="G2545" i="5"/>
  <c r="D2545" i="5"/>
  <c r="N2544" i="5"/>
  <c r="L2544" i="5"/>
  <c r="H2544" i="5"/>
  <c r="G2544" i="5"/>
  <c r="I2544" i="5" s="1"/>
  <c r="D2544" i="5"/>
  <c r="N2543" i="5"/>
  <c r="L2543" i="5"/>
  <c r="H2543" i="5"/>
  <c r="G2543" i="5"/>
  <c r="I2543" i="5" s="1"/>
  <c r="D2543" i="5"/>
  <c r="N2542" i="5"/>
  <c r="L2542" i="5"/>
  <c r="I2542" i="5"/>
  <c r="H2542" i="5"/>
  <c r="G2542" i="5"/>
  <c r="D2542" i="5"/>
  <c r="N2541" i="5"/>
  <c r="L2541" i="5"/>
  <c r="I2541" i="5"/>
  <c r="H2541" i="5"/>
  <c r="G2541" i="5"/>
  <c r="D2541" i="5"/>
  <c r="N2540" i="5"/>
  <c r="L2540" i="5"/>
  <c r="H2540" i="5"/>
  <c r="G2540" i="5"/>
  <c r="I2540" i="5" s="1"/>
  <c r="D2540" i="5"/>
  <c r="N2539" i="5"/>
  <c r="L2539" i="5"/>
  <c r="H2539" i="5"/>
  <c r="G2539" i="5"/>
  <c r="I2539" i="5" s="1"/>
  <c r="D2539" i="5"/>
  <c r="N2538" i="5"/>
  <c r="L2538" i="5"/>
  <c r="I2538" i="5"/>
  <c r="H2538" i="5"/>
  <c r="G2538" i="5"/>
  <c r="D2538" i="5"/>
  <c r="N2537" i="5"/>
  <c r="L2537" i="5"/>
  <c r="I2537" i="5"/>
  <c r="H2537" i="5"/>
  <c r="G2537" i="5"/>
  <c r="D2537" i="5"/>
  <c r="N2536" i="5"/>
  <c r="L2536" i="5"/>
  <c r="H2536" i="5"/>
  <c r="G2536" i="5"/>
  <c r="I2536" i="5" s="1"/>
  <c r="D2536" i="5"/>
  <c r="N2535" i="5"/>
  <c r="L2535" i="5"/>
  <c r="H2535" i="5"/>
  <c r="G2535" i="5"/>
  <c r="I2535" i="5" s="1"/>
  <c r="D2535" i="5"/>
  <c r="N2534" i="5"/>
  <c r="L2534" i="5"/>
  <c r="I2534" i="5"/>
  <c r="H2534" i="5"/>
  <c r="G2534" i="5"/>
  <c r="D2534" i="5"/>
  <c r="N2533" i="5"/>
  <c r="L2533" i="5"/>
  <c r="I2533" i="5"/>
  <c r="H2533" i="5"/>
  <c r="G2533" i="5"/>
  <c r="D2533" i="5"/>
  <c r="N2532" i="5"/>
  <c r="L2532" i="5"/>
  <c r="H2532" i="5"/>
  <c r="G2532" i="5"/>
  <c r="I2532" i="5" s="1"/>
  <c r="D2532" i="5"/>
  <c r="N2531" i="5"/>
  <c r="L2531" i="5"/>
  <c r="H2531" i="5"/>
  <c r="G2531" i="5"/>
  <c r="I2531" i="5" s="1"/>
  <c r="D2531" i="5"/>
  <c r="N2530" i="5"/>
  <c r="L2530" i="5"/>
  <c r="I2530" i="5"/>
  <c r="H2530" i="5"/>
  <c r="G2530" i="5"/>
  <c r="D2530" i="5"/>
  <c r="N2529" i="5"/>
  <c r="L2529" i="5"/>
  <c r="I2529" i="5"/>
  <c r="H2529" i="5"/>
  <c r="G2529" i="5"/>
  <c r="D2529" i="5"/>
  <c r="N2528" i="5"/>
  <c r="L2528" i="5"/>
  <c r="H2528" i="5"/>
  <c r="G2528" i="5"/>
  <c r="I2528" i="5" s="1"/>
  <c r="D2528" i="5"/>
  <c r="N2527" i="5"/>
  <c r="L2527" i="5"/>
  <c r="H2527" i="5"/>
  <c r="G2527" i="5"/>
  <c r="I2527" i="5" s="1"/>
  <c r="D2527" i="5"/>
  <c r="N2526" i="5"/>
  <c r="L2526" i="5"/>
  <c r="I2526" i="5"/>
  <c r="H2526" i="5"/>
  <c r="G2526" i="5"/>
  <c r="D2526" i="5"/>
  <c r="N2525" i="5"/>
  <c r="L2525" i="5"/>
  <c r="I2525" i="5"/>
  <c r="H2525" i="5"/>
  <c r="G2525" i="5"/>
  <c r="D2525" i="5"/>
  <c r="N2524" i="5"/>
  <c r="L2524" i="5"/>
  <c r="H2524" i="5"/>
  <c r="G2524" i="5"/>
  <c r="I2524" i="5" s="1"/>
  <c r="D2524" i="5"/>
  <c r="N2523" i="5"/>
  <c r="L2523" i="5"/>
  <c r="H2523" i="5"/>
  <c r="G2523" i="5"/>
  <c r="I2523" i="5" s="1"/>
  <c r="D2523" i="5"/>
  <c r="N2522" i="5"/>
  <c r="L2522" i="5"/>
  <c r="I2522" i="5"/>
  <c r="H2522" i="5"/>
  <c r="G2522" i="5"/>
  <c r="D2522" i="5"/>
  <c r="N2521" i="5"/>
  <c r="L2521" i="5"/>
  <c r="I2521" i="5"/>
  <c r="H2521" i="5"/>
  <c r="G2521" i="5"/>
  <c r="D2521" i="5"/>
  <c r="N2520" i="5"/>
  <c r="L2520" i="5"/>
  <c r="H2520" i="5"/>
  <c r="G2520" i="5"/>
  <c r="I2520" i="5" s="1"/>
  <c r="D2520" i="5"/>
  <c r="N2519" i="5"/>
  <c r="L2519" i="5"/>
  <c r="H2519" i="5"/>
  <c r="G2519" i="5"/>
  <c r="I2519" i="5" s="1"/>
  <c r="D2519" i="5"/>
  <c r="N2518" i="5"/>
  <c r="L2518" i="5"/>
  <c r="I2518" i="5"/>
  <c r="H2518" i="5"/>
  <c r="G2518" i="5"/>
  <c r="D2518" i="5"/>
  <c r="N2517" i="5"/>
  <c r="L2517" i="5"/>
  <c r="I2517" i="5"/>
  <c r="H2517" i="5"/>
  <c r="G2517" i="5"/>
  <c r="D2517" i="5"/>
  <c r="N2516" i="5"/>
  <c r="L2516" i="5"/>
  <c r="H2516" i="5"/>
  <c r="G2516" i="5"/>
  <c r="I2516" i="5" s="1"/>
  <c r="D2516" i="5"/>
  <c r="N2515" i="5"/>
  <c r="L2515" i="5"/>
  <c r="H2515" i="5"/>
  <c r="G2515" i="5"/>
  <c r="I2515" i="5" s="1"/>
  <c r="D2515" i="5"/>
  <c r="N2514" i="5"/>
  <c r="L2514" i="5"/>
  <c r="I2514" i="5"/>
  <c r="H2514" i="5"/>
  <c r="G2514" i="5"/>
  <c r="D2514" i="5"/>
  <c r="N2513" i="5"/>
  <c r="L2513" i="5"/>
  <c r="I2513" i="5"/>
  <c r="H2513" i="5"/>
  <c r="G2513" i="5"/>
  <c r="D2513" i="5"/>
  <c r="N2512" i="5"/>
  <c r="L2512" i="5"/>
  <c r="H2512" i="5"/>
  <c r="G2512" i="5"/>
  <c r="I2512" i="5" s="1"/>
  <c r="D2512" i="5"/>
  <c r="N2511" i="5"/>
  <c r="L2511" i="5"/>
  <c r="H2511" i="5"/>
  <c r="G2511" i="5"/>
  <c r="I2511" i="5" s="1"/>
  <c r="D2511" i="5"/>
  <c r="N2510" i="5"/>
  <c r="L2510" i="5"/>
  <c r="I2510" i="5"/>
  <c r="H2510" i="5"/>
  <c r="G2510" i="5"/>
  <c r="D2510" i="5"/>
  <c r="N2509" i="5"/>
  <c r="L2509" i="5"/>
  <c r="I2509" i="5"/>
  <c r="H2509" i="5"/>
  <c r="G2509" i="5"/>
  <c r="D2509" i="5"/>
  <c r="N2508" i="5"/>
  <c r="L2508" i="5"/>
  <c r="H2508" i="5"/>
  <c r="G2508" i="5"/>
  <c r="I2508" i="5" s="1"/>
  <c r="D2508" i="5"/>
  <c r="N2507" i="5"/>
  <c r="L2507" i="5"/>
  <c r="H2507" i="5"/>
  <c r="G2507" i="5"/>
  <c r="I2507" i="5" s="1"/>
  <c r="D2507" i="5"/>
  <c r="N2506" i="5"/>
  <c r="L2506" i="5"/>
  <c r="I2506" i="5"/>
  <c r="H2506" i="5"/>
  <c r="G2506" i="5"/>
  <c r="D2506" i="5"/>
  <c r="N2505" i="5"/>
  <c r="L2505" i="5"/>
  <c r="I2505" i="5"/>
  <c r="H2505" i="5"/>
  <c r="G2505" i="5"/>
  <c r="D2505" i="5"/>
  <c r="N2504" i="5"/>
  <c r="L2504" i="5"/>
  <c r="H2504" i="5"/>
  <c r="G2504" i="5"/>
  <c r="I2504" i="5" s="1"/>
  <c r="D2504" i="5"/>
  <c r="N2503" i="5"/>
  <c r="L2503" i="5"/>
  <c r="H2503" i="5"/>
  <c r="G2503" i="5"/>
  <c r="I2503" i="5" s="1"/>
  <c r="D2503" i="5"/>
  <c r="N2502" i="5"/>
  <c r="L2502" i="5"/>
  <c r="I2502" i="5"/>
  <c r="H2502" i="5"/>
  <c r="G2502" i="5"/>
  <c r="D2502" i="5"/>
  <c r="N2501" i="5"/>
  <c r="L2501" i="5"/>
  <c r="I2501" i="5"/>
  <c r="H2501" i="5"/>
  <c r="G2501" i="5"/>
  <c r="D2501" i="5"/>
  <c r="N2500" i="5"/>
  <c r="L2500" i="5"/>
  <c r="H2500" i="5"/>
  <c r="G2500" i="5"/>
  <c r="I2500" i="5" s="1"/>
  <c r="D2500" i="5"/>
  <c r="N2499" i="5"/>
  <c r="L2499" i="5"/>
  <c r="H2499" i="5"/>
  <c r="G2499" i="5"/>
  <c r="I2499" i="5" s="1"/>
  <c r="D2499" i="5"/>
  <c r="N2498" i="5"/>
  <c r="L2498" i="5"/>
  <c r="I2498" i="5"/>
  <c r="H2498" i="5"/>
  <c r="G2498" i="5"/>
  <c r="D2498" i="5"/>
  <c r="N2497" i="5"/>
  <c r="L2497" i="5"/>
  <c r="I2497" i="5"/>
  <c r="H2497" i="5"/>
  <c r="G2497" i="5"/>
  <c r="D2497" i="5"/>
  <c r="N2496" i="5"/>
  <c r="L2496" i="5"/>
  <c r="H2496" i="5"/>
  <c r="G2496" i="5"/>
  <c r="I2496" i="5" s="1"/>
  <c r="D2496" i="5"/>
  <c r="N2495" i="5"/>
  <c r="L2495" i="5"/>
  <c r="H2495" i="5"/>
  <c r="G2495" i="5"/>
  <c r="I2495" i="5" s="1"/>
  <c r="D2495" i="5"/>
  <c r="N2494" i="5"/>
  <c r="L2494" i="5"/>
  <c r="I2494" i="5"/>
  <c r="H2494" i="5"/>
  <c r="G2494" i="5"/>
  <c r="D2494" i="5"/>
  <c r="N2493" i="5"/>
  <c r="L2493" i="5"/>
  <c r="I2493" i="5"/>
  <c r="H2493" i="5"/>
  <c r="G2493" i="5"/>
  <c r="D2493" i="5"/>
  <c r="N2492" i="5"/>
  <c r="L2492" i="5"/>
  <c r="H2492" i="5"/>
  <c r="G2492" i="5"/>
  <c r="I2492" i="5" s="1"/>
  <c r="D2492" i="5"/>
  <c r="N2491" i="5"/>
  <c r="L2491" i="5"/>
  <c r="H2491" i="5"/>
  <c r="G2491" i="5"/>
  <c r="I2491" i="5" s="1"/>
  <c r="D2491" i="5"/>
  <c r="N2490" i="5"/>
  <c r="L2490" i="5"/>
  <c r="I2490" i="5"/>
  <c r="H2490" i="5"/>
  <c r="G2490" i="5"/>
  <c r="D2490" i="5"/>
  <c r="N2489" i="5"/>
  <c r="L2489" i="5"/>
  <c r="I2489" i="5"/>
  <c r="H2489" i="5"/>
  <c r="G2489" i="5"/>
  <c r="D2489" i="5"/>
  <c r="N2488" i="5"/>
  <c r="L2488" i="5"/>
  <c r="H2488" i="5"/>
  <c r="G2488" i="5"/>
  <c r="I2488" i="5" s="1"/>
  <c r="D2488" i="5"/>
  <c r="N2487" i="5"/>
  <c r="L2487" i="5"/>
  <c r="H2487" i="5"/>
  <c r="G2487" i="5"/>
  <c r="I2487" i="5" s="1"/>
  <c r="D2487" i="5"/>
  <c r="N2486" i="5"/>
  <c r="L2486" i="5"/>
  <c r="I2486" i="5"/>
  <c r="H2486" i="5"/>
  <c r="G2486" i="5"/>
  <c r="D2486" i="5"/>
  <c r="N2485" i="5"/>
  <c r="L2485" i="5"/>
  <c r="I2485" i="5"/>
  <c r="H2485" i="5"/>
  <c r="G2485" i="5"/>
  <c r="D2485" i="5"/>
  <c r="N2484" i="5"/>
  <c r="L2484" i="5"/>
  <c r="H2484" i="5"/>
  <c r="G2484" i="5"/>
  <c r="I2484" i="5" s="1"/>
  <c r="D2484" i="5"/>
  <c r="N2483" i="5"/>
  <c r="L2483" i="5"/>
  <c r="H2483" i="5"/>
  <c r="G2483" i="5"/>
  <c r="I2483" i="5" s="1"/>
  <c r="D2483" i="5"/>
  <c r="N2482" i="5"/>
  <c r="L2482" i="5"/>
  <c r="I2482" i="5"/>
  <c r="H2482" i="5"/>
  <c r="G2482" i="5"/>
  <c r="D2482" i="5"/>
  <c r="N2481" i="5"/>
  <c r="L2481" i="5"/>
  <c r="I2481" i="5"/>
  <c r="H2481" i="5"/>
  <c r="G2481" i="5"/>
  <c r="D2481" i="5"/>
  <c r="N2480" i="5"/>
  <c r="L2480" i="5"/>
  <c r="H2480" i="5"/>
  <c r="G2480" i="5"/>
  <c r="I2480" i="5" s="1"/>
  <c r="D2480" i="5"/>
  <c r="N2479" i="5"/>
  <c r="L2479" i="5"/>
  <c r="H2479" i="5"/>
  <c r="G2479" i="5"/>
  <c r="I2479" i="5" s="1"/>
  <c r="D2479" i="5"/>
  <c r="N2478" i="5"/>
  <c r="L2478" i="5"/>
  <c r="I2478" i="5"/>
  <c r="H2478" i="5"/>
  <c r="G2478" i="5"/>
  <c r="D2478" i="5"/>
  <c r="N2477" i="5"/>
  <c r="L2477" i="5"/>
  <c r="I2477" i="5"/>
  <c r="H2477" i="5"/>
  <c r="G2477" i="5"/>
  <c r="D2477" i="5"/>
  <c r="N2476" i="5"/>
  <c r="L2476" i="5"/>
  <c r="H2476" i="5"/>
  <c r="G2476" i="5"/>
  <c r="I2476" i="5" s="1"/>
  <c r="D2476" i="5"/>
  <c r="N2475" i="5"/>
  <c r="L2475" i="5"/>
  <c r="H2475" i="5"/>
  <c r="G2475" i="5"/>
  <c r="I2475" i="5" s="1"/>
  <c r="D2475" i="5"/>
  <c r="N2474" i="5"/>
  <c r="L2474" i="5"/>
  <c r="I2474" i="5"/>
  <c r="H2474" i="5"/>
  <c r="G2474" i="5"/>
  <c r="D2474" i="5"/>
  <c r="N2473" i="5"/>
  <c r="L2473" i="5"/>
  <c r="I2473" i="5"/>
  <c r="H2473" i="5"/>
  <c r="G2473" i="5"/>
  <c r="D2473" i="5"/>
  <c r="N2472" i="5"/>
  <c r="L2472" i="5"/>
  <c r="H2472" i="5"/>
  <c r="G2472" i="5"/>
  <c r="I2472" i="5" s="1"/>
  <c r="D2472" i="5"/>
  <c r="N2471" i="5"/>
  <c r="L2471" i="5"/>
  <c r="H2471" i="5"/>
  <c r="G2471" i="5"/>
  <c r="I2471" i="5" s="1"/>
  <c r="D2471" i="5"/>
  <c r="N2470" i="5"/>
  <c r="L2470" i="5"/>
  <c r="I2470" i="5"/>
  <c r="H2470" i="5"/>
  <c r="G2470" i="5"/>
  <c r="D2470" i="5"/>
  <c r="N2469" i="5"/>
  <c r="L2469" i="5"/>
  <c r="I2469" i="5"/>
  <c r="H2469" i="5"/>
  <c r="G2469" i="5"/>
  <c r="D2469" i="5"/>
  <c r="N2468" i="5"/>
  <c r="L2468" i="5"/>
  <c r="H2468" i="5"/>
  <c r="G2468" i="5"/>
  <c r="I2468" i="5" s="1"/>
  <c r="D2468" i="5"/>
  <c r="N2467" i="5"/>
  <c r="L2467" i="5"/>
  <c r="H2467" i="5"/>
  <c r="G2467" i="5"/>
  <c r="I2467" i="5" s="1"/>
  <c r="D2467" i="5"/>
  <c r="N2466" i="5"/>
  <c r="L2466" i="5"/>
  <c r="I2466" i="5"/>
  <c r="H2466" i="5"/>
  <c r="G2466" i="5"/>
  <c r="D2466" i="5"/>
  <c r="N2465" i="5"/>
  <c r="L2465" i="5"/>
  <c r="I2465" i="5"/>
  <c r="H2465" i="5"/>
  <c r="G2465" i="5"/>
  <c r="D2465" i="5"/>
  <c r="N2464" i="5"/>
  <c r="L2464" i="5"/>
  <c r="H2464" i="5"/>
  <c r="G2464" i="5"/>
  <c r="I2464" i="5" s="1"/>
  <c r="D2464" i="5"/>
  <c r="N2463" i="5"/>
  <c r="L2463" i="5"/>
  <c r="H2463" i="5"/>
  <c r="G2463" i="5"/>
  <c r="I2463" i="5" s="1"/>
  <c r="D2463" i="5"/>
  <c r="N2462" i="5"/>
  <c r="L2462" i="5"/>
  <c r="I2462" i="5"/>
  <c r="H2462" i="5"/>
  <c r="G2462" i="5"/>
  <c r="D2462" i="5"/>
  <c r="N2461" i="5"/>
  <c r="L2461" i="5"/>
  <c r="I2461" i="5"/>
  <c r="H2461" i="5"/>
  <c r="G2461" i="5"/>
  <c r="D2461" i="5"/>
  <c r="N2460" i="5"/>
  <c r="L2460" i="5"/>
  <c r="H2460" i="5"/>
  <c r="G2460" i="5"/>
  <c r="I2460" i="5" s="1"/>
  <c r="D2460" i="5"/>
  <c r="N2459" i="5"/>
  <c r="L2459" i="5"/>
  <c r="H2459" i="5"/>
  <c r="G2459" i="5"/>
  <c r="I2459" i="5" s="1"/>
  <c r="D2459" i="5"/>
  <c r="N2458" i="5"/>
  <c r="L2458" i="5"/>
  <c r="I2458" i="5"/>
  <c r="H2458" i="5"/>
  <c r="G2458" i="5"/>
  <c r="D2458" i="5"/>
  <c r="N2457" i="5"/>
  <c r="L2457" i="5"/>
  <c r="I2457" i="5"/>
  <c r="H2457" i="5"/>
  <c r="G2457" i="5"/>
  <c r="D2457" i="5"/>
  <c r="N2456" i="5"/>
  <c r="L2456" i="5"/>
  <c r="H2456" i="5"/>
  <c r="G2456" i="5"/>
  <c r="I2456" i="5" s="1"/>
  <c r="D2456" i="5"/>
  <c r="N2455" i="5"/>
  <c r="L2455" i="5"/>
  <c r="H2455" i="5"/>
  <c r="G2455" i="5"/>
  <c r="I2455" i="5" s="1"/>
  <c r="D2455" i="5"/>
  <c r="N2454" i="5"/>
  <c r="L2454" i="5"/>
  <c r="I2454" i="5"/>
  <c r="H2454" i="5"/>
  <c r="G2454" i="5"/>
  <c r="D2454" i="5"/>
  <c r="N2453" i="5"/>
  <c r="L2453" i="5"/>
  <c r="I2453" i="5"/>
  <c r="H2453" i="5"/>
  <c r="G2453" i="5"/>
  <c r="D2453" i="5"/>
  <c r="N2452" i="5"/>
  <c r="L2452" i="5"/>
  <c r="H2452" i="5"/>
  <c r="G2452" i="5"/>
  <c r="I2452" i="5" s="1"/>
  <c r="D2452" i="5"/>
  <c r="N2451" i="5"/>
  <c r="L2451" i="5"/>
  <c r="H2451" i="5"/>
  <c r="G2451" i="5"/>
  <c r="I2451" i="5" s="1"/>
  <c r="D2451" i="5"/>
  <c r="N2450" i="5"/>
  <c r="L2450" i="5"/>
  <c r="I2450" i="5"/>
  <c r="H2450" i="5"/>
  <c r="G2450" i="5"/>
  <c r="D2450" i="5"/>
  <c r="N2449" i="5"/>
  <c r="L2449" i="5"/>
  <c r="I2449" i="5"/>
  <c r="H2449" i="5"/>
  <c r="G2449" i="5"/>
  <c r="D2449" i="5"/>
  <c r="N2448" i="5"/>
  <c r="L2448" i="5"/>
  <c r="H2448" i="5"/>
  <c r="G2448" i="5"/>
  <c r="I2448" i="5" s="1"/>
  <c r="D2448" i="5"/>
  <c r="N2447" i="5"/>
  <c r="L2447" i="5"/>
  <c r="H2447" i="5"/>
  <c r="G2447" i="5"/>
  <c r="I2447" i="5" s="1"/>
  <c r="D2447" i="5"/>
  <c r="N2446" i="5"/>
  <c r="L2446" i="5"/>
  <c r="I2446" i="5"/>
  <c r="H2446" i="5"/>
  <c r="G2446" i="5"/>
  <c r="D2446" i="5"/>
  <c r="N2445" i="5"/>
  <c r="L2445" i="5"/>
  <c r="I2445" i="5"/>
  <c r="H2445" i="5"/>
  <c r="G2445" i="5"/>
  <c r="D2445" i="5"/>
  <c r="N2444" i="5"/>
  <c r="L2444" i="5"/>
  <c r="H2444" i="5"/>
  <c r="G2444" i="5"/>
  <c r="I2444" i="5" s="1"/>
  <c r="D2444" i="5"/>
  <c r="N2443" i="5"/>
  <c r="L2443" i="5"/>
  <c r="H2443" i="5"/>
  <c r="G2443" i="5"/>
  <c r="I2443" i="5" s="1"/>
  <c r="D2443" i="5"/>
  <c r="N2442" i="5"/>
  <c r="L2442" i="5"/>
  <c r="I2442" i="5"/>
  <c r="H2442" i="5"/>
  <c r="G2442" i="5"/>
  <c r="D2442" i="5"/>
  <c r="N2441" i="5"/>
  <c r="L2441" i="5"/>
  <c r="I2441" i="5"/>
  <c r="H2441" i="5"/>
  <c r="G2441" i="5"/>
  <c r="D2441" i="5"/>
  <c r="N2440" i="5"/>
  <c r="L2440" i="5"/>
  <c r="H2440" i="5"/>
  <c r="G2440" i="5"/>
  <c r="I2440" i="5" s="1"/>
  <c r="D2440" i="5"/>
  <c r="N2439" i="5"/>
  <c r="L2439" i="5"/>
  <c r="H2439" i="5"/>
  <c r="G2439" i="5"/>
  <c r="I2439" i="5" s="1"/>
  <c r="D2439" i="5"/>
  <c r="N2438" i="5"/>
  <c r="L2438" i="5"/>
  <c r="I2438" i="5"/>
  <c r="H2438" i="5"/>
  <c r="G2438" i="5"/>
  <c r="D2438" i="5"/>
  <c r="N2437" i="5"/>
  <c r="L2437" i="5"/>
  <c r="I2437" i="5"/>
  <c r="H2437" i="5"/>
  <c r="G2437" i="5"/>
  <c r="D2437" i="5"/>
  <c r="N2436" i="5"/>
  <c r="L2436" i="5"/>
  <c r="H2436" i="5"/>
  <c r="G2436" i="5"/>
  <c r="I2436" i="5" s="1"/>
  <c r="D2436" i="5"/>
  <c r="N2435" i="5"/>
  <c r="L2435" i="5"/>
  <c r="H2435" i="5"/>
  <c r="G2435" i="5"/>
  <c r="I2435" i="5" s="1"/>
  <c r="D2435" i="5"/>
  <c r="N2434" i="5"/>
  <c r="L2434" i="5"/>
  <c r="I2434" i="5"/>
  <c r="H2434" i="5"/>
  <c r="G2434" i="5"/>
  <c r="D2434" i="5"/>
  <c r="N2433" i="5"/>
  <c r="L2433" i="5"/>
  <c r="I2433" i="5"/>
  <c r="H2433" i="5"/>
  <c r="G2433" i="5"/>
  <c r="D2433" i="5"/>
  <c r="N2432" i="5"/>
  <c r="L2432" i="5"/>
  <c r="H2432" i="5"/>
  <c r="G2432" i="5"/>
  <c r="I2432" i="5" s="1"/>
  <c r="D2432" i="5"/>
  <c r="N2431" i="5"/>
  <c r="L2431" i="5"/>
  <c r="H2431" i="5"/>
  <c r="G2431" i="5"/>
  <c r="I2431" i="5" s="1"/>
  <c r="D2431" i="5"/>
  <c r="N2430" i="5"/>
  <c r="L2430" i="5"/>
  <c r="I2430" i="5"/>
  <c r="H2430" i="5"/>
  <c r="G2430" i="5"/>
  <c r="D2430" i="5"/>
  <c r="N2429" i="5"/>
  <c r="L2429" i="5"/>
  <c r="I2429" i="5"/>
  <c r="H2429" i="5"/>
  <c r="G2429" i="5"/>
  <c r="D2429" i="5"/>
  <c r="N2428" i="5"/>
  <c r="L2428" i="5"/>
  <c r="H2428" i="5"/>
  <c r="G2428" i="5"/>
  <c r="I2428" i="5" s="1"/>
  <c r="D2428" i="5"/>
  <c r="N2427" i="5"/>
  <c r="L2427" i="5"/>
  <c r="H2427" i="5"/>
  <c r="G2427" i="5"/>
  <c r="I2427" i="5" s="1"/>
  <c r="D2427" i="5"/>
  <c r="N2426" i="5"/>
  <c r="L2426" i="5"/>
  <c r="I2426" i="5"/>
  <c r="H2426" i="5"/>
  <c r="G2426" i="5"/>
  <c r="D2426" i="5"/>
  <c r="N2425" i="5"/>
  <c r="L2425" i="5"/>
  <c r="I2425" i="5"/>
  <c r="H2425" i="5"/>
  <c r="G2425" i="5"/>
  <c r="D2425" i="5"/>
  <c r="N2424" i="5"/>
  <c r="L2424" i="5"/>
  <c r="H2424" i="5"/>
  <c r="G2424" i="5"/>
  <c r="I2424" i="5" s="1"/>
  <c r="D2424" i="5"/>
  <c r="N2423" i="5"/>
  <c r="L2423" i="5"/>
  <c r="H2423" i="5"/>
  <c r="G2423" i="5"/>
  <c r="I2423" i="5" s="1"/>
  <c r="D2423" i="5"/>
  <c r="N2422" i="5"/>
  <c r="L2422" i="5"/>
  <c r="I2422" i="5"/>
  <c r="H2422" i="5"/>
  <c r="G2422" i="5"/>
  <c r="D2422" i="5"/>
  <c r="N2421" i="5"/>
  <c r="L2421" i="5"/>
  <c r="I2421" i="5"/>
  <c r="H2421" i="5"/>
  <c r="G2421" i="5"/>
  <c r="D2421" i="5"/>
  <c r="N2420" i="5"/>
  <c r="L2420" i="5"/>
  <c r="H2420" i="5"/>
  <c r="G2420" i="5"/>
  <c r="I2420" i="5" s="1"/>
  <c r="D2420" i="5"/>
  <c r="N2419" i="5"/>
  <c r="L2419" i="5"/>
  <c r="H2419" i="5"/>
  <c r="G2419" i="5"/>
  <c r="I2419" i="5" s="1"/>
  <c r="D2419" i="5"/>
  <c r="N2418" i="5"/>
  <c r="L2418" i="5"/>
  <c r="I2418" i="5"/>
  <c r="H2418" i="5"/>
  <c r="G2418" i="5"/>
  <c r="D2418" i="5"/>
  <c r="N2417" i="5"/>
  <c r="L2417" i="5"/>
  <c r="I2417" i="5"/>
  <c r="H2417" i="5"/>
  <c r="G2417" i="5"/>
  <c r="D2417" i="5"/>
  <c r="N2416" i="5"/>
  <c r="L2416" i="5"/>
  <c r="H2416" i="5"/>
  <c r="G2416" i="5"/>
  <c r="I2416" i="5" s="1"/>
  <c r="D2416" i="5"/>
  <c r="N2415" i="5"/>
  <c r="L2415" i="5"/>
  <c r="H2415" i="5"/>
  <c r="G2415" i="5"/>
  <c r="I2415" i="5" s="1"/>
  <c r="D2415" i="5"/>
  <c r="N2414" i="5"/>
  <c r="L2414" i="5"/>
  <c r="I2414" i="5"/>
  <c r="H2414" i="5"/>
  <c r="G2414" i="5"/>
  <c r="D2414" i="5"/>
  <c r="N2413" i="5"/>
  <c r="L2413" i="5"/>
  <c r="I2413" i="5"/>
  <c r="H2413" i="5"/>
  <c r="G2413" i="5"/>
  <c r="D2413" i="5"/>
  <c r="N2412" i="5"/>
  <c r="L2412" i="5"/>
  <c r="H2412" i="5"/>
  <c r="G2412" i="5"/>
  <c r="I2412" i="5" s="1"/>
  <c r="D2412" i="5"/>
  <c r="N2411" i="5"/>
  <c r="L2411" i="5"/>
  <c r="H2411" i="5"/>
  <c r="G2411" i="5"/>
  <c r="I2411" i="5" s="1"/>
  <c r="D2411" i="5"/>
  <c r="N2410" i="5"/>
  <c r="L2410" i="5"/>
  <c r="I2410" i="5"/>
  <c r="H2410" i="5"/>
  <c r="G2410" i="5"/>
  <c r="D2410" i="5"/>
  <c r="N2409" i="5"/>
  <c r="L2409" i="5"/>
  <c r="I2409" i="5"/>
  <c r="H2409" i="5"/>
  <c r="G2409" i="5"/>
  <c r="D2409" i="5"/>
  <c r="N2408" i="5"/>
  <c r="L2408" i="5"/>
  <c r="H2408" i="5"/>
  <c r="G2408" i="5"/>
  <c r="I2408" i="5" s="1"/>
  <c r="D2408" i="5"/>
  <c r="N2407" i="5"/>
  <c r="L2407" i="5"/>
  <c r="H2407" i="5"/>
  <c r="G2407" i="5"/>
  <c r="I2407" i="5" s="1"/>
  <c r="D2407" i="5"/>
  <c r="N2406" i="5"/>
  <c r="L2406" i="5"/>
  <c r="I2406" i="5"/>
  <c r="H2406" i="5"/>
  <c r="G2406" i="5"/>
  <c r="D2406" i="5"/>
  <c r="N2405" i="5"/>
  <c r="L2405" i="5"/>
  <c r="I2405" i="5"/>
  <c r="H2405" i="5"/>
  <c r="G2405" i="5"/>
  <c r="D2405" i="5"/>
  <c r="N2404" i="5"/>
  <c r="L2404" i="5"/>
  <c r="H2404" i="5"/>
  <c r="G2404" i="5"/>
  <c r="I2404" i="5" s="1"/>
  <c r="D2404" i="5"/>
  <c r="N2403" i="5"/>
  <c r="L2403" i="5"/>
  <c r="H2403" i="5"/>
  <c r="G2403" i="5"/>
  <c r="I2403" i="5" s="1"/>
  <c r="D2403" i="5"/>
  <c r="N2402" i="5"/>
  <c r="L2402" i="5"/>
  <c r="I2402" i="5"/>
  <c r="H2402" i="5"/>
  <c r="G2402" i="5"/>
  <c r="D2402" i="5"/>
  <c r="N2401" i="5"/>
  <c r="L2401" i="5"/>
  <c r="I2401" i="5"/>
  <c r="H2401" i="5"/>
  <c r="G2401" i="5"/>
  <c r="D2401" i="5"/>
  <c r="N2400" i="5"/>
  <c r="L2400" i="5"/>
  <c r="H2400" i="5"/>
  <c r="G2400" i="5"/>
  <c r="I2400" i="5" s="1"/>
  <c r="D2400" i="5"/>
  <c r="N2399" i="5"/>
  <c r="L2399" i="5"/>
  <c r="H2399" i="5"/>
  <c r="G2399" i="5"/>
  <c r="I2399" i="5" s="1"/>
  <c r="D2399" i="5"/>
  <c r="N2398" i="5"/>
  <c r="L2398" i="5"/>
  <c r="I2398" i="5"/>
  <c r="H2398" i="5"/>
  <c r="G2398" i="5"/>
  <c r="D2398" i="5"/>
  <c r="N2397" i="5"/>
  <c r="L2397" i="5"/>
  <c r="I2397" i="5"/>
  <c r="H2397" i="5"/>
  <c r="G2397" i="5"/>
  <c r="D2397" i="5"/>
  <c r="N2396" i="5"/>
  <c r="L2396" i="5"/>
  <c r="H2396" i="5"/>
  <c r="G2396" i="5"/>
  <c r="I2396" i="5" s="1"/>
  <c r="D2396" i="5"/>
  <c r="N2395" i="5"/>
  <c r="L2395" i="5"/>
  <c r="H2395" i="5"/>
  <c r="G2395" i="5"/>
  <c r="I2395" i="5" s="1"/>
  <c r="D2395" i="5"/>
  <c r="N2394" i="5"/>
  <c r="L2394" i="5"/>
  <c r="I2394" i="5"/>
  <c r="H2394" i="5"/>
  <c r="G2394" i="5"/>
  <c r="D2394" i="5"/>
  <c r="N2393" i="5"/>
  <c r="L2393" i="5"/>
  <c r="I2393" i="5"/>
  <c r="H2393" i="5"/>
  <c r="G2393" i="5"/>
  <c r="D2393" i="5"/>
  <c r="N2392" i="5"/>
  <c r="L2392" i="5"/>
  <c r="H2392" i="5"/>
  <c r="G2392" i="5"/>
  <c r="I2392" i="5" s="1"/>
  <c r="D2392" i="5"/>
  <c r="N2391" i="5"/>
  <c r="L2391" i="5"/>
  <c r="H2391" i="5"/>
  <c r="G2391" i="5"/>
  <c r="I2391" i="5" s="1"/>
  <c r="D2391" i="5"/>
  <c r="N2390" i="5"/>
  <c r="L2390" i="5"/>
  <c r="I2390" i="5"/>
  <c r="H2390" i="5"/>
  <c r="G2390" i="5"/>
  <c r="D2390" i="5"/>
  <c r="N2389" i="5"/>
  <c r="L2389" i="5"/>
  <c r="I2389" i="5"/>
  <c r="H2389" i="5"/>
  <c r="G2389" i="5"/>
  <c r="D2389" i="5"/>
  <c r="N2388" i="5"/>
  <c r="L2388" i="5"/>
  <c r="H2388" i="5"/>
  <c r="G2388" i="5"/>
  <c r="I2388" i="5" s="1"/>
  <c r="D2388" i="5"/>
  <c r="N2387" i="5"/>
  <c r="L2387" i="5"/>
  <c r="H2387" i="5"/>
  <c r="G2387" i="5"/>
  <c r="I2387" i="5" s="1"/>
  <c r="D2387" i="5"/>
  <c r="N2386" i="5"/>
  <c r="L2386" i="5"/>
  <c r="I2386" i="5"/>
  <c r="H2386" i="5"/>
  <c r="G2386" i="5"/>
  <c r="D2386" i="5"/>
  <c r="N2385" i="5"/>
  <c r="L2385" i="5"/>
  <c r="I2385" i="5"/>
  <c r="H2385" i="5"/>
  <c r="G2385" i="5"/>
  <c r="D2385" i="5"/>
  <c r="N2384" i="5"/>
  <c r="L2384" i="5"/>
  <c r="H2384" i="5"/>
  <c r="G2384" i="5"/>
  <c r="I2384" i="5" s="1"/>
  <c r="D2384" i="5"/>
  <c r="N2383" i="5"/>
  <c r="L2383" i="5"/>
  <c r="H2383" i="5"/>
  <c r="G2383" i="5"/>
  <c r="I2383" i="5" s="1"/>
  <c r="D2383" i="5"/>
  <c r="N2382" i="5"/>
  <c r="L2382" i="5"/>
  <c r="I2382" i="5"/>
  <c r="H2382" i="5"/>
  <c r="G2382" i="5"/>
  <c r="D2382" i="5"/>
  <c r="N2381" i="5"/>
  <c r="L2381" i="5"/>
  <c r="I2381" i="5"/>
  <c r="H2381" i="5"/>
  <c r="G2381" i="5"/>
  <c r="D2381" i="5"/>
  <c r="N2380" i="5"/>
  <c r="L2380" i="5"/>
  <c r="H2380" i="5"/>
  <c r="G2380" i="5"/>
  <c r="I2380" i="5" s="1"/>
  <c r="D2380" i="5"/>
  <c r="N2379" i="5"/>
  <c r="L2379" i="5"/>
  <c r="H2379" i="5"/>
  <c r="G2379" i="5"/>
  <c r="I2379" i="5" s="1"/>
  <c r="D2379" i="5"/>
  <c r="N2378" i="5"/>
  <c r="L2378" i="5"/>
  <c r="I2378" i="5"/>
  <c r="H2378" i="5"/>
  <c r="G2378" i="5"/>
  <c r="D2378" i="5"/>
  <c r="N2377" i="5"/>
  <c r="L2377" i="5"/>
  <c r="I2377" i="5"/>
  <c r="H2377" i="5"/>
  <c r="G2377" i="5"/>
  <c r="D2377" i="5"/>
  <c r="N2376" i="5"/>
  <c r="L2376" i="5"/>
  <c r="H2376" i="5"/>
  <c r="G2376" i="5"/>
  <c r="I2376" i="5" s="1"/>
  <c r="D2376" i="5"/>
  <c r="N2375" i="5"/>
  <c r="L2375" i="5"/>
  <c r="H2375" i="5"/>
  <c r="G2375" i="5"/>
  <c r="I2375" i="5" s="1"/>
  <c r="D2375" i="5"/>
  <c r="N2374" i="5"/>
  <c r="L2374" i="5"/>
  <c r="I2374" i="5"/>
  <c r="H2374" i="5"/>
  <c r="G2374" i="5"/>
  <c r="D2374" i="5"/>
  <c r="N2373" i="5"/>
  <c r="L2373" i="5"/>
  <c r="I2373" i="5"/>
  <c r="H2373" i="5"/>
  <c r="G2373" i="5"/>
  <c r="D2373" i="5"/>
  <c r="N2372" i="5"/>
  <c r="L2372" i="5"/>
  <c r="H2372" i="5"/>
  <c r="G2372" i="5"/>
  <c r="I2372" i="5" s="1"/>
  <c r="D2372" i="5"/>
  <c r="N2371" i="5"/>
  <c r="L2371" i="5"/>
  <c r="H2371" i="5"/>
  <c r="G2371" i="5"/>
  <c r="I2371" i="5" s="1"/>
  <c r="D2371" i="5"/>
  <c r="N2370" i="5"/>
  <c r="L2370" i="5"/>
  <c r="I2370" i="5"/>
  <c r="H2370" i="5"/>
  <c r="G2370" i="5"/>
  <c r="D2370" i="5"/>
  <c r="N2369" i="5"/>
  <c r="L2369" i="5"/>
  <c r="I2369" i="5"/>
  <c r="H2369" i="5"/>
  <c r="G2369" i="5"/>
  <c r="D2369" i="5"/>
  <c r="N2368" i="5"/>
  <c r="L2368" i="5"/>
  <c r="H2368" i="5"/>
  <c r="G2368" i="5"/>
  <c r="I2368" i="5" s="1"/>
  <c r="D2368" i="5"/>
  <c r="N2367" i="5"/>
  <c r="L2367" i="5"/>
  <c r="H2367" i="5"/>
  <c r="G2367" i="5"/>
  <c r="I2367" i="5" s="1"/>
  <c r="D2367" i="5"/>
  <c r="N2366" i="5"/>
  <c r="L2366" i="5"/>
  <c r="I2366" i="5"/>
  <c r="H2366" i="5"/>
  <c r="G2366" i="5"/>
  <c r="D2366" i="5"/>
  <c r="N2365" i="5"/>
  <c r="L2365" i="5"/>
  <c r="I2365" i="5"/>
  <c r="H2365" i="5"/>
  <c r="G2365" i="5"/>
  <c r="D2365" i="5"/>
  <c r="N2364" i="5"/>
  <c r="L2364" i="5"/>
  <c r="H2364" i="5"/>
  <c r="G2364" i="5"/>
  <c r="I2364" i="5" s="1"/>
  <c r="D2364" i="5"/>
  <c r="N2363" i="5"/>
  <c r="L2363" i="5"/>
  <c r="H2363" i="5"/>
  <c r="G2363" i="5"/>
  <c r="I2363" i="5" s="1"/>
  <c r="D2363" i="5"/>
  <c r="N2362" i="5"/>
  <c r="L2362" i="5"/>
  <c r="I2362" i="5"/>
  <c r="H2362" i="5"/>
  <c r="G2362" i="5"/>
  <c r="D2362" i="5"/>
  <c r="N2361" i="5"/>
  <c r="L2361" i="5"/>
  <c r="I2361" i="5"/>
  <c r="H2361" i="5"/>
  <c r="G2361" i="5"/>
  <c r="D2361" i="5"/>
  <c r="N2360" i="5"/>
  <c r="L2360" i="5"/>
  <c r="H2360" i="5"/>
  <c r="G2360" i="5"/>
  <c r="I2360" i="5" s="1"/>
  <c r="D2360" i="5"/>
  <c r="N2359" i="5"/>
  <c r="L2359" i="5"/>
  <c r="H2359" i="5"/>
  <c r="G2359" i="5"/>
  <c r="I2359" i="5" s="1"/>
  <c r="D2359" i="5"/>
  <c r="N2358" i="5"/>
  <c r="L2358" i="5"/>
  <c r="I2358" i="5"/>
  <c r="H2358" i="5"/>
  <c r="G2358" i="5"/>
  <c r="D2358" i="5"/>
  <c r="N2357" i="5"/>
  <c r="L2357" i="5"/>
  <c r="I2357" i="5"/>
  <c r="H2357" i="5"/>
  <c r="G2357" i="5"/>
  <c r="D2357" i="5"/>
  <c r="N2356" i="5"/>
  <c r="L2356" i="5"/>
  <c r="H2356" i="5"/>
  <c r="G2356" i="5"/>
  <c r="I2356" i="5" s="1"/>
  <c r="D2356" i="5"/>
  <c r="N2355" i="5"/>
  <c r="L2355" i="5"/>
  <c r="H2355" i="5"/>
  <c r="G2355" i="5"/>
  <c r="I2355" i="5" s="1"/>
  <c r="D2355" i="5"/>
  <c r="N2354" i="5"/>
  <c r="L2354" i="5"/>
  <c r="I2354" i="5"/>
  <c r="H2354" i="5"/>
  <c r="G2354" i="5"/>
  <c r="D2354" i="5"/>
  <c r="N2353" i="5"/>
  <c r="L2353" i="5"/>
  <c r="I2353" i="5"/>
  <c r="H2353" i="5"/>
  <c r="G2353" i="5"/>
  <c r="D2353" i="5"/>
  <c r="N2352" i="5"/>
  <c r="L2352" i="5"/>
  <c r="H2352" i="5"/>
  <c r="G2352" i="5"/>
  <c r="I2352" i="5" s="1"/>
  <c r="D2352" i="5"/>
  <c r="N2351" i="5"/>
  <c r="L2351" i="5"/>
  <c r="H2351" i="5"/>
  <c r="G2351" i="5"/>
  <c r="I2351" i="5" s="1"/>
  <c r="D2351" i="5"/>
  <c r="N2350" i="5"/>
  <c r="L2350" i="5"/>
  <c r="I2350" i="5"/>
  <c r="H2350" i="5"/>
  <c r="G2350" i="5"/>
  <c r="D2350" i="5"/>
  <c r="N2349" i="5"/>
  <c r="L2349" i="5"/>
  <c r="I2349" i="5"/>
  <c r="H2349" i="5"/>
  <c r="G2349" i="5"/>
  <c r="D2349" i="5"/>
  <c r="N2348" i="5"/>
  <c r="L2348" i="5"/>
  <c r="H2348" i="5"/>
  <c r="G2348" i="5"/>
  <c r="I2348" i="5" s="1"/>
  <c r="D2348" i="5"/>
  <c r="N2347" i="5"/>
  <c r="L2347" i="5"/>
  <c r="H2347" i="5"/>
  <c r="G2347" i="5"/>
  <c r="I2347" i="5" s="1"/>
  <c r="D2347" i="5"/>
  <c r="N2346" i="5"/>
  <c r="L2346" i="5"/>
  <c r="I2346" i="5"/>
  <c r="H2346" i="5"/>
  <c r="G2346" i="5"/>
  <c r="D2346" i="5"/>
  <c r="N2345" i="5"/>
  <c r="L2345" i="5"/>
  <c r="I2345" i="5"/>
  <c r="H2345" i="5"/>
  <c r="G2345" i="5"/>
  <c r="D2345" i="5"/>
  <c r="N2344" i="5"/>
  <c r="L2344" i="5"/>
  <c r="H2344" i="5"/>
  <c r="G2344" i="5"/>
  <c r="I2344" i="5" s="1"/>
  <c r="D2344" i="5"/>
  <c r="N2343" i="5"/>
  <c r="L2343" i="5"/>
  <c r="H2343" i="5"/>
  <c r="G2343" i="5"/>
  <c r="I2343" i="5" s="1"/>
  <c r="D2343" i="5"/>
  <c r="N2342" i="5"/>
  <c r="L2342" i="5"/>
  <c r="I2342" i="5"/>
  <c r="H2342" i="5"/>
  <c r="G2342" i="5"/>
  <c r="D2342" i="5"/>
  <c r="N2341" i="5"/>
  <c r="L2341" i="5"/>
  <c r="I2341" i="5"/>
  <c r="H2341" i="5"/>
  <c r="G2341" i="5"/>
  <c r="D2341" i="5"/>
  <c r="N2340" i="5"/>
  <c r="L2340" i="5"/>
  <c r="H2340" i="5"/>
  <c r="G2340" i="5"/>
  <c r="I2340" i="5" s="1"/>
  <c r="D2340" i="5"/>
  <c r="N2339" i="5"/>
  <c r="L2339" i="5"/>
  <c r="H2339" i="5"/>
  <c r="G2339" i="5"/>
  <c r="I2339" i="5" s="1"/>
  <c r="D2339" i="5"/>
  <c r="N2338" i="5"/>
  <c r="L2338" i="5"/>
  <c r="I2338" i="5"/>
  <c r="H2338" i="5"/>
  <c r="G2338" i="5"/>
  <c r="D2338" i="5"/>
  <c r="N2337" i="5"/>
  <c r="L2337" i="5"/>
  <c r="I2337" i="5"/>
  <c r="H2337" i="5"/>
  <c r="G2337" i="5"/>
  <c r="D2337" i="5"/>
  <c r="N2336" i="5"/>
  <c r="L2336" i="5"/>
  <c r="H2336" i="5"/>
  <c r="G2336" i="5"/>
  <c r="I2336" i="5" s="1"/>
  <c r="D2336" i="5"/>
  <c r="N2335" i="5"/>
  <c r="L2335" i="5"/>
  <c r="H2335" i="5"/>
  <c r="G2335" i="5"/>
  <c r="I2335" i="5" s="1"/>
  <c r="D2335" i="5"/>
  <c r="N2334" i="5"/>
  <c r="L2334" i="5"/>
  <c r="I2334" i="5"/>
  <c r="H2334" i="5"/>
  <c r="G2334" i="5"/>
  <c r="D2334" i="5"/>
  <c r="N2333" i="5"/>
  <c r="L2333" i="5"/>
  <c r="I2333" i="5"/>
  <c r="H2333" i="5"/>
  <c r="G2333" i="5"/>
  <c r="D2333" i="5"/>
  <c r="N2332" i="5"/>
  <c r="L2332" i="5"/>
  <c r="H2332" i="5"/>
  <c r="G2332" i="5"/>
  <c r="I2332" i="5" s="1"/>
  <c r="D2332" i="5"/>
  <c r="N2331" i="5"/>
  <c r="L2331" i="5"/>
  <c r="H2331" i="5"/>
  <c r="G2331" i="5"/>
  <c r="I2331" i="5" s="1"/>
  <c r="D2331" i="5"/>
  <c r="N2330" i="5"/>
  <c r="L2330" i="5"/>
  <c r="I2330" i="5"/>
  <c r="H2330" i="5"/>
  <c r="G2330" i="5"/>
  <c r="D2330" i="5"/>
  <c r="N2329" i="5"/>
  <c r="L2329" i="5"/>
  <c r="I2329" i="5"/>
  <c r="H2329" i="5"/>
  <c r="G2329" i="5"/>
  <c r="D2329" i="5"/>
  <c r="N2328" i="5"/>
  <c r="L2328" i="5"/>
  <c r="H2328" i="5"/>
  <c r="G2328" i="5"/>
  <c r="I2328" i="5" s="1"/>
  <c r="D2328" i="5"/>
  <c r="N2327" i="5"/>
  <c r="L2327" i="5"/>
  <c r="H2327" i="5"/>
  <c r="G2327" i="5"/>
  <c r="I2327" i="5" s="1"/>
  <c r="D2327" i="5"/>
  <c r="N2326" i="5"/>
  <c r="L2326" i="5"/>
  <c r="I2326" i="5"/>
  <c r="H2326" i="5"/>
  <c r="G2326" i="5"/>
  <c r="D2326" i="5"/>
  <c r="N2325" i="5"/>
  <c r="L2325" i="5"/>
  <c r="I2325" i="5"/>
  <c r="H2325" i="5"/>
  <c r="G2325" i="5"/>
  <c r="D2325" i="5"/>
  <c r="N2324" i="5"/>
  <c r="L2324" i="5"/>
  <c r="H2324" i="5"/>
  <c r="G2324" i="5"/>
  <c r="I2324" i="5" s="1"/>
  <c r="D2324" i="5"/>
  <c r="N2323" i="5"/>
  <c r="L2323" i="5"/>
  <c r="H2323" i="5"/>
  <c r="G2323" i="5"/>
  <c r="I2323" i="5" s="1"/>
  <c r="D2323" i="5"/>
  <c r="N2322" i="5"/>
  <c r="L2322" i="5"/>
  <c r="I2322" i="5"/>
  <c r="H2322" i="5"/>
  <c r="G2322" i="5"/>
  <c r="D2322" i="5"/>
  <c r="N2321" i="5"/>
  <c r="L2321" i="5"/>
  <c r="I2321" i="5"/>
  <c r="H2321" i="5"/>
  <c r="G2321" i="5"/>
  <c r="D2321" i="5"/>
  <c r="N2320" i="5"/>
  <c r="L2320" i="5"/>
  <c r="H2320" i="5"/>
  <c r="G2320" i="5"/>
  <c r="I2320" i="5" s="1"/>
  <c r="D2320" i="5"/>
  <c r="N2319" i="5"/>
  <c r="L2319" i="5"/>
  <c r="H2319" i="5"/>
  <c r="G2319" i="5"/>
  <c r="I2319" i="5" s="1"/>
  <c r="D2319" i="5"/>
  <c r="N2318" i="5"/>
  <c r="L2318" i="5"/>
  <c r="I2318" i="5"/>
  <c r="H2318" i="5"/>
  <c r="G2318" i="5"/>
  <c r="D2318" i="5"/>
  <c r="N2317" i="5"/>
  <c r="L2317" i="5"/>
  <c r="I2317" i="5"/>
  <c r="H2317" i="5"/>
  <c r="G2317" i="5"/>
  <c r="D2317" i="5"/>
  <c r="N2316" i="5"/>
  <c r="L2316" i="5"/>
  <c r="H2316" i="5"/>
  <c r="G2316" i="5"/>
  <c r="I2316" i="5" s="1"/>
  <c r="D2316" i="5"/>
  <c r="N2315" i="5"/>
  <c r="L2315" i="5"/>
  <c r="H2315" i="5"/>
  <c r="G2315" i="5"/>
  <c r="I2315" i="5" s="1"/>
  <c r="D2315" i="5"/>
  <c r="N2314" i="5"/>
  <c r="L2314" i="5"/>
  <c r="I2314" i="5"/>
  <c r="H2314" i="5"/>
  <c r="G2314" i="5"/>
  <c r="D2314" i="5"/>
  <c r="N2313" i="5"/>
  <c r="L2313" i="5"/>
  <c r="I2313" i="5"/>
  <c r="H2313" i="5"/>
  <c r="G2313" i="5"/>
  <c r="D2313" i="5"/>
  <c r="N2312" i="5"/>
  <c r="L2312" i="5"/>
  <c r="H2312" i="5"/>
  <c r="G2312" i="5"/>
  <c r="I2312" i="5" s="1"/>
  <c r="D2312" i="5"/>
  <c r="N2311" i="5"/>
  <c r="L2311" i="5"/>
  <c r="H2311" i="5"/>
  <c r="G2311" i="5"/>
  <c r="I2311" i="5" s="1"/>
  <c r="D2311" i="5"/>
  <c r="N2310" i="5"/>
  <c r="L2310" i="5"/>
  <c r="I2310" i="5"/>
  <c r="H2310" i="5"/>
  <c r="G2310" i="5"/>
  <c r="D2310" i="5"/>
  <c r="N2309" i="5"/>
  <c r="L2309" i="5"/>
  <c r="H2309" i="5"/>
  <c r="G2309" i="5"/>
  <c r="I2309" i="5" s="1"/>
  <c r="D2309" i="5"/>
  <c r="N2308" i="5"/>
  <c r="L2308" i="5"/>
  <c r="H2308" i="5"/>
  <c r="G2308" i="5"/>
  <c r="I2308" i="5" s="1"/>
  <c r="D2308" i="5"/>
  <c r="N2307" i="5"/>
  <c r="L2307" i="5"/>
  <c r="H2307" i="5"/>
  <c r="G2307" i="5"/>
  <c r="I2307" i="5" s="1"/>
  <c r="D2307" i="5"/>
  <c r="N2306" i="5"/>
  <c r="L2306" i="5"/>
  <c r="I2306" i="5"/>
  <c r="H2306" i="5"/>
  <c r="G2306" i="5"/>
  <c r="D2306" i="5"/>
  <c r="N2305" i="5"/>
  <c r="L2305" i="5"/>
  <c r="I2305" i="5"/>
  <c r="H2305" i="5"/>
  <c r="G2305" i="5"/>
  <c r="D2305" i="5"/>
  <c r="N2304" i="5"/>
  <c r="L2304" i="5"/>
  <c r="H2304" i="5"/>
  <c r="G2304" i="5"/>
  <c r="I2304" i="5" s="1"/>
  <c r="D2304" i="5"/>
  <c r="N2303" i="5"/>
  <c r="L2303" i="5"/>
  <c r="H2303" i="5"/>
  <c r="G2303" i="5"/>
  <c r="I2303" i="5" s="1"/>
  <c r="D2303" i="5"/>
  <c r="N2302" i="5"/>
  <c r="L2302" i="5"/>
  <c r="I2302" i="5"/>
  <c r="H2302" i="5"/>
  <c r="G2302" i="5"/>
  <c r="D2302" i="5"/>
  <c r="N2301" i="5"/>
  <c r="L2301" i="5"/>
  <c r="H2301" i="5"/>
  <c r="G2301" i="5"/>
  <c r="I2301" i="5" s="1"/>
  <c r="D2301" i="5"/>
  <c r="N2300" i="5"/>
  <c r="L2300" i="5"/>
  <c r="H2300" i="5"/>
  <c r="G2300" i="5"/>
  <c r="I2300" i="5" s="1"/>
  <c r="D2300" i="5"/>
  <c r="N2299" i="5"/>
  <c r="L2299" i="5"/>
  <c r="H2299" i="5"/>
  <c r="G2299" i="5"/>
  <c r="I2299" i="5" s="1"/>
  <c r="D2299" i="5"/>
  <c r="N2298" i="5"/>
  <c r="L2298" i="5"/>
  <c r="I2298" i="5"/>
  <c r="H2298" i="5"/>
  <c r="G2298" i="5"/>
  <c r="D2298" i="5"/>
  <c r="N2297" i="5"/>
  <c r="L2297" i="5"/>
  <c r="I2297" i="5"/>
  <c r="H2297" i="5"/>
  <c r="G2297" i="5"/>
  <c r="D2297" i="5"/>
  <c r="N2296" i="5"/>
  <c r="L2296" i="5"/>
  <c r="H2296" i="5"/>
  <c r="G2296" i="5"/>
  <c r="I2296" i="5" s="1"/>
  <c r="D2296" i="5"/>
  <c r="N2295" i="5"/>
  <c r="L2295" i="5"/>
  <c r="H2295" i="5"/>
  <c r="G2295" i="5"/>
  <c r="I2295" i="5" s="1"/>
  <c r="D2295" i="5"/>
  <c r="N2294" i="5"/>
  <c r="L2294" i="5"/>
  <c r="I2294" i="5"/>
  <c r="H2294" i="5"/>
  <c r="G2294" i="5"/>
  <c r="D2294" i="5"/>
  <c r="N2293" i="5"/>
  <c r="L2293" i="5"/>
  <c r="H2293" i="5"/>
  <c r="G2293" i="5"/>
  <c r="I2293" i="5" s="1"/>
  <c r="D2293" i="5"/>
  <c r="N2292" i="5"/>
  <c r="L2292" i="5"/>
  <c r="H2292" i="5"/>
  <c r="G2292" i="5"/>
  <c r="I2292" i="5" s="1"/>
  <c r="D2292" i="5"/>
  <c r="N2291" i="5"/>
  <c r="L2291" i="5"/>
  <c r="H2291" i="5"/>
  <c r="G2291" i="5"/>
  <c r="I2291" i="5" s="1"/>
  <c r="D2291" i="5"/>
  <c r="N2290" i="5"/>
  <c r="L2290" i="5"/>
  <c r="I2290" i="5"/>
  <c r="H2290" i="5"/>
  <c r="G2290" i="5"/>
  <c r="D2290" i="5"/>
  <c r="N2289" i="5"/>
  <c r="L2289" i="5"/>
  <c r="H2289" i="5"/>
  <c r="G2289" i="5"/>
  <c r="I2289" i="5" s="1"/>
  <c r="D2289" i="5"/>
  <c r="N2288" i="5"/>
  <c r="L2288" i="5"/>
  <c r="I2288" i="5"/>
  <c r="H2288" i="5"/>
  <c r="G2288" i="5"/>
  <c r="D2288" i="5"/>
  <c r="N2287" i="5"/>
  <c r="L2287" i="5"/>
  <c r="H2287" i="5"/>
  <c r="G2287" i="5"/>
  <c r="I2287" i="5" s="1"/>
  <c r="D2287" i="5"/>
  <c r="N2286" i="5"/>
  <c r="L2286" i="5"/>
  <c r="I2286" i="5"/>
  <c r="H2286" i="5"/>
  <c r="G2286" i="5"/>
  <c r="D2286" i="5"/>
  <c r="N2285" i="5"/>
  <c r="L2285" i="5"/>
  <c r="H2285" i="5"/>
  <c r="G2285" i="5"/>
  <c r="I2285" i="5" s="1"/>
  <c r="D2285" i="5"/>
  <c r="N2284" i="5"/>
  <c r="L2284" i="5"/>
  <c r="I2284" i="5"/>
  <c r="H2284" i="5"/>
  <c r="G2284" i="5"/>
  <c r="D2284" i="5"/>
  <c r="N2283" i="5"/>
  <c r="L2283" i="5"/>
  <c r="H2283" i="5"/>
  <c r="G2283" i="5"/>
  <c r="I2283" i="5" s="1"/>
  <c r="D2283" i="5"/>
  <c r="N2282" i="5"/>
  <c r="L2282" i="5"/>
  <c r="I2282" i="5"/>
  <c r="H2282" i="5"/>
  <c r="G2282" i="5"/>
  <c r="D2282" i="5"/>
  <c r="N2281" i="5"/>
  <c r="L2281" i="5"/>
  <c r="I2281" i="5"/>
  <c r="H2281" i="5"/>
  <c r="G2281" i="5"/>
  <c r="D2281" i="5"/>
  <c r="N2280" i="5"/>
  <c r="L2280" i="5"/>
  <c r="H2280" i="5"/>
  <c r="G2280" i="5"/>
  <c r="I2280" i="5" s="1"/>
  <c r="D2280" i="5"/>
  <c r="N2279" i="5"/>
  <c r="L2279" i="5"/>
  <c r="H2279" i="5"/>
  <c r="G2279" i="5"/>
  <c r="I2279" i="5" s="1"/>
  <c r="D2279" i="5"/>
  <c r="N2278" i="5"/>
  <c r="L2278" i="5"/>
  <c r="I2278" i="5"/>
  <c r="H2278" i="5"/>
  <c r="G2278" i="5"/>
  <c r="D2278" i="5"/>
  <c r="N2277" i="5"/>
  <c r="L2277" i="5"/>
  <c r="I2277" i="5"/>
  <c r="H2277" i="5"/>
  <c r="G2277" i="5"/>
  <c r="D2277" i="5"/>
  <c r="N2276" i="5"/>
  <c r="L2276" i="5"/>
  <c r="I2276" i="5"/>
  <c r="H2276" i="5"/>
  <c r="G2276" i="5"/>
  <c r="D2276" i="5"/>
  <c r="N2275" i="5"/>
  <c r="L2275" i="5"/>
  <c r="H2275" i="5"/>
  <c r="G2275" i="5"/>
  <c r="I2275" i="5" s="1"/>
  <c r="D2275" i="5"/>
  <c r="N2274" i="5"/>
  <c r="L2274" i="5"/>
  <c r="I2274" i="5"/>
  <c r="H2274" i="5"/>
  <c r="G2274" i="5"/>
  <c r="D2274" i="5"/>
  <c r="N2273" i="5"/>
  <c r="L2273" i="5"/>
  <c r="H2273" i="5"/>
  <c r="G2273" i="5"/>
  <c r="I2273" i="5" s="1"/>
  <c r="D2273" i="5"/>
  <c r="N2272" i="5"/>
  <c r="L2272" i="5"/>
  <c r="I2272" i="5"/>
  <c r="H2272" i="5"/>
  <c r="G2272" i="5"/>
  <c r="D2272" i="5"/>
  <c r="N2271" i="5"/>
  <c r="L2271" i="5"/>
  <c r="H2271" i="5"/>
  <c r="G2271" i="5"/>
  <c r="I2271" i="5" s="1"/>
  <c r="D2271" i="5"/>
  <c r="N2270" i="5"/>
  <c r="L2270" i="5"/>
  <c r="I2270" i="5"/>
  <c r="H2270" i="5"/>
  <c r="G2270" i="5"/>
  <c r="D2270" i="5"/>
  <c r="N2269" i="5"/>
  <c r="L2269" i="5"/>
  <c r="I2269" i="5"/>
  <c r="H2269" i="5"/>
  <c r="G2269" i="5"/>
  <c r="D2269" i="5"/>
  <c r="N2268" i="5"/>
  <c r="L2268" i="5"/>
  <c r="H2268" i="5"/>
  <c r="G2268" i="5"/>
  <c r="I2268" i="5" s="1"/>
  <c r="D2268" i="5"/>
  <c r="N2267" i="5"/>
  <c r="L2267" i="5"/>
  <c r="H2267" i="5"/>
  <c r="G2267" i="5"/>
  <c r="I2267" i="5" s="1"/>
  <c r="D2267" i="5"/>
  <c r="N2266" i="5"/>
  <c r="L2266" i="5"/>
  <c r="I2266" i="5"/>
  <c r="H2266" i="5"/>
  <c r="G2266" i="5"/>
  <c r="D2266" i="5"/>
  <c r="N2265" i="5"/>
  <c r="L2265" i="5"/>
  <c r="I2265" i="5"/>
  <c r="H2265" i="5"/>
  <c r="G2265" i="5"/>
  <c r="D2265" i="5"/>
  <c r="N2264" i="5"/>
  <c r="L2264" i="5"/>
  <c r="H2264" i="5"/>
  <c r="G2264" i="5"/>
  <c r="I2264" i="5" s="1"/>
  <c r="D2264" i="5"/>
  <c r="N2263" i="5"/>
  <c r="L2263" i="5"/>
  <c r="H2263" i="5"/>
  <c r="G2263" i="5"/>
  <c r="I2263" i="5" s="1"/>
  <c r="D2263" i="5"/>
  <c r="N2262" i="5"/>
  <c r="L2262" i="5"/>
  <c r="I2262" i="5"/>
  <c r="H2262" i="5"/>
  <c r="G2262" i="5"/>
  <c r="D2262" i="5"/>
  <c r="N2261" i="5"/>
  <c r="L2261" i="5"/>
  <c r="H2261" i="5"/>
  <c r="G2261" i="5"/>
  <c r="I2261" i="5" s="1"/>
  <c r="D2261" i="5"/>
  <c r="N2260" i="5"/>
  <c r="L2260" i="5"/>
  <c r="H2260" i="5"/>
  <c r="G2260" i="5"/>
  <c r="I2260" i="5" s="1"/>
  <c r="D2260" i="5"/>
  <c r="N2259" i="5"/>
  <c r="L2259" i="5"/>
  <c r="H2259" i="5"/>
  <c r="G2259" i="5"/>
  <c r="I2259" i="5" s="1"/>
  <c r="D2259" i="5"/>
  <c r="N2258" i="5"/>
  <c r="L2258" i="5"/>
  <c r="I2258" i="5"/>
  <c r="H2258" i="5"/>
  <c r="G2258" i="5"/>
  <c r="D2258" i="5"/>
  <c r="N2257" i="5"/>
  <c r="L2257" i="5"/>
  <c r="H2257" i="5"/>
  <c r="G2257" i="5"/>
  <c r="I2257" i="5" s="1"/>
  <c r="D2257" i="5"/>
  <c r="N2256" i="5"/>
  <c r="L2256" i="5"/>
  <c r="I2256" i="5"/>
  <c r="H2256" i="5"/>
  <c r="G2256" i="5"/>
  <c r="D2256" i="5"/>
  <c r="N2255" i="5"/>
  <c r="L2255" i="5"/>
  <c r="H2255" i="5"/>
  <c r="G2255" i="5"/>
  <c r="I2255" i="5" s="1"/>
  <c r="D2255" i="5"/>
  <c r="N2254" i="5"/>
  <c r="L2254" i="5"/>
  <c r="I2254" i="5"/>
  <c r="H2254" i="5"/>
  <c r="G2254" i="5"/>
  <c r="D2254" i="5"/>
  <c r="N2253" i="5"/>
  <c r="L2253" i="5"/>
  <c r="H2253" i="5"/>
  <c r="G2253" i="5"/>
  <c r="I2253" i="5" s="1"/>
  <c r="D2253" i="5"/>
  <c r="N2252" i="5"/>
  <c r="L2252" i="5"/>
  <c r="I2252" i="5"/>
  <c r="H2252" i="5"/>
  <c r="G2252" i="5"/>
  <c r="D2252" i="5"/>
  <c r="N2251" i="5"/>
  <c r="L2251" i="5"/>
  <c r="I2251" i="5"/>
  <c r="H2251" i="5"/>
  <c r="G2251" i="5"/>
  <c r="D2251" i="5"/>
  <c r="N2250" i="5"/>
  <c r="L2250" i="5"/>
  <c r="H2250" i="5"/>
  <c r="G2250" i="5"/>
  <c r="I2250" i="5" s="1"/>
  <c r="D2250" i="5"/>
  <c r="N2249" i="5"/>
  <c r="L2249" i="5"/>
  <c r="H2249" i="5"/>
  <c r="G2249" i="5"/>
  <c r="I2249" i="5" s="1"/>
  <c r="D2249" i="5"/>
  <c r="N2248" i="5"/>
  <c r="L2248" i="5"/>
  <c r="I2248" i="5"/>
  <c r="H2248" i="5"/>
  <c r="G2248" i="5"/>
  <c r="D2248" i="5"/>
  <c r="N2247" i="5"/>
  <c r="L2247" i="5"/>
  <c r="I2247" i="5"/>
  <c r="H2247" i="5"/>
  <c r="G2247" i="5"/>
  <c r="D2247" i="5"/>
  <c r="N2246" i="5"/>
  <c r="L2246" i="5"/>
  <c r="H2246" i="5"/>
  <c r="G2246" i="5"/>
  <c r="I2246" i="5" s="1"/>
  <c r="D2246" i="5"/>
  <c r="N2245" i="5"/>
  <c r="L2245" i="5"/>
  <c r="H2245" i="5"/>
  <c r="G2245" i="5"/>
  <c r="I2245" i="5" s="1"/>
  <c r="D2245" i="5"/>
  <c r="N2244" i="5"/>
  <c r="L2244" i="5"/>
  <c r="I2244" i="5"/>
  <c r="H2244" i="5"/>
  <c r="G2244" i="5"/>
  <c r="D2244" i="5"/>
  <c r="N2243" i="5"/>
  <c r="L2243" i="5"/>
  <c r="I2243" i="5"/>
  <c r="H2243" i="5"/>
  <c r="G2243" i="5"/>
  <c r="D2243" i="5"/>
  <c r="N2242" i="5"/>
  <c r="L2242" i="5"/>
  <c r="H2242" i="5"/>
  <c r="G2242" i="5"/>
  <c r="I2242" i="5" s="1"/>
  <c r="D2242" i="5"/>
  <c r="N2241" i="5"/>
  <c r="L2241" i="5"/>
  <c r="H2241" i="5"/>
  <c r="G2241" i="5"/>
  <c r="I2241" i="5" s="1"/>
  <c r="D2241" i="5"/>
  <c r="N2240" i="5"/>
  <c r="L2240" i="5"/>
  <c r="I2240" i="5"/>
  <c r="H2240" i="5"/>
  <c r="G2240" i="5"/>
  <c r="D2240" i="5"/>
  <c r="N2239" i="5"/>
  <c r="L2239" i="5"/>
  <c r="I2239" i="5"/>
  <c r="H2239" i="5"/>
  <c r="G2239" i="5"/>
  <c r="D2239" i="5"/>
  <c r="N2238" i="5"/>
  <c r="L2238" i="5"/>
  <c r="H2238" i="5"/>
  <c r="G2238" i="5"/>
  <c r="I2238" i="5" s="1"/>
  <c r="D2238" i="5"/>
  <c r="N2237" i="5"/>
  <c r="L2237" i="5"/>
  <c r="H2237" i="5"/>
  <c r="G2237" i="5"/>
  <c r="I2237" i="5" s="1"/>
  <c r="D2237" i="5"/>
  <c r="N2236" i="5"/>
  <c r="L2236" i="5"/>
  <c r="I2236" i="5"/>
  <c r="H2236" i="5"/>
  <c r="G2236" i="5"/>
  <c r="D2236" i="5"/>
  <c r="N2235" i="5"/>
  <c r="L2235" i="5"/>
  <c r="I2235" i="5"/>
  <c r="H2235" i="5"/>
  <c r="G2235" i="5"/>
  <c r="D2235" i="5"/>
  <c r="N2234" i="5"/>
  <c r="L2234" i="5"/>
  <c r="H2234" i="5"/>
  <c r="G2234" i="5"/>
  <c r="I2234" i="5" s="1"/>
  <c r="D2234" i="5"/>
  <c r="N2233" i="5"/>
  <c r="L2233" i="5"/>
  <c r="H2233" i="5"/>
  <c r="G2233" i="5"/>
  <c r="I2233" i="5" s="1"/>
  <c r="D2233" i="5"/>
  <c r="N2232" i="5"/>
  <c r="L2232" i="5"/>
  <c r="I2232" i="5"/>
  <c r="H2232" i="5"/>
  <c r="G2232" i="5"/>
  <c r="D2232" i="5"/>
  <c r="N2231" i="5"/>
  <c r="L2231" i="5"/>
  <c r="I2231" i="5"/>
  <c r="H2231" i="5"/>
  <c r="G2231" i="5"/>
  <c r="D2231" i="5"/>
  <c r="N2230" i="5"/>
  <c r="L2230" i="5"/>
  <c r="H2230" i="5"/>
  <c r="G2230" i="5"/>
  <c r="I2230" i="5" s="1"/>
  <c r="D2230" i="5"/>
  <c r="N2229" i="5"/>
  <c r="L2229" i="5"/>
  <c r="H2229" i="5"/>
  <c r="G2229" i="5"/>
  <c r="I2229" i="5" s="1"/>
  <c r="D2229" i="5"/>
  <c r="N2228" i="5"/>
  <c r="L2228" i="5"/>
  <c r="I2228" i="5"/>
  <c r="H2228" i="5"/>
  <c r="G2228" i="5"/>
  <c r="D2228" i="5"/>
  <c r="N2227" i="5"/>
  <c r="L2227" i="5"/>
  <c r="I2227" i="5"/>
  <c r="H2227" i="5"/>
  <c r="G2227" i="5"/>
  <c r="D2227" i="5"/>
  <c r="N2226" i="5"/>
  <c r="L2226" i="5"/>
  <c r="H2226" i="5"/>
  <c r="G2226" i="5"/>
  <c r="I2226" i="5" s="1"/>
  <c r="D2226" i="5"/>
  <c r="N2225" i="5"/>
  <c r="L2225" i="5"/>
  <c r="H2225" i="5"/>
  <c r="G2225" i="5"/>
  <c r="I2225" i="5" s="1"/>
  <c r="D2225" i="5"/>
  <c r="N2224" i="5"/>
  <c r="L2224" i="5"/>
  <c r="I2224" i="5"/>
  <c r="H2224" i="5"/>
  <c r="G2224" i="5"/>
  <c r="D2224" i="5"/>
  <c r="N2223" i="5"/>
  <c r="L2223" i="5"/>
  <c r="I2223" i="5"/>
  <c r="H2223" i="5"/>
  <c r="G2223" i="5"/>
  <c r="D2223" i="5"/>
  <c r="N2222" i="5"/>
  <c r="L2222" i="5"/>
  <c r="H2222" i="5"/>
  <c r="G2222" i="5"/>
  <c r="I2222" i="5" s="1"/>
  <c r="D2222" i="5"/>
  <c r="N2221" i="5"/>
  <c r="L2221" i="5"/>
  <c r="H2221" i="5"/>
  <c r="G2221" i="5"/>
  <c r="I2221" i="5" s="1"/>
  <c r="D2221" i="5"/>
  <c r="N2220" i="5"/>
  <c r="L2220" i="5"/>
  <c r="I2220" i="5"/>
  <c r="H2220" i="5"/>
  <c r="G2220" i="5"/>
  <c r="D2220" i="5"/>
  <c r="N2219" i="5"/>
  <c r="L2219" i="5"/>
  <c r="I2219" i="5"/>
  <c r="H2219" i="5"/>
  <c r="G2219" i="5"/>
  <c r="D2219" i="5"/>
  <c r="N2218" i="5"/>
  <c r="L2218" i="5"/>
  <c r="H2218" i="5"/>
  <c r="G2218" i="5"/>
  <c r="I2218" i="5" s="1"/>
  <c r="D2218" i="5"/>
  <c r="N2217" i="5"/>
  <c r="L2217" i="5"/>
  <c r="H2217" i="5"/>
  <c r="G2217" i="5"/>
  <c r="I2217" i="5" s="1"/>
  <c r="D2217" i="5"/>
  <c r="N2216" i="5"/>
  <c r="L2216" i="5"/>
  <c r="I2216" i="5"/>
  <c r="H2216" i="5"/>
  <c r="G2216" i="5"/>
  <c r="D2216" i="5"/>
  <c r="N2215" i="5"/>
  <c r="L2215" i="5"/>
  <c r="I2215" i="5"/>
  <c r="H2215" i="5"/>
  <c r="G2215" i="5"/>
  <c r="D2215" i="5"/>
  <c r="N2214" i="5"/>
  <c r="L2214" i="5"/>
  <c r="H2214" i="5"/>
  <c r="G2214" i="5"/>
  <c r="I2214" i="5" s="1"/>
  <c r="D2214" i="5"/>
  <c r="N2213" i="5"/>
  <c r="L2213" i="5"/>
  <c r="H2213" i="5"/>
  <c r="G2213" i="5"/>
  <c r="I2213" i="5" s="1"/>
  <c r="D2213" i="5"/>
  <c r="N2212" i="5"/>
  <c r="L2212" i="5"/>
  <c r="I2212" i="5"/>
  <c r="H2212" i="5"/>
  <c r="G2212" i="5"/>
  <c r="D2212" i="5"/>
  <c r="N2211" i="5"/>
  <c r="L2211" i="5"/>
  <c r="I2211" i="5"/>
  <c r="H2211" i="5"/>
  <c r="G2211" i="5"/>
  <c r="D2211" i="5"/>
  <c r="N2210" i="5"/>
  <c r="L2210" i="5"/>
  <c r="H2210" i="5"/>
  <c r="G2210" i="5"/>
  <c r="I2210" i="5" s="1"/>
  <c r="D2210" i="5"/>
  <c r="N2209" i="5"/>
  <c r="L2209" i="5"/>
  <c r="H2209" i="5"/>
  <c r="G2209" i="5"/>
  <c r="I2209" i="5" s="1"/>
  <c r="D2209" i="5"/>
  <c r="N2208" i="5"/>
  <c r="L2208" i="5"/>
  <c r="I2208" i="5"/>
  <c r="H2208" i="5"/>
  <c r="G2208" i="5"/>
  <c r="D2208" i="5"/>
  <c r="N2207" i="5"/>
  <c r="L2207" i="5"/>
  <c r="I2207" i="5"/>
  <c r="H2207" i="5"/>
  <c r="G2207" i="5"/>
  <c r="D2207" i="5"/>
  <c r="N2206" i="5"/>
  <c r="L2206" i="5"/>
  <c r="H2206" i="5"/>
  <c r="G2206" i="5"/>
  <c r="I2206" i="5" s="1"/>
  <c r="D2206" i="5"/>
  <c r="N2205" i="5"/>
  <c r="L2205" i="5"/>
  <c r="H2205" i="5"/>
  <c r="G2205" i="5"/>
  <c r="I2205" i="5" s="1"/>
  <c r="D2205" i="5"/>
  <c r="N2204" i="5"/>
  <c r="L2204" i="5"/>
  <c r="I2204" i="5"/>
  <c r="H2204" i="5"/>
  <c r="G2204" i="5"/>
  <c r="D2204" i="5"/>
  <c r="N2203" i="5"/>
  <c r="L2203" i="5"/>
  <c r="I2203" i="5"/>
  <c r="H2203" i="5"/>
  <c r="G2203" i="5"/>
  <c r="D2203" i="5"/>
  <c r="N2202" i="5"/>
  <c r="L2202" i="5"/>
  <c r="H2202" i="5"/>
  <c r="G2202" i="5"/>
  <c r="I2202" i="5" s="1"/>
  <c r="D2202" i="5"/>
  <c r="N2201" i="5"/>
  <c r="L2201" i="5"/>
  <c r="H2201" i="5"/>
  <c r="G2201" i="5"/>
  <c r="I2201" i="5" s="1"/>
  <c r="D2201" i="5"/>
  <c r="N2200" i="5"/>
  <c r="L2200" i="5"/>
  <c r="I2200" i="5"/>
  <c r="H2200" i="5"/>
  <c r="G2200" i="5"/>
  <c r="D2200" i="5"/>
  <c r="N2199" i="5"/>
  <c r="L2199" i="5"/>
  <c r="I2199" i="5"/>
  <c r="H2199" i="5"/>
  <c r="G2199" i="5"/>
  <c r="D2199" i="5"/>
  <c r="N2198" i="5"/>
  <c r="L2198" i="5"/>
  <c r="H2198" i="5"/>
  <c r="G2198" i="5"/>
  <c r="I2198" i="5" s="1"/>
  <c r="D2198" i="5"/>
  <c r="N2197" i="5"/>
  <c r="L2197" i="5"/>
  <c r="H2197" i="5"/>
  <c r="G2197" i="5"/>
  <c r="I2197" i="5" s="1"/>
  <c r="D2197" i="5"/>
  <c r="N2196" i="5"/>
  <c r="L2196" i="5"/>
  <c r="I2196" i="5"/>
  <c r="H2196" i="5"/>
  <c r="G2196" i="5"/>
  <c r="D2196" i="5"/>
  <c r="N2195" i="5"/>
  <c r="L2195" i="5"/>
  <c r="I2195" i="5"/>
  <c r="H2195" i="5"/>
  <c r="G2195" i="5"/>
  <c r="D2195" i="5"/>
  <c r="N2194" i="5"/>
  <c r="L2194" i="5"/>
  <c r="H2194" i="5"/>
  <c r="G2194" i="5"/>
  <c r="I2194" i="5" s="1"/>
  <c r="D2194" i="5"/>
  <c r="N2193" i="5"/>
  <c r="L2193" i="5"/>
  <c r="H2193" i="5"/>
  <c r="G2193" i="5"/>
  <c r="I2193" i="5" s="1"/>
  <c r="D2193" i="5"/>
  <c r="N2192" i="5"/>
  <c r="L2192" i="5"/>
  <c r="I2192" i="5"/>
  <c r="H2192" i="5"/>
  <c r="G2192" i="5"/>
  <c r="D2192" i="5"/>
  <c r="N2191" i="5"/>
  <c r="L2191" i="5"/>
  <c r="I2191" i="5"/>
  <c r="H2191" i="5"/>
  <c r="G2191" i="5"/>
  <c r="D2191" i="5"/>
  <c r="N2190" i="5"/>
  <c r="L2190" i="5"/>
  <c r="H2190" i="5"/>
  <c r="G2190" i="5"/>
  <c r="I2190" i="5" s="1"/>
  <c r="D2190" i="5"/>
  <c r="N2189" i="5"/>
  <c r="L2189" i="5"/>
  <c r="H2189" i="5"/>
  <c r="G2189" i="5"/>
  <c r="I2189" i="5" s="1"/>
  <c r="D2189" i="5"/>
  <c r="N2188" i="5"/>
  <c r="L2188" i="5"/>
  <c r="I2188" i="5"/>
  <c r="H2188" i="5"/>
  <c r="G2188" i="5"/>
  <c r="D2188" i="5"/>
  <c r="N2187" i="5"/>
  <c r="L2187" i="5"/>
  <c r="I2187" i="5"/>
  <c r="H2187" i="5"/>
  <c r="G2187" i="5"/>
  <c r="D2187" i="5"/>
  <c r="N2186" i="5"/>
  <c r="L2186" i="5"/>
  <c r="H2186" i="5"/>
  <c r="G2186" i="5"/>
  <c r="I2186" i="5" s="1"/>
  <c r="D2186" i="5"/>
  <c r="N2185" i="5"/>
  <c r="L2185" i="5"/>
  <c r="H2185" i="5"/>
  <c r="G2185" i="5"/>
  <c r="I2185" i="5" s="1"/>
  <c r="D2185" i="5"/>
  <c r="N2184" i="5"/>
  <c r="L2184" i="5"/>
  <c r="I2184" i="5"/>
  <c r="H2184" i="5"/>
  <c r="G2184" i="5"/>
  <c r="D2184" i="5"/>
  <c r="N2183" i="5"/>
  <c r="L2183" i="5"/>
  <c r="I2183" i="5"/>
  <c r="H2183" i="5"/>
  <c r="G2183" i="5"/>
  <c r="D2183" i="5"/>
  <c r="N2182" i="5"/>
  <c r="L2182" i="5"/>
  <c r="H2182" i="5"/>
  <c r="G2182" i="5"/>
  <c r="I2182" i="5" s="1"/>
  <c r="D2182" i="5"/>
  <c r="N2181" i="5"/>
  <c r="L2181" i="5"/>
  <c r="H2181" i="5"/>
  <c r="G2181" i="5"/>
  <c r="I2181" i="5" s="1"/>
  <c r="D2181" i="5"/>
  <c r="N2180" i="5"/>
  <c r="L2180" i="5"/>
  <c r="I2180" i="5"/>
  <c r="H2180" i="5"/>
  <c r="G2180" i="5"/>
  <c r="D2180" i="5"/>
  <c r="N2179" i="5"/>
  <c r="L2179" i="5"/>
  <c r="I2179" i="5"/>
  <c r="H2179" i="5"/>
  <c r="G2179" i="5"/>
  <c r="D2179" i="5"/>
  <c r="N2178" i="5"/>
  <c r="L2178" i="5"/>
  <c r="H2178" i="5"/>
  <c r="G2178" i="5"/>
  <c r="I2178" i="5" s="1"/>
  <c r="D2178" i="5"/>
  <c r="N2177" i="5"/>
  <c r="L2177" i="5"/>
  <c r="H2177" i="5"/>
  <c r="G2177" i="5"/>
  <c r="I2177" i="5" s="1"/>
  <c r="D2177" i="5"/>
  <c r="N2176" i="5"/>
  <c r="L2176" i="5"/>
  <c r="I2176" i="5"/>
  <c r="H2176" i="5"/>
  <c r="G2176" i="5"/>
  <c r="D2176" i="5"/>
  <c r="N2175" i="5"/>
  <c r="L2175" i="5"/>
  <c r="I2175" i="5"/>
  <c r="H2175" i="5"/>
  <c r="G2175" i="5"/>
  <c r="D2175" i="5"/>
  <c r="N2174" i="5"/>
  <c r="L2174" i="5"/>
  <c r="H2174" i="5"/>
  <c r="G2174" i="5"/>
  <c r="I2174" i="5" s="1"/>
  <c r="D2174" i="5"/>
  <c r="N2173" i="5"/>
  <c r="L2173" i="5"/>
  <c r="H2173" i="5"/>
  <c r="G2173" i="5"/>
  <c r="I2173" i="5" s="1"/>
  <c r="D2173" i="5"/>
  <c r="N2172" i="5"/>
  <c r="L2172" i="5"/>
  <c r="I2172" i="5"/>
  <c r="H2172" i="5"/>
  <c r="G2172" i="5"/>
  <c r="D2172" i="5"/>
  <c r="N2171" i="5"/>
  <c r="L2171" i="5"/>
  <c r="I2171" i="5"/>
  <c r="H2171" i="5"/>
  <c r="G2171" i="5"/>
  <c r="D2171" i="5"/>
  <c r="N2170" i="5"/>
  <c r="L2170" i="5"/>
  <c r="H2170" i="5"/>
  <c r="G2170" i="5"/>
  <c r="I2170" i="5" s="1"/>
  <c r="D2170" i="5"/>
  <c r="N2169" i="5"/>
  <c r="L2169" i="5"/>
  <c r="H2169" i="5"/>
  <c r="G2169" i="5"/>
  <c r="I2169" i="5" s="1"/>
  <c r="D2169" i="5"/>
  <c r="N2168" i="5"/>
  <c r="L2168" i="5"/>
  <c r="I2168" i="5"/>
  <c r="H2168" i="5"/>
  <c r="G2168" i="5"/>
  <c r="D2168" i="5"/>
  <c r="N2167" i="5"/>
  <c r="L2167" i="5"/>
  <c r="I2167" i="5"/>
  <c r="H2167" i="5"/>
  <c r="G2167" i="5"/>
  <c r="D2167" i="5"/>
  <c r="N2166" i="5"/>
  <c r="L2166" i="5"/>
  <c r="H2166" i="5"/>
  <c r="G2166" i="5"/>
  <c r="I2166" i="5" s="1"/>
  <c r="D2166" i="5"/>
  <c r="N2165" i="5"/>
  <c r="L2165" i="5"/>
  <c r="H2165" i="5"/>
  <c r="G2165" i="5"/>
  <c r="I2165" i="5" s="1"/>
  <c r="D2165" i="5"/>
  <c r="N2164" i="5"/>
  <c r="L2164" i="5"/>
  <c r="I2164" i="5"/>
  <c r="H2164" i="5"/>
  <c r="G2164" i="5"/>
  <c r="D2164" i="5"/>
  <c r="N2163" i="5"/>
  <c r="L2163" i="5"/>
  <c r="I2163" i="5"/>
  <c r="H2163" i="5"/>
  <c r="G2163" i="5"/>
  <c r="D2163" i="5"/>
  <c r="N2162" i="5"/>
  <c r="L2162" i="5"/>
  <c r="H2162" i="5"/>
  <c r="G2162" i="5"/>
  <c r="I2162" i="5" s="1"/>
  <c r="D2162" i="5"/>
  <c r="N2161" i="5"/>
  <c r="L2161" i="5"/>
  <c r="H2161" i="5"/>
  <c r="G2161" i="5"/>
  <c r="I2161" i="5" s="1"/>
  <c r="D2161" i="5"/>
  <c r="N2160" i="5"/>
  <c r="L2160" i="5"/>
  <c r="I2160" i="5"/>
  <c r="H2160" i="5"/>
  <c r="G2160" i="5"/>
  <c r="D2160" i="5"/>
  <c r="N2159" i="5"/>
  <c r="L2159" i="5"/>
  <c r="I2159" i="5"/>
  <c r="H2159" i="5"/>
  <c r="G2159" i="5"/>
  <c r="D2159" i="5"/>
  <c r="N2158" i="5"/>
  <c r="L2158" i="5"/>
  <c r="H2158" i="5"/>
  <c r="G2158" i="5"/>
  <c r="I2158" i="5" s="1"/>
  <c r="D2158" i="5"/>
  <c r="N2157" i="5"/>
  <c r="L2157" i="5"/>
  <c r="H2157" i="5"/>
  <c r="G2157" i="5"/>
  <c r="I2157" i="5" s="1"/>
  <c r="D2157" i="5"/>
  <c r="N2156" i="5"/>
  <c r="L2156" i="5"/>
  <c r="I2156" i="5"/>
  <c r="H2156" i="5"/>
  <c r="G2156" i="5"/>
  <c r="D2156" i="5"/>
  <c r="N2155" i="5"/>
  <c r="L2155" i="5"/>
  <c r="I2155" i="5"/>
  <c r="H2155" i="5"/>
  <c r="G2155" i="5"/>
  <c r="D2155" i="5"/>
  <c r="N2154" i="5"/>
  <c r="L2154" i="5"/>
  <c r="H2154" i="5"/>
  <c r="G2154" i="5"/>
  <c r="I2154" i="5" s="1"/>
  <c r="D2154" i="5"/>
  <c r="N2153" i="5"/>
  <c r="L2153" i="5"/>
  <c r="H2153" i="5"/>
  <c r="G2153" i="5"/>
  <c r="I2153" i="5" s="1"/>
  <c r="D2153" i="5"/>
  <c r="N2152" i="5"/>
  <c r="L2152" i="5"/>
  <c r="I2152" i="5"/>
  <c r="H2152" i="5"/>
  <c r="G2152" i="5"/>
  <c r="D2152" i="5"/>
  <c r="N2151" i="5"/>
  <c r="L2151" i="5"/>
  <c r="I2151" i="5"/>
  <c r="H2151" i="5"/>
  <c r="G2151" i="5"/>
  <c r="D2151" i="5"/>
  <c r="N2150" i="5"/>
  <c r="L2150" i="5"/>
  <c r="H2150" i="5"/>
  <c r="G2150" i="5"/>
  <c r="I2150" i="5" s="1"/>
  <c r="D2150" i="5"/>
  <c r="N2149" i="5"/>
  <c r="L2149" i="5"/>
  <c r="H2149" i="5"/>
  <c r="G2149" i="5"/>
  <c r="I2149" i="5" s="1"/>
  <c r="D2149" i="5"/>
  <c r="N2148" i="5"/>
  <c r="L2148" i="5"/>
  <c r="I2148" i="5"/>
  <c r="H2148" i="5"/>
  <c r="G2148" i="5"/>
  <c r="D2148" i="5"/>
  <c r="N2147" i="5"/>
  <c r="L2147" i="5"/>
  <c r="I2147" i="5"/>
  <c r="H2147" i="5"/>
  <c r="G2147" i="5"/>
  <c r="D2147" i="5"/>
  <c r="N2146" i="5"/>
  <c r="L2146" i="5"/>
  <c r="H2146" i="5"/>
  <c r="G2146" i="5"/>
  <c r="I2146" i="5" s="1"/>
  <c r="D2146" i="5"/>
  <c r="N2145" i="5"/>
  <c r="L2145" i="5"/>
  <c r="H2145" i="5"/>
  <c r="G2145" i="5"/>
  <c r="I2145" i="5" s="1"/>
  <c r="D2145" i="5"/>
  <c r="N2144" i="5"/>
  <c r="L2144" i="5"/>
  <c r="I2144" i="5"/>
  <c r="H2144" i="5"/>
  <c r="G2144" i="5"/>
  <c r="D2144" i="5"/>
  <c r="N2143" i="5"/>
  <c r="L2143" i="5"/>
  <c r="I2143" i="5"/>
  <c r="H2143" i="5"/>
  <c r="G2143" i="5"/>
  <c r="D2143" i="5"/>
  <c r="N2142" i="5"/>
  <c r="L2142" i="5"/>
  <c r="H2142" i="5"/>
  <c r="G2142" i="5"/>
  <c r="I2142" i="5" s="1"/>
  <c r="D2142" i="5"/>
  <c r="N2141" i="5"/>
  <c r="L2141" i="5"/>
  <c r="H2141" i="5"/>
  <c r="G2141" i="5"/>
  <c r="I2141" i="5" s="1"/>
  <c r="D2141" i="5"/>
  <c r="N2140" i="5"/>
  <c r="L2140" i="5"/>
  <c r="I2140" i="5"/>
  <c r="H2140" i="5"/>
  <c r="G2140" i="5"/>
  <c r="D2140" i="5"/>
  <c r="N2139" i="5"/>
  <c r="L2139" i="5"/>
  <c r="I2139" i="5"/>
  <c r="H2139" i="5"/>
  <c r="G2139" i="5"/>
  <c r="D2139" i="5"/>
  <c r="N2138" i="5"/>
  <c r="L2138" i="5"/>
  <c r="H2138" i="5"/>
  <c r="G2138" i="5"/>
  <c r="I2138" i="5" s="1"/>
  <c r="D2138" i="5"/>
  <c r="N2137" i="5"/>
  <c r="L2137" i="5"/>
  <c r="H2137" i="5"/>
  <c r="G2137" i="5"/>
  <c r="I2137" i="5" s="1"/>
  <c r="D2137" i="5"/>
  <c r="N2136" i="5"/>
  <c r="L2136" i="5"/>
  <c r="I2136" i="5"/>
  <c r="H2136" i="5"/>
  <c r="G2136" i="5"/>
  <c r="D2136" i="5"/>
  <c r="N2135" i="5"/>
  <c r="L2135" i="5"/>
  <c r="I2135" i="5"/>
  <c r="H2135" i="5"/>
  <c r="G2135" i="5"/>
  <c r="D2135" i="5"/>
  <c r="N2134" i="5"/>
  <c r="L2134" i="5"/>
  <c r="H2134" i="5"/>
  <c r="G2134" i="5"/>
  <c r="I2134" i="5" s="1"/>
  <c r="D2134" i="5"/>
  <c r="N2133" i="5"/>
  <c r="L2133" i="5"/>
  <c r="H2133" i="5"/>
  <c r="G2133" i="5"/>
  <c r="I2133" i="5" s="1"/>
  <c r="D2133" i="5"/>
  <c r="N2132" i="5"/>
  <c r="L2132" i="5"/>
  <c r="I2132" i="5"/>
  <c r="H2132" i="5"/>
  <c r="G2132" i="5"/>
  <c r="D2132" i="5"/>
  <c r="N2131" i="5"/>
  <c r="L2131" i="5"/>
  <c r="I2131" i="5"/>
  <c r="H2131" i="5"/>
  <c r="G2131" i="5"/>
  <c r="D2131" i="5"/>
  <c r="N2130" i="5"/>
  <c r="L2130" i="5"/>
  <c r="H2130" i="5"/>
  <c r="G2130" i="5"/>
  <c r="I2130" i="5" s="1"/>
  <c r="D2130" i="5"/>
  <c r="N2129" i="5"/>
  <c r="L2129" i="5"/>
  <c r="H2129" i="5"/>
  <c r="G2129" i="5"/>
  <c r="I2129" i="5" s="1"/>
  <c r="D2129" i="5"/>
  <c r="N2128" i="5"/>
  <c r="L2128" i="5"/>
  <c r="I2128" i="5"/>
  <c r="H2128" i="5"/>
  <c r="G2128" i="5"/>
  <c r="D2128" i="5"/>
  <c r="N2127" i="5"/>
  <c r="L2127" i="5"/>
  <c r="I2127" i="5"/>
  <c r="H2127" i="5"/>
  <c r="G2127" i="5"/>
  <c r="D2127" i="5"/>
  <c r="N2126" i="5"/>
  <c r="L2126" i="5"/>
  <c r="H2126" i="5"/>
  <c r="G2126" i="5"/>
  <c r="I2126" i="5" s="1"/>
  <c r="D2126" i="5"/>
  <c r="N2125" i="5"/>
  <c r="L2125" i="5"/>
  <c r="H2125" i="5"/>
  <c r="G2125" i="5"/>
  <c r="I2125" i="5" s="1"/>
  <c r="D2125" i="5"/>
  <c r="N2124" i="5"/>
  <c r="L2124" i="5"/>
  <c r="I2124" i="5"/>
  <c r="H2124" i="5"/>
  <c r="G2124" i="5"/>
  <c r="D2124" i="5"/>
  <c r="N2123" i="5"/>
  <c r="L2123" i="5"/>
  <c r="I2123" i="5"/>
  <c r="H2123" i="5"/>
  <c r="G2123" i="5"/>
  <c r="D2123" i="5"/>
  <c r="N2122" i="5"/>
  <c r="L2122" i="5"/>
  <c r="H2122" i="5"/>
  <c r="G2122" i="5"/>
  <c r="I2122" i="5" s="1"/>
  <c r="D2122" i="5"/>
  <c r="N2121" i="5"/>
  <c r="L2121" i="5"/>
  <c r="H2121" i="5"/>
  <c r="G2121" i="5"/>
  <c r="I2121" i="5" s="1"/>
  <c r="D2121" i="5"/>
  <c r="N2120" i="5"/>
  <c r="L2120" i="5"/>
  <c r="I2120" i="5"/>
  <c r="H2120" i="5"/>
  <c r="G2120" i="5"/>
  <c r="D2120" i="5"/>
  <c r="N2119" i="5"/>
  <c r="L2119" i="5"/>
  <c r="I2119" i="5"/>
  <c r="H2119" i="5"/>
  <c r="G2119" i="5"/>
  <c r="D2119" i="5"/>
  <c r="N2118" i="5"/>
  <c r="L2118" i="5"/>
  <c r="H2118" i="5"/>
  <c r="G2118" i="5"/>
  <c r="I2118" i="5" s="1"/>
  <c r="D2118" i="5"/>
  <c r="N2117" i="5"/>
  <c r="L2117" i="5"/>
  <c r="H2117" i="5"/>
  <c r="G2117" i="5"/>
  <c r="I2117" i="5" s="1"/>
  <c r="D2117" i="5"/>
  <c r="N2116" i="5"/>
  <c r="L2116" i="5"/>
  <c r="I2116" i="5"/>
  <c r="H2116" i="5"/>
  <c r="G2116" i="5"/>
  <c r="D2116" i="5"/>
  <c r="N2115" i="5"/>
  <c r="L2115" i="5"/>
  <c r="I2115" i="5"/>
  <c r="H2115" i="5"/>
  <c r="G2115" i="5"/>
  <c r="D2115" i="5"/>
  <c r="N2114" i="5"/>
  <c r="L2114" i="5"/>
  <c r="H2114" i="5"/>
  <c r="G2114" i="5"/>
  <c r="I2114" i="5" s="1"/>
  <c r="D2114" i="5"/>
  <c r="N2113" i="5"/>
  <c r="L2113" i="5"/>
  <c r="H2113" i="5"/>
  <c r="G2113" i="5"/>
  <c r="I2113" i="5" s="1"/>
  <c r="D2113" i="5"/>
  <c r="N2112" i="5"/>
  <c r="L2112" i="5"/>
  <c r="I2112" i="5"/>
  <c r="H2112" i="5"/>
  <c r="G2112" i="5"/>
  <c r="D2112" i="5"/>
  <c r="N2111" i="5"/>
  <c r="L2111" i="5"/>
  <c r="I2111" i="5"/>
  <c r="H2111" i="5"/>
  <c r="G2111" i="5"/>
  <c r="D2111" i="5"/>
  <c r="N2110" i="5"/>
  <c r="L2110" i="5"/>
  <c r="H2110" i="5"/>
  <c r="G2110" i="5"/>
  <c r="I2110" i="5" s="1"/>
  <c r="D2110" i="5"/>
  <c r="N2109" i="5"/>
  <c r="L2109" i="5"/>
  <c r="H2109" i="5"/>
  <c r="G2109" i="5"/>
  <c r="I2109" i="5" s="1"/>
  <c r="D2109" i="5"/>
  <c r="N2108" i="5"/>
  <c r="L2108" i="5"/>
  <c r="I2108" i="5"/>
  <c r="H2108" i="5"/>
  <c r="G2108" i="5"/>
  <c r="D2108" i="5"/>
  <c r="N2107" i="5"/>
  <c r="L2107" i="5"/>
  <c r="I2107" i="5"/>
  <c r="H2107" i="5"/>
  <c r="G2107" i="5"/>
  <c r="D2107" i="5"/>
  <c r="N2106" i="5"/>
  <c r="L2106" i="5"/>
  <c r="H2106" i="5"/>
  <c r="G2106" i="5"/>
  <c r="I2106" i="5" s="1"/>
  <c r="D2106" i="5"/>
  <c r="N2105" i="5"/>
  <c r="L2105" i="5"/>
  <c r="H2105" i="5"/>
  <c r="G2105" i="5"/>
  <c r="I2105" i="5" s="1"/>
  <c r="D2105" i="5"/>
  <c r="N2104" i="5"/>
  <c r="L2104" i="5"/>
  <c r="I2104" i="5"/>
  <c r="H2104" i="5"/>
  <c r="G2104" i="5"/>
  <c r="D2104" i="5"/>
  <c r="N2103" i="5"/>
  <c r="L2103" i="5"/>
  <c r="I2103" i="5"/>
  <c r="H2103" i="5"/>
  <c r="G2103" i="5"/>
  <c r="D2103" i="5"/>
  <c r="N2102" i="5"/>
  <c r="L2102" i="5"/>
  <c r="H2102" i="5"/>
  <c r="G2102" i="5"/>
  <c r="I2102" i="5" s="1"/>
  <c r="D2102" i="5"/>
  <c r="N2101" i="5"/>
  <c r="L2101" i="5"/>
  <c r="H2101" i="5"/>
  <c r="G2101" i="5"/>
  <c r="I2101" i="5" s="1"/>
  <c r="D2101" i="5"/>
  <c r="N2100" i="5"/>
  <c r="L2100" i="5"/>
  <c r="I2100" i="5"/>
  <c r="H2100" i="5"/>
  <c r="G2100" i="5"/>
  <c r="D2100" i="5"/>
  <c r="N2099" i="5"/>
  <c r="L2099" i="5"/>
  <c r="I2099" i="5"/>
  <c r="H2099" i="5"/>
  <c r="G2099" i="5"/>
  <c r="D2099" i="5"/>
  <c r="N2098" i="5"/>
  <c r="L2098" i="5"/>
  <c r="H2098" i="5"/>
  <c r="G2098" i="5"/>
  <c r="I2098" i="5" s="1"/>
  <c r="D2098" i="5"/>
  <c r="N2097" i="5"/>
  <c r="L2097" i="5"/>
  <c r="H2097" i="5"/>
  <c r="G2097" i="5"/>
  <c r="I2097" i="5" s="1"/>
  <c r="D2097" i="5"/>
  <c r="N2096" i="5"/>
  <c r="L2096" i="5"/>
  <c r="I2096" i="5"/>
  <c r="H2096" i="5"/>
  <c r="G2096" i="5"/>
  <c r="D2096" i="5"/>
  <c r="N2095" i="5"/>
  <c r="L2095" i="5"/>
  <c r="I2095" i="5"/>
  <c r="H2095" i="5"/>
  <c r="G2095" i="5"/>
  <c r="D2095" i="5"/>
  <c r="N2094" i="5"/>
  <c r="L2094" i="5"/>
  <c r="H2094" i="5"/>
  <c r="G2094" i="5"/>
  <c r="I2094" i="5" s="1"/>
  <c r="D2094" i="5"/>
  <c r="N2093" i="5"/>
  <c r="L2093" i="5"/>
  <c r="H2093" i="5"/>
  <c r="G2093" i="5"/>
  <c r="I2093" i="5" s="1"/>
  <c r="D2093" i="5"/>
  <c r="N2092" i="5"/>
  <c r="L2092" i="5"/>
  <c r="I2092" i="5"/>
  <c r="H2092" i="5"/>
  <c r="G2092" i="5"/>
  <c r="D2092" i="5"/>
  <c r="N2091" i="5"/>
  <c r="L2091" i="5"/>
  <c r="I2091" i="5"/>
  <c r="H2091" i="5"/>
  <c r="G2091" i="5"/>
  <c r="D2091" i="5"/>
  <c r="N2090" i="5"/>
  <c r="L2090" i="5"/>
  <c r="H2090" i="5"/>
  <c r="G2090" i="5"/>
  <c r="I2090" i="5" s="1"/>
  <c r="D2090" i="5"/>
  <c r="N2089" i="5"/>
  <c r="L2089" i="5"/>
  <c r="H2089" i="5"/>
  <c r="G2089" i="5"/>
  <c r="I2089" i="5" s="1"/>
  <c r="D2089" i="5"/>
  <c r="N2088" i="5"/>
  <c r="L2088" i="5"/>
  <c r="I2088" i="5"/>
  <c r="H2088" i="5"/>
  <c r="G2088" i="5"/>
  <c r="D2088" i="5"/>
  <c r="N2087" i="5"/>
  <c r="L2087" i="5"/>
  <c r="I2087" i="5"/>
  <c r="H2087" i="5"/>
  <c r="G2087" i="5"/>
  <c r="D2087" i="5"/>
  <c r="N2086" i="5"/>
  <c r="L2086" i="5"/>
  <c r="H2086" i="5"/>
  <c r="G2086" i="5"/>
  <c r="I2086" i="5" s="1"/>
  <c r="D2086" i="5"/>
  <c r="N2085" i="5"/>
  <c r="L2085" i="5"/>
  <c r="H2085" i="5"/>
  <c r="G2085" i="5"/>
  <c r="I2085" i="5" s="1"/>
  <c r="D2085" i="5"/>
  <c r="N2084" i="5"/>
  <c r="L2084" i="5"/>
  <c r="I2084" i="5"/>
  <c r="H2084" i="5"/>
  <c r="G2084" i="5"/>
  <c r="D2084" i="5"/>
  <c r="N2083" i="5"/>
  <c r="L2083" i="5"/>
  <c r="I2083" i="5"/>
  <c r="H2083" i="5"/>
  <c r="G2083" i="5"/>
  <c r="D2083" i="5"/>
  <c r="N2082" i="5"/>
  <c r="L2082" i="5"/>
  <c r="H2082" i="5"/>
  <c r="G2082" i="5"/>
  <c r="I2082" i="5" s="1"/>
  <c r="D2082" i="5"/>
  <c r="N2081" i="5"/>
  <c r="L2081" i="5"/>
  <c r="H2081" i="5"/>
  <c r="G2081" i="5"/>
  <c r="I2081" i="5" s="1"/>
  <c r="D2081" i="5"/>
  <c r="N2080" i="5"/>
  <c r="L2080" i="5"/>
  <c r="I2080" i="5"/>
  <c r="H2080" i="5"/>
  <c r="G2080" i="5"/>
  <c r="D2080" i="5"/>
  <c r="N2079" i="5"/>
  <c r="L2079" i="5"/>
  <c r="I2079" i="5"/>
  <c r="H2079" i="5"/>
  <c r="G2079" i="5"/>
  <c r="D2079" i="5"/>
  <c r="N2078" i="5"/>
  <c r="L2078" i="5"/>
  <c r="H2078" i="5"/>
  <c r="G2078" i="5"/>
  <c r="I2078" i="5" s="1"/>
  <c r="D2078" i="5"/>
  <c r="N2077" i="5"/>
  <c r="L2077" i="5"/>
  <c r="H2077" i="5"/>
  <c r="G2077" i="5"/>
  <c r="I2077" i="5" s="1"/>
  <c r="D2077" i="5"/>
  <c r="N2076" i="5"/>
  <c r="L2076" i="5"/>
  <c r="I2076" i="5"/>
  <c r="H2076" i="5"/>
  <c r="G2076" i="5"/>
  <c r="D2076" i="5"/>
  <c r="N2075" i="5"/>
  <c r="L2075" i="5"/>
  <c r="I2075" i="5"/>
  <c r="H2075" i="5"/>
  <c r="G2075" i="5"/>
  <c r="D2075" i="5"/>
  <c r="N2074" i="5"/>
  <c r="L2074" i="5"/>
  <c r="H2074" i="5"/>
  <c r="G2074" i="5"/>
  <c r="I2074" i="5" s="1"/>
  <c r="D2074" i="5"/>
  <c r="N2073" i="5"/>
  <c r="L2073" i="5"/>
  <c r="H2073" i="5"/>
  <c r="G2073" i="5"/>
  <c r="I2073" i="5" s="1"/>
  <c r="D2073" i="5"/>
  <c r="N2072" i="5"/>
  <c r="L2072" i="5"/>
  <c r="I2072" i="5"/>
  <c r="H2072" i="5"/>
  <c r="G2072" i="5"/>
  <c r="D2072" i="5"/>
  <c r="N2071" i="5"/>
  <c r="L2071" i="5"/>
  <c r="I2071" i="5"/>
  <c r="H2071" i="5"/>
  <c r="G2071" i="5"/>
  <c r="D2071" i="5"/>
  <c r="N2070" i="5"/>
  <c r="L2070" i="5"/>
  <c r="H2070" i="5"/>
  <c r="G2070" i="5"/>
  <c r="I2070" i="5" s="1"/>
  <c r="D2070" i="5"/>
  <c r="N2069" i="5"/>
  <c r="L2069" i="5"/>
  <c r="H2069" i="5"/>
  <c r="G2069" i="5"/>
  <c r="I2069" i="5" s="1"/>
  <c r="D2069" i="5"/>
  <c r="N2068" i="5"/>
  <c r="L2068" i="5"/>
  <c r="I2068" i="5"/>
  <c r="H2068" i="5"/>
  <c r="G2068" i="5"/>
  <c r="D2068" i="5"/>
  <c r="N2067" i="5"/>
  <c r="L2067" i="5"/>
  <c r="I2067" i="5"/>
  <c r="H2067" i="5"/>
  <c r="G2067" i="5"/>
  <c r="D2067" i="5"/>
  <c r="N2066" i="5"/>
  <c r="L2066" i="5"/>
  <c r="H2066" i="5"/>
  <c r="G2066" i="5"/>
  <c r="I2066" i="5" s="1"/>
  <c r="D2066" i="5"/>
  <c r="N2065" i="5"/>
  <c r="L2065" i="5"/>
  <c r="H2065" i="5"/>
  <c r="G2065" i="5"/>
  <c r="I2065" i="5" s="1"/>
  <c r="D2065" i="5"/>
  <c r="N2064" i="5"/>
  <c r="L2064" i="5"/>
  <c r="I2064" i="5"/>
  <c r="H2064" i="5"/>
  <c r="G2064" i="5"/>
  <c r="D2064" i="5"/>
  <c r="N2063" i="5"/>
  <c r="L2063" i="5"/>
  <c r="I2063" i="5"/>
  <c r="H2063" i="5"/>
  <c r="G2063" i="5"/>
  <c r="D2063" i="5"/>
  <c r="N2062" i="5"/>
  <c r="L2062" i="5"/>
  <c r="H2062" i="5"/>
  <c r="G2062" i="5"/>
  <c r="I2062" i="5" s="1"/>
  <c r="D2062" i="5"/>
  <c r="N2061" i="5"/>
  <c r="L2061" i="5"/>
  <c r="H2061" i="5"/>
  <c r="G2061" i="5"/>
  <c r="I2061" i="5" s="1"/>
  <c r="D2061" i="5"/>
  <c r="N2060" i="5"/>
  <c r="L2060" i="5"/>
  <c r="I2060" i="5"/>
  <c r="H2060" i="5"/>
  <c r="G2060" i="5"/>
  <c r="D2060" i="5"/>
  <c r="N2059" i="5"/>
  <c r="L2059" i="5"/>
  <c r="I2059" i="5"/>
  <c r="H2059" i="5"/>
  <c r="G2059" i="5"/>
  <c r="D2059" i="5"/>
  <c r="N2058" i="5"/>
  <c r="L2058" i="5"/>
  <c r="H2058" i="5"/>
  <c r="G2058" i="5"/>
  <c r="I2058" i="5" s="1"/>
  <c r="D2058" i="5"/>
  <c r="N2057" i="5"/>
  <c r="L2057" i="5"/>
  <c r="H2057" i="5"/>
  <c r="G2057" i="5"/>
  <c r="I2057" i="5" s="1"/>
  <c r="D2057" i="5"/>
  <c r="N2056" i="5"/>
  <c r="L2056" i="5"/>
  <c r="I2056" i="5"/>
  <c r="H2056" i="5"/>
  <c r="G2056" i="5"/>
  <c r="D2056" i="5"/>
  <c r="N2055" i="5"/>
  <c r="L2055" i="5"/>
  <c r="I2055" i="5"/>
  <c r="H2055" i="5"/>
  <c r="G2055" i="5"/>
  <c r="D2055" i="5"/>
  <c r="N2054" i="5"/>
  <c r="L2054" i="5"/>
  <c r="H2054" i="5"/>
  <c r="G2054" i="5"/>
  <c r="I2054" i="5" s="1"/>
  <c r="D2054" i="5"/>
  <c r="N2053" i="5"/>
  <c r="L2053" i="5"/>
  <c r="H2053" i="5"/>
  <c r="G2053" i="5"/>
  <c r="I2053" i="5" s="1"/>
  <c r="D2053" i="5"/>
  <c r="N2052" i="5"/>
  <c r="L2052" i="5"/>
  <c r="I2052" i="5"/>
  <c r="H2052" i="5"/>
  <c r="G2052" i="5"/>
  <c r="D2052" i="5"/>
  <c r="N2051" i="5"/>
  <c r="L2051" i="5"/>
  <c r="I2051" i="5"/>
  <c r="H2051" i="5"/>
  <c r="G2051" i="5"/>
  <c r="D2051" i="5"/>
  <c r="N2050" i="5"/>
  <c r="L2050" i="5"/>
  <c r="H2050" i="5"/>
  <c r="G2050" i="5"/>
  <c r="I2050" i="5" s="1"/>
  <c r="D2050" i="5"/>
  <c r="N2049" i="5"/>
  <c r="L2049" i="5"/>
  <c r="H2049" i="5"/>
  <c r="G2049" i="5"/>
  <c r="I2049" i="5" s="1"/>
  <c r="D2049" i="5"/>
  <c r="N2048" i="5"/>
  <c r="L2048" i="5"/>
  <c r="I2048" i="5"/>
  <c r="H2048" i="5"/>
  <c r="G2048" i="5"/>
  <c r="D2048" i="5"/>
  <c r="N2047" i="5"/>
  <c r="L2047" i="5"/>
  <c r="I2047" i="5"/>
  <c r="H2047" i="5"/>
  <c r="G2047" i="5"/>
  <c r="D2047" i="5"/>
  <c r="N2046" i="5"/>
  <c r="L2046" i="5"/>
  <c r="H2046" i="5"/>
  <c r="G2046" i="5"/>
  <c r="I2046" i="5" s="1"/>
  <c r="D2046" i="5"/>
  <c r="N2045" i="5"/>
  <c r="L2045" i="5"/>
  <c r="H2045" i="5"/>
  <c r="G2045" i="5"/>
  <c r="I2045" i="5" s="1"/>
  <c r="D2045" i="5"/>
  <c r="N2044" i="5"/>
  <c r="L2044" i="5"/>
  <c r="I2044" i="5"/>
  <c r="H2044" i="5"/>
  <c r="G2044" i="5"/>
  <c r="D2044" i="5"/>
  <c r="N2043" i="5"/>
  <c r="L2043" i="5"/>
  <c r="I2043" i="5"/>
  <c r="H2043" i="5"/>
  <c r="G2043" i="5"/>
  <c r="D2043" i="5"/>
  <c r="N2042" i="5"/>
  <c r="L2042" i="5"/>
  <c r="H2042" i="5"/>
  <c r="G2042" i="5"/>
  <c r="I2042" i="5" s="1"/>
  <c r="D2042" i="5"/>
  <c r="N2041" i="5"/>
  <c r="L2041" i="5"/>
  <c r="H2041" i="5"/>
  <c r="G2041" i="5"/>
  <c r="I2041" i="5" s="1"/>
  <c r="D2041" i="5"/>
  <c r="N2040" i="5"/>
  <c r="L2040" i="5"/>
  <c r="I2040" i="5"/>
  <c r="H2040" i="5"/>
  <c r="G2040" i="5"/>
  <c r="D2040" i="5"/>
  <c r="N2039" i="5"/>
  <c r="L2039" i="5"/>
  <c r="I2039" i="5"/>
  <c r="H2039" i="5"/>
  <c r="G2039" i="5"/>
  <c r="D2039" i="5"/>
  <c r="N2038" i="5"/>
  <c r="L2038" i="5"/>
  <c r="H2038" i="5"/>
  <c r="G2038" i="5"/>
  <c r="I2038" i="5" s="1"/>
  <c r="D2038" i="5"/>
  <c r="N2037" i="5"/>
  <c r="L2037" i="5"/>
  <c r="H2037" i="5"/>
  <c r="G2037" i="5"/>
  <c r="I2037" i="5" s="1"/>
  <c r="D2037" i="5"/>
  <c r="N2036" i="5"/>
  <c r="L2036" i="5"/>
  <c r="I2036" i="5"/>
  <c r="H2036" i="5"/>
  <c r="G2036" i="5"/>
  <c r="D2036" i="5"/>
  <c r="N2035" i="5"/>
  <c r="L2035" i="5"/>
  <c r="I2035" i="5"/>
  <c r="H2035" i="5"/>
  <c r="G2035" i="5"/>
  <c r="D2035" i="5"/>
  <c r="N2034" i="5"/>
  <c r="L2034" i="5"/>
  <c r="H2034" i="5"/>
  <c r="G2034" i="5"/>
  <c r="I2034" i="5" s="1"/>
  <c r="D2034" i="5"/>
  <c r="N2033" i="5"/>
  <c r="L2033" i="5"/>
  <c r="H2033" i="5"/>
  <c r="G2033" i="5"/>
  <c r="I2033" i="5" s="1"/>
  <c r="D2033" i="5"/>
  <c r="N2032" i="5"/>
  <c r="L2032" i="5"/>
  <c r="I2032" i="5"/>
  <c r="H2032" i="5"/>
  <c r="G2032" i="5"/>
  <c r="D2032" i="5"/>
  <c r="N2031" i="5"/>
  <c r="L2031" i="5"/>
  <c r="I2031" i="5"/>
  <c r="H2031" i="5"/>
  <c r="G2031" i="5"/>
  <c r="D2031" i="5"/>
  <c r="N2030" i="5"/>
  <c r="L2030" i="5"/>
  <c r="H2030" i="5"/>
  <c r="G2030" i="5"/>
  <c r="I2030" i="5" s="1"/>
  <c r="D2030" i="5"/>
  <c r="N2029" i="5"/>
  <c r="L2029" i="5"/>
  <c r="H2029" i="5"/>
  <c r="G2029" i="5"/>
  <c r="I2029" i="5" s="1"/>
  <c r="D2029" i="5"/>
  <c r="N2028" i="5"/>
  <c r="L2028" i="5"/>
  <c r="I2028" i="5"/>
  <c r="H2028" i="5"/>
  <c r="G2028" i="5"/>
  <c r="D2028" i="5"/>
  <c r="N2027" i="5"/>
  <c r="L2027" i="5"/>
  <c r="I2027" i="5"/>
  <c r="H2027" i="5"/>
  <c r="G2027" i="5"/>
  <c r="D2027" i="5"/>
  <c r="N2026" i="5"/>
  <c r="L2026" i="5"/>
  <c r="H2026" i="5"/>
  <c r="G2026" i="5"/>
  <c r="I2026" i="5" s="1"/>
  <c r="D2026" i="5"/>
  <c r="N2025" i="5"/>
  <c r="L2025" i="5"/>
  <c r="H2025" i="5"/>
  <c r="G2025" i="5"/>
  <c r="I2025" i="5" s="1"/>
  <c r="D2025" i="5"/>
  <c r="N2024" i="5"/>
  <c r="L2024" i="5"/>
  <c r="I2024" i="5"/>
  <c r="H2024" i="5"/>
  <c r="G2024" i="5"/>
  <c r="D2024" i="5"/>
  <c r="N2023" i="5"/>
  <c r="L2023" i="5"/>
  <c r="I2023" i="5"/>
  <c r="H2023" i="5"/>
  <c r="G2023" i="5"/>
  <c r="D2023" i="5"/>
  <c r="N2022" i="5"/>
  <c r="L2022" i="5"/>
  <c r="H2022" i="5"/>
  <c r="G2022" i="5"/>
  <c r="I2022" i="5" s="1"/>
  <c r="D2022" i="5"/>
  <c r="N2021" i="5"/>
  <c r="L2021" i="5"/>
  <c r="H2021" i="5"/>
  <c r="G2021" i="5"/>
  <c r="I2021" i="5" s="1"/>
  <c r="D2021" i="5"/>
  <c r="N2020" i="5"/>
  <c r="L2020" i="5"/>
  <c r="I2020" i="5"/>
  <c r="H2020" i="5"/>
  <c r="G2020" i="5"/>
  <c r="D2020" i="5"/>
  <c r="N2019" i="5"/>
  <c r="L2019" i="5"/>
  <c r="I2019" i="5"/>
  <c r="H2019" i="5"/>
  <c r="G2019" i="5"/>
  <c r="D2019" i="5"/>
  <c r="N2018" i="5"/>
  <c r="L2018" i="5"/>
  <c r="H2018" i="5"/>
  <c r="G2018" i="5"/>
  <c r="I2018" i="5" s="1"/>
  <c r="D2018" i="5"/>
  <c r="N2017" i="5"/>
  <c r="L2017" i="5"/>
  <c r="H2017" i="5"/>
  <c r="G2017" i="5"/>
  <c r="I2017" i="5" s="1"/>
  <c r="D2017" i="5"/>
  <c r="N2016" i="5"/>
  <c r="L2016" i="5"/>
  <c r="I2016" i="5"/>
  <c r="H2016" i="5"/>
  <c r="G2016" i="5"/>
  <c r="D2016" i="5"/>
  <c r="N2015" i="5"/>
  <c r="L2015" i="5"/>
  <c r="I2015" i="5"/>
  <c r="H2015" i="5"/>
  <c r="G2015" i="5"/>
  <c r="D2015" i="5"/>
  <c r="N2014" i="5"/>
  <c r="L2014" i="5"/>
  <c r="H2014" i="5"/>
  <c r="G2014" i="5"/>
  <c r="I2014" i="5" s="1"/>
  <c r="D2014" i="5"/>
  <c r="N2013" i="5"/>
  <c r="L2013" i="5"/>
  <c r="H2013" i="5"/>
  <c r="G2013" i="5"/>
  <c r="I2013" i="5" s="1"/>
  <c r="D2013" i="5"/>
  <c r="N2012" i="5"/>
  <c r="L2012" i="5"/>
  <c r="I2012" i="5"/>
  <c r="H2012" i="5"/>
  <c r="G2012" i="5"/>
  <c r="D2012" i="5"/>
  <c r="N2011" i="5"/>
  <c r="L2011" i="5"/>
  <c r="I2011" i="5"/>
  <c r="H2011" i="5"/>
  <c r="G2011" i="5"/>
  <c r="D2011" i="5"/>
  <c r="N2010" i="5"/>
  <c r="L2010" i="5"/>
  <c r="H2010" i="5"/>
  <c r="G2010" i="5"/>
  <c r="I2010" i="5" s="1"/>
  <c r="D2010" i="5"/>
  <c r="N2009" i="5"/>
  <c r="L2009" i="5"/>
  <c r="H2009" i="5"/>
  <c r="G2009" i="5"/>
  <c r="I2009" i="5" s="1"/>
  <c r="D2009" i="5"/>
  <c r="N2008" i="5"/>
  <c r="L2008" i="5"/>
  <c r="I2008" i="5"/>
  <c r="H2008" i="5"/>
  <c r="G2008" i="5"/>
  <c r="D2008" i="5"/>
  <c r="N2007" i="5"/>
  <c r="L2007" i="5"/>
  <c r="I2007" i="5"/>
  <c r="H2007" i="5"/>
  <c r="G2007" i="5"/>
  <c r="D2007" i="5"/>
  <c r="N2006" i="5"/>
  <c r="L2006" i="5"/>
  <c r="H2006" i="5"/>
  <c r="G2006" i="5"/>
  <c r="I2006" i="5" s="1"/>
  <c r="D2006" i="5"/>
  <c r="N2005" i="5"/>
  <c r="L2005" i="5"/>
  <c r="H2005" i="5"/>
  <c r="G2005" i="5"/>
  <c r="I2005" i="5" s="1"/>
  <c r="D2005" i="5"/>
  <c r="N2004" i="5"/>
  <c r="L2004" i="5"/>
  <c r="I2004" i="5"/>
  <c r="H2004" i="5"/>
  <c r="G2004" i="5"/>
  <c r="D2004" i="5"/>
  <c r="N2003" i="5"/>
  <c r="L2003" i="5"/>
  <c r="I2003" i="5"/>
  <c r="H2003" i="5"/>
  <c r="G2003" i="5"/>
  <c r="D2003" i="5"/>
  <c r="N2002" i="5"/>
  <c r="L2002" i="5"/>
  <c r="H2002" i="5"/>
  <c r="G2002" i="5"/>
  <c r="I2002" i="5" s="1"/>
  <c r="D2002" i="5"/>
  <c r="N2001" i="5"/>
  <c r="L2001" i="5"/>
  <c r="H2001" i="5"/>
  <c r="G2001" i="5"/>
  <c r="I2001" i="5" s="1"/>
  <c r="D2001" i="5"/>
  <c r="N2000" i="5"/>
  <c r="L2000" i="5"/>
  <c r="H2000" i="5"/>
  <c r="G2000" i="5"/>
  <c r="I2000" i="5" s="1"/>
  <c r="D2000" i="5"/>
  <c r="N1999" i="5"/>
  <c r="L1999" i="5"/>
  <c r="I1999" i="5"/>
  <c r="H1999" i="5"/>
  <c r="G1999" i="5"/>
  <c r="D1999" i="5"/>
  <c r="N1998" i="5"/>
  <c r="L1998" i="5"/>
  <c r="H1998" i="5"/>
  <c r="G1998" i="5"/>
  <c r="I1998" i="5" s="1"/>
  <c r="D1998" i="5"/>
  <c r="N1997" i="5"/>
  <c r="L1997" i="5"/>
  <c r="H1997" i="5"/>
  <c r="G1997" i="5"/>
  <c r="I1997" i="5" s="1"/>
  <c r="D1997" i="5"/>
  <c r="N1996" i="5"/>
  <c r="L1996" i="5"/>
  <c r="H1996" i="5"/>
  <c r="G1996" i="5"/>
  <c r="I1996" i="5" s="1"/>
  <c r="D1996" i="5"/>
  <c r="N1995" i="5"/>
  <c r="L1995" i="5"/>
  <c r="I1995" i="5"/>
  <c r="H1995" i="5"/>
  <c r="G1995" i="5"/>
  <c r="D1995" i="5"/>
  <c r="N1994" i="5"/>
  <c r="L1994" i="5"/>
  <c r="H1994" i="5"/>
  <c r="G1994" i="5"/>
  <c r="I1994" i="5" s="1"/>
  <c r="D1994" i="5"/>
  <c r="N1993" i="5"/>
  <c r="L1993" i="5"/>
  <c r="H1993" i="5"/>
  <c r="G1993" i="5"/>
  <c r="I1993" i="5" s="1"/>
  <c r="D1993" i="5"/>
  <c r="N1992" i="5"/>
  <c r="L1992" i="5"/>
  <c r="H1992" i="5"/>
  <c r="G1992" i="5"/>
  <c r="I1992" i="5" s="1"/>
  <c r="D1992" i="5"/>
  <c r="N1991" i="5"/>
  <c r="L1991" i="5"/>
  <c r="I1991" i="5"/>
  <c r="H1991" i="5"/>
  <c r="G1991" i="5"/>
  <c r="D1991" i="5"/>
  <c r="N1990" i="5"/>
  <c r="L1990" i="5"/>
  <c r="H1990" i="5"/>
  <c r="G1990" i="5"/>
  <c r="I1990" i="5" s="1"/>
  <c r="D1990" i="5"/>
  <c r="N1989" i="5"/>
  <c r="L1989" i="5"/>
  <c r="H1989" i="5"/>
  <c r="G1989" i="5"/>
  <c r="I1989" i="5" s="1"/>
  <c r="D1989" i="5"/>
  <c r="N1988" i="5"/>
  <c r="L1988" i="5"/>
  <c r="H1988" i="5"/>
  <c r="G1988" i="5"/>
  <c r="I1988" i="5" s="1"/>
  <c r="D1988" i="5"/>
  <c r="N1987" i="5"/>
  <c r="L1987" i="5"/>
  <c r="I1987" i="5"/>
  <c r="H1987" i="5"/>
  <c r="G1987" i="5"/>
  <c r="D1987" i="5"/>
  <c r="N1986" i="5"/>
  <c r="L1986" i="5"/>
  <c r="H1986" i="5"/>
  <c r="G1986" i="5"/>
  <c r="I1986" i="5" s="1"/>
  <c r="D1986" i="5"/>
  <c r="N1985" i="5"/>
  <c r="L1985" i="5"/>
  <c r="H1985" i="5"/>
  <c r="G1985" i="5"/>
  <c r="I1985" i="5" s="1"/>
  <c r="D1985" i="5"/>
  <c r="N1984" i="5"/>
  <c r="L1984" i="5"/>
  <c r="H1984" i="5"/>
  <c r="G1984" i="5"/>
  <c r="I1984" i="5" s="1"/>
  <c r="D1984" i="5"/>
  <c r="N1983" i="5"/>
  <c r="L1983" i="5"/>
  <c r="I1983" i="5"/>
  <c r="H1983" i="5"/>
  <c r="G1983" i="5"/>
  <c r="D1983" i="5"/>
  <c r="N1982" i="5"/>
  <c r="L1982" i="5"/>
  <c r="H1982" i="5"/>
  <c r="G1982" i="5"/>
  <c r="I1982" i="5" s="1"/>
  <c r="D1982" i="5"/>
  <c r="N1981" i="5"/>
  <c r="L1981" i="5"/>
  <c r="H1981" i="5"/>
  <c r="G1981" i="5"/>
  <c r="I1981" i="5" s="1"/>
  <c r="D1981" i="5"/>
  <c r="N1980" i="5"/>
  <c r="L1980" i="5"/>
  <c r="H1980" i="5"/>
  <c r="G1980" i="5"/>
  <c r="I1980" i="5" s="1"/>
  <c r="D1980" i="5"/>
  <c r="N1979" i="5"/>
  <c r="L1979" i="5"/>
  <c r="I1979" i="5"/>
  <c r="H1979" i="5"/>
  <c r="G1979" i="5"/>
  <c r="D1979" i="5"/>
  <c r="N1978" i="5"/>
  <c r="L1978" i="5"/>
  <c r="H1978" i="5"/>
  <c r="G1978" i="5"/>
  <c r="I1978" i="5" s="1"/>
  <c r="D1978" i="5"/>
  <c r="N1977" i="5"/>
  <c r="L1977" i="5"/>
  <c r="H1977" i="5"/>
  <c r="G1977" i="5"/>
  <c r="I1977" i="5" s="1"/>
  <c r="D1977" i="5"/>
  <c r="N1976" i="5"/>
  <c r="L1976" i="5"/>
  <c r="H1976" i="5"/>
  <c r="G1976" i="5"/>
  <c r="I1976" i="5" s="1"/>
  <c r="D1976" i="5"/>
  <c r="N1975" i="5"/>
  <c r="L1975" i="5"/>
  <c r="I1975" i="5"/>
  <c r="H1975" i="5"/>
  <c r="G1975" i="5"/>
  <c r="D1975" i="5"/>
  <c r="N1974" i="5"/>
  <c r="L1974" i="5"/>
  <c r="H1974" i="5"/>
  <c r="G1974" i="5"/>
  <c r="I1974" i="5" s="1"/>
  <c r="D1974" i="5"/>
  <c r="N1973" i="5"/>
  <c r="L1973" i="5"/>
  <c r="H1973" i="5"/>
  <c r="G1973" i="5"/>
  <c r="I1973" i="5" s="1"/>
  <c r="D1973" i="5"/>
  <c r="N1972" i="5"/>
  <c r="L1972" i="5"/>
  <c r="H1972" i="5"/>
  <c r="G1972" i="5"/>
  <c r="I1972" i="5" s="1"/>
  <c r="D1972" i="5"/>
  <c r="N1971" i="5"/>
  <c r="L1971" i="5"/>
  <c r="I1971" i="5"/>
  <c r="H1971" i="5"/>
  <c r="G1971" i="5"/>
  <c r="D1971" i="5"/>
  <c r="N1970" i="5"/>
  <c r="L1970" i="5"/>
  <c r="H1970" i="5"/>
  <c r="G1970" i="5"/>
  <c r="I1970" i="5" s="1"/>
  <c r="D1970" i="5"/>
  <c r="N1969" i="5"/>
  <c r="L1969" i="5"/>
  <c r="H1969" i="5"/>
  <c r="G1969" i="5"/>
  <c r="I1969" i="5" s="1"/>
  <c r="D1969" i="5"/>
  <c r="N1968" i="5"/>
  <c r="L1968" i="5"/>
  <c r="H1968" i="5"/>
  <c r="G1968" i="5"/>
  <c r="I1968" i="5" s="1"/>
  <c r="D1968" i="5"/>
  <c r="N1967" i="5"/>
  <c r="L1967" i="5"/>
  <c r="I1967" i="5"/>
  <c r="H1967" i="5"/>
  <c r="G1967" i="5"/>
  <c r="D1967" i="5"/>
  <c r="N1966" i="5"/>
  <c r="L1966" i="5"/>
  <c r="H1966" i="5"/>
  <c r="G1966" i="5"/>
  <c r="I1966" i="5" s="1"/>
  <c r="D1966" i="5"/>
  <c r="N1965" i="5"/>
  <c r="L1965" i="5"/>
  <c r="H1965" i="5"/>
  <c r="G1965" i="5"/>
  <c r="I1965" i="5" s="1"/>
  <c r="D1965" i="5"/>
  <c r="N1964" i="5"/>
  <c r="L1964" i="5"/>
  <c r="H1964" i="5"/>
  <c r="G1964" i="5"/>
  <c r="I1964" i="5" s="1"/>
  <c r="D1964" i="5"/>
  <c r="N1963" i="5"/>
  <c r="L1963" i="5"/>
  <c r="I1963" i="5"/>
  <c r="H1963" i="5"/>
  <c r="G1963" i="5"/>
  <c r="D1963" i="5"/>
  <c r="N1962" i="5"/>
  <c r="L1962" i="5"/>
  <c r="H1962" i="5"/>
  <c r="G1962" i="5"/>
  <c r="I1962" i="5" s="1"/>
  <c r="D1962" i="5"/>
  <c r="N1961" i="5"/>
  <c r="L1961" i="5"/>
  <c r="H1961" i="5"/>
  <c r="G1961" i="5"/>
  <c r="I1961" i="5" s="1"/>
  <c r="D1961" i="5"/>
  <c r="N1960" i="5"/>
  <c r="L1960" i="5"/>
  <c r="H1960" i="5"/>
  <c r="G1960" i="5"/>
  <c r="I1960" i="5" s="1"/>
  <c r="D1960" i="5"/>
  <c r="N1959" i="5"/>
  <c r="L1959" i="5"/>
  <c r="I1959" i="5"/>
  <c r="H1959" i="5"/>
  <c r="G1959" i="5"/>
  <c r="D1959" i="5"/>
  <c r="N1958" i="5"/>
  <c r="L1958" i="5"/>
  <c r="H1958" i="5"/>
  <c r="G1958" i="5"/>
  <c r="I1958" i="5" s="1"/>
  <c r="D1958" i="5"/>
  <c r="N1957" i="5"/>
  <c r="L1957" i="5"/>
  <c r="H1957" i="5"/>
  <c r="G1957" i="5"/>
  <c r="I1957" i="5" s="1"/>
  <c r="D1957" i="5"/>
  <c r="N1956" i="5"/>
  <c r="L1956" i="5"/>
  <c r="H1956" i="5"/>
  <c r="G1956" i="5"/>
  <c r="I1956" i="5" s="1"/>
  <c r="D1956" i="5"/>
  <c r="N1955" i="5"/>
  <c r="L1955" i="5"/>
  <c r="I1955" i="5"/>
  <c r="H1955" i="5"/>
  <c r="G1955" i="5"/>
  <c r="D1955" i="5"/>
  <c r="N1954" i="5"/>
  <c r="L1954" i="5"/>
  <c r="H1954" i="5"/>
  <c r="G1954" i="5"/>
  <c r="I1954" i="5" s="1"/>
  <c r="D1954" i="5"/>
  <c r="N1953" i="5"/>
  <c r="L1953" i="5"/>
  <c r="H1953" i="5"/>
  <c r="G1953" i="5"/>
  <c r="I1953" i="5" s="1"/>
  <c r="D1953" i="5"/>
  <c r="N1952" i="5"/>
  <c r="L1952" i="5"/>
  <c r="H1952" i="5"/>
  <c r="G1952" i="5"/>
  <c r="I1952" i="5" s="1"/>
  <c r="D1952" i="5"/>
  <c r="N1951" i="5"/>
  <c r="L1951" i="5"/>
  <c r="I1951" i="5"/>
  <c r="H1951" i="5"/>
  <c r="G1951" i="5"/>
  <c r="D1951" i="5"/>
  <c r="N1950" i="5"/>
  <c r="L1950" i="5"/>
  <c r="H1950" i="5"/>
  <c r="G1950" i="5"/>
  <c r="I1950" i="5" s="1"/>
  <c r="D1950" i="5"/>
  <c r="N1949" i="5"/>
  <c r="L1949" i="5"/>
  <c r="H1949" i="5"/>
  <c r="G1949" i="5"/>
  <c r="I1949" i="5" s="1"/>
  <c r="D1949" i="5"/>
  <c r="N1948" i="5"/>
  <c r="L1948" i="5"/>
  <c r="H1948" i="5"/>
  <c r="G1948" i="5"/>
  <c r="I1948" i="5" s="1"/>
  <c r="D1948" i="5"/>
  <c r="N1947" i="5"/>
  <c r="L1947" i="5"/>
  <c r="I1947" i="5"/>
  <c r="H1947" i="5"/>
  <c r="G1947" i="5"/>
  <c r="D1947" i="5"/>
  <c r="N1946" i="5"/>
  <c r="L1946" i="5"/>
  <c r="H1946" i="5"/>
  <c r="G1946" i="5"/>
  <c r="I1946" i="5" s="1"/>
  <c r="D1946" i="5"/>
  <c r="N1945" i="5"/>
  <c r="L1945" i="5"/>
  <c r="H1945" i="5"/>
  <c r="G1945" i="5"/>
  <c r="I1945" i="5" s="1"/>
  <c r="D1945" i="5"/>
  <c r="N1944" i="5"/>
  <c r="L1944" i="5"/>
  <c r="H1944" i="5"/>
  <c r="G1944" i="5"/>
  <c r="I1944" i="5" s="1"/>
  <c r="D1944" i="5"/>
  <c r="N1943" i="5"/>
  <c r="L1943" i="5"/>
  <c r="I1943" i="5"/>
  <c r="H1943" i="5"/>
  <c r="G1943" i="5"/>
  <c r="D1943" i="5"/>
  <c r="N1942" i="5"/>
  <c r="L1942" i="5"/>
  <c r="H1942" i="5"/>
  <c r="G1942" i="5"/>
  <c r="I1942" i="5" s="1"/>
  <c r="D1942" i="5"/>
  <c r="N1941" i="5"/>
  <c r="L1941" i="5"/>
  <c r="H1941" i="5"/>
  <c r="G1941" i="5"/>
  <c r="I1941" i="5" s="1"/>
  <c r="D1941" i="5"/>
  <c r="N1940" i="5"/>
  <c r="L1940" i="5"/>
  <c r="H1940" i="5"/>
  <c r="G1940" i="5"/>
  <c r="I1940" i="5" s="1"/>
  <c r="D1940" i="5"/>
  <c r="N1939" i="5"/>
  <c r="L1939" i="5"/>
  <c r="I1939" i="5"/>
  <c r="H1939" i="5"/>
  <c r="G1939" i="5"/>
  <c r="D1939" i="5"/>
  <c r="N1938" i="5"/>
  <c r="L1938" i="5"/>
  <c r="H1938" i="5"/>
  <c r="G1938" i="5"/>
  <c r="I1938" i="5" s="1"/>
  <c r="D1938" i="5"/>
  <c r="N1937" i="5"/>
  <c r="L1937" i="5"/>
  <c r="H1937" i="5"/>
  <c r="G1937" i="5"/>
  <c r="I1937" i="5" s="1"/>
  <c r="D1937" i="5"/>
  <c r="N1936" i="5"/>
  <c r="L1936" i="5"/>
  <c r="H1936" i="5"/>
  <c r="G1936" i="5"/>
  <c r="I1936" i="5" s="1"/>
  <c r="D1936" i="5"/>
  <c r="N1935" i="5"/>
  <c r="L1935" i="5"/>
  <c r="I1935" i="5"/>
  <c r="H1935" i="5"/>
  <c r="G1935" i="5"/>
  <c r="D1935" i="5"/>
  <c r="N1934" i="5"/>
  <c r="L1934" i="5"/>
  <c r="H1934" i="5"/>
  <c r="G1934" i="5"/>
  <c r="I1934" i="5" s="1"/>
  <c r="D1934" i="5"/>
  <c r="N1933" i="5"/>
  <c r="L1933" i="5"/>
  <c r="H1933" i="5"/>
  <c r="G1933" i="5"/>
  <c r="I1933" i="5" s="1"/>
  <c r="D1933" i="5"/>
  <c r="N1932" i="5"/>
  <c r="L1932" i="5"/>
  <c r="H1932" i="5"/>
  <c r="G1932" i="5"/>
  <c r="I1932" i="5" s="1"/>
  <c r="D1932" i="5"/>
  <c r="N1931" i="5"/>
  <c r="L1931" i="5"/>
  <c r="I1931" i="5"/>
  <c r="H1931" i="5"/>
  <c r="G1931" i="5"/>
  <c r="D1931" i="5"/>
  <c r="N1930" i="5"/>
  <c r="L1930" i="5"/>
  <c r="H1930" i="5"/>
  <c r="G1930" i="5"/>
  <c r="I1930" i="5" s="1"/>
  <c r="D1930" i="5"/>
  <c r="N1929" i="5"/>
  <c r="L1929" i="5"/>
  <c r="H1929" i="5"/>
  <c r="G1929" i="5"/>
  <c r="I1929" i="5" s="1"/>
  <c r="D1929" i="5"/>
  <c r="N1928" i="5"/>
  <c r="L1928" i="5"/>
  <c r="H1928" i="5"/>
  <c r="G1928" i="5"/>
  <c r="I1928" i="5" s="1"/>
  <c r="D1928" i="5"/>
  <c r="N1927" i="5"/>
  <c r="L1927" i="5"/>
  <c r="I1927" i="5"/>
  <c r="H1927" i="5"/>
  <c r="G1927" i="5"/>
  <c r="D1927" i="5"/>
  <c r="N1926" i="5"/>
  <c r="L1926" i="5"/>
  <c r="H1926" i="5"/>
  <c r="G1926" i="5"/>
  <c r="I1926" i="5" s="1"/>
  <c r="D1926" i="5"/>
  <c r="N1925" i="5"/>
  <c r="L1925" i="5"/>
  <c r="H1925" i="5"/>
  <c r="G1925" i="5"/>
  <c r="I1925" i="5" s="1"/>
  <c r="D1925" i="5"/>
  <c r="N1924" i="5"/>
  <c r="L1924" i="5"/>
  <c r="H1924" i="5"/>
  <c r="G1924" i="5"/>
  <c r="I1924" i="5" s="1"/>
  <c r="D1924" i="5"/>
  <c r="N1923" i="5"/>
  <c r="L1923" i="5"/>
  <c r="I1923" i="5"/>
  <c r="H1923" i="5"/>
  <c r="G1923" i="5"/>
  <c r="D1923" i="5"/>
  <c r="N1922" i="5"/>
  <c r="L1922" i="5"/>
  <c r="I1922" i="5"/>
  <c r="H1922" i="5"/>
  <c r="G1922" i="5"/>
  <c r="D1922" i="5"/>
  <c r="N1921" i="5"/>
  <c r="L1921" i="5"/>
  <c r="I1921" i="5"/>
  <c r="H1921" i="5"/>
  <c r="G1921" i="5"/>
  <c r="D1921" i="5"/>
  <c r="N1920" i="5"/>
  <c r="L1920" i="5"/>
  <c r="H1920" i="5"/>
  <c r="G1920" i="5"/>
  <c r="I1920" i="5" s="1"/>
  <c r="D1920" i="5"/>
  <c r="N1919" i="5"/>
  <c r="L1919" i="5"/>
  <c r="H1919" i="5"/>
  <c r="G1919" i="5"/>
  <c r="I1919" i="5" s="1"/>
  <c r="D1919" i="5"/>
  <c r="N1918" i="5"/>
  <c r="L1918" i="5"/>
  <c r="I1918" i="5"/>
  <c r="H1918" i="5"/>
  <c r="G1918" i="5"/>
  <c r="D1918" i="5"/>
  <c r="N1917" i="5"/>
  <c r="L1917" i="5"/>
  <c r="I1917" i="5"/>
  <c r="H1917" i="5"/>
  <c r="G1917" i="5"/>
  <c r="D1917" i="5"/>
  <c r="N1916" i="5"/>
  <c r="L1916" i="5"/>
  <c r="H1916" i="5"/>
  <c r="G1916" i="5"/>
  <c r="I1916" i="5" s="1"/>
  <c r="D1916" i="5"/>
  <c r="N1915" i="5"/>
  <c r="L1915" i="5"/>
  <c r="H1915" i="5"/>
  <c r="G1915" i="5"/>
  <c r="I1915" i="5" s="1"/>
  <c r="D1915" i="5"/>
  <c r="N1914" i="5"/>
  <c r="L1914" i="5"/>
  <c r="I1914" i="5"/>
  <c r="H1914" i="5"/>
  <c r="G1914" i="5"/>
  <c r="D1914" i="5"/>
  <c r="N1913" i="5"/>
  <c r="L1913" i="5"/>
  <c r="I1913" i="5"/>
  <c r="H1913" i="5"/>
  <c r="G1913" i="5"/>
  <c r="D1913" i="5"/>
  <c r="N1912" i="5"/>
  <c r="L1912" i="5"/>
  <c r="H1912" i="5"/>
  <c r="G1912" i="5"/>
  <c r="I1912" i="5" s="1"/>
  <c r="D1912" i="5"/>
  <c r="N1911" i="5"/>
  <c r="L1911" i="5"/>
  <c r="H1911" i="5"/>
  <c r="G1911" i="5"/>
  <c r="I1911" i="5" s="1"/>
  <c r="D1911" i="5"/>
  <c r="N1910" i="5"/>
  <c r="L1910" i="5"/>
  <c r="I1910" i="5"/>
  <c r="H1910" i="5"/>
  <c r="G1910" i="5"/>
  <c r="D1910" i="5"/>
  <c r="N1909" i="5"/>
  <c r="L1909" i="5"/>
  <c r="I1909" i="5"/>
  <c r="H1909" i="5"/>
  <c r="G1909" i="5"/>
  <c r="D1909" i="5"/>
  <c r="N1908" i="5"/>
  <c r="L1908" i="5"/>
  <c r="H1908" i="5"/>
  <c r="G1908" i="5"/>
  <c r="I1908" i="5" s="1"/>
  <c r="D1908" i="5"/>
  <c r="N1907" i="5"/>
  <c r="L1907" i="5"/>
  <c r="H1907" i="5"/>
  <c r="G1907" i="5"/>
  <c r="I1907" i="5" s="1"/>
  <c r="D1907" i="5"/>
  <c r="N1906" i="5"/>
  <c r="L1906" i="5"/>
  <c r="I1906" i="5"/>
  <c r="H1906" i="5"/>
  <c r="G1906" i="5"/>
  <c r="D1906" i="5"/>
  <c r="N1905" i="5"/>
  <c r="L1905" i="5"/>
  <c r="I1905" i="5"/>
  <c r="H1905" i="5"/>
  <c r="G1905" i="5"/>
  <c r="D1905" i="5"/>
  <c r="N1904" i="5"/>
  <c r="L1904" i="5"/>
  <c r="H1904" i="5"/>
  <c r="G1904" i="5"/>
  <c r="I1904" i="5" s="1"/>
  <c r="D1904" i="5"/>
  <c r="N1903" i="5"/>
  <c r="L1903" i="5"/>
  <c r="H1903" i="5"/>
  <c r="G1903" i="5"/>
  <c r="I1903" i="5" s="1"/>
  <c r="D1903" i="5"/>
  <c r="N1902" i="5"/>
  <c r="L1902" i="5"/>
  <c r="I1902" i="5"/>
  <c r="H1902" i="5"/>
  <c r="G1902" i="5"/>
  <c r="D1902" i="5"/>
  <c r="N1901" i="5"/>
  <c r="L1901" i="5"/>
  <c r="I1901" i="5"/>
  <c r="H1901" i="5"/>
  <c r="G1901" i="5"/>
  <c r="D1901" i="5"/>
  <c r="N1900" i="5"/>
  <c r="L1900" i="5"/>
  <c r="H1900" i="5"/>
  <c r="G1900" i="5"/>
  <c r="I1900" i="5" s="1"/>
  <c r="D1900" i="5"/>
  <c r="N1899" i="5"/>
  <c r="L1899" i="5"/>
  <c r="H1899" i="5"/>
  <c r="G1899" i="5"/>
  <c r="I1899" i="5" s="1"/>
  <c r="D1899" i="5"/>
  <c r="N1898" i="5"/>
  <c r="L1898" i="5"/>
  <c r="I1898" i="5"/>
  <c r="H1898" i="5"/>
  <c r="G1898" i="5"/>
  <c r="D1898" i="5"/>
  <c r="N1897" i="5"/>
  <c r="L1897" i="5"/>
  <c r="I1897" i="5"/>
  <c r="H1897" i="5"/>
  <c r="G1897" i="5"/>
  <c r="D1897" i="5"/>
  <c r="N1896" i="5"/>
  <c r="L1896" i="5"/>
  <c r="H1896" i="5"/>
  <c r="G1896" i="5"/>
  <c r="I1896" i="5" s="1"/>
  <c r="D1896" i="5"/>
  <c r="N1895" i="5"/>
  <c r="L1895" i="5"/>
  <c r="H1895" i="5"/>
  <c r="G1895" i="5"/>
  <c r="I1895" i="5" s="1"/>
  <c r="D1895" i="5"/>
  <c r="N1894" i="5"/>
  <c r="L1894" i="5"/>
  <c r="I1894" i="5"/>
  <c r="H1894" i="5"/>
  <c r="G1894" i="5"/>
  <c r="D1894" i="5"/>
  <c r="N1893" i="5"/>
  <c r="L1893" i="5"/>
  <c r="I1893" i="5"/>
  <c r="H1893" i="5"/>
  <c r="G1893" i="5"/>
  <c r="D1893" i="5"/>
  <c r="N1892" i="5"/>
  <c r="L1892" i="5"/>
  <c r="H1892" i="5"/>
  <c r="G1892" i="5"/>
  <c r="I1892" i="5" s="1"/>
  <c r="D1892" i="5"/>
  <c r="N1891" i="5"/>
  <c r="L1891" i="5"/>
  <c r="H1891" i="5"/>
  <c r="G1891" i="5"/>
  <c r="I1891" i="5" s="1"/>
  <c r="D1891" i="5"/>
  <c r="N1890" i="5"/>
  <c r="L1890" i="5"/>
  <c r="I1890" i="5"/>
  <c r="H1890" i="5"/>
  <c r="G1890" i="5"/>
  <c r="D1890" i="5"/>
  <c r="N1889" i="5"/>
  <c r="L1889" i="5"/>
  <c r="I1889" i="5"/>
  <c r="H1889" i="5"/>
  <c r="G1889" i="5"/>
  <c r="D1889" i="5"/>
  <c r="N1888" i="5"/>
  <c r="L1888" i="5"/>
  <c r="H1888" i="5"/>
  <c r="G1888" i="5"/>
  <c r="I1888" i="5" s="1"/>
  <c r="D1888" i="5"/>
  <c r="N1887" i="5"/>
  <c r="L1887" i="5"/>
  <c r="H1887" i="5"/>
  <c r="G1887" i="5"/>
  <c r="I1887" i="5" s="1"/>
  <c r="D1887" i="5"/>
  <c r="N1886" i="5"/>
  <c r="L1886" i="5"/>
  <c r="I1886" i="5"/>
  <c r="H1886" i="5"/>
  <c r="G1886" i="5"/>
  <c r="D1886" i="5"/>
  <c r="N1885" i="5"/>
  <c r="L1885" i="5"/>
  <c r="I1885" i="5"/>
  <c r="H1885" i="5"/>
  <c r="G1885" i="5"/>
  <c r="D1885" i="5"/>
  <c r="N1884" i="5"/>
  <c r="L1884" i="5"/>
  <c r="H1884" i="5"/>
  <c r="G1884" i="5"/>
  <c r="I1884" i="5" s="1"/>
  <c r="D1884" i="5"/>
  <c r="N1883" i="5"/>
  <c r="L1883" i="5"/>
  <c r="H1883" i="5"/>
  <c r="G1883" i="5"/>
  <c r="I1883" i="5" s="1"/>
  <c r="D1883" i="5"/>
  <c r="N1882" i="5"/>
  <c r="L1882" i="5"/>
  <c r="I1882" i="5"/>
  <c r="H1882" i="5"/>
  <c r="G1882" i="5"/>
  <c r="D1882" i="5"/>
  <c r="N1881" i="5"/>
  <c r="L1881" i="5"/>
  <c r="I1881" i="5"/>
  <c r="H1881" i="5"/>
  <c r="G1881" i="5"/>
  <c r="D1881" i="5"/>
  <c r="N1880" i="5"/>
  <c r="L1880" i="5"/>
  <c r="H1880" i="5"/>
  <c r="G1880" i="5"/>
  <c r="I1880" i="5" s="1"/>
  <c r="D1880" i="5"/>
  <c r="N1879" i="5"/>
  <c r="L1879" i="5"/>
  <c r="H1879" i="5"/>
  <c r="G1879" i="5"/>
  <c r="I1879" i="5" s="1"/>
  <c r="D1879" i="5"/>
  <c r="N1878" i="5"/>
  <c r="L1878" i="5"/>
  <c r="I1878" i="5"/>
  <c r="H1878" i="5"/>
  <c r="G1878" i="5"/>
  <c r="D1878" i="5"/>
  <c r="N1877" i="5"/>
  <c r="L1877" i="5"/>
  <c r="I1877" i="5"/>
  <c r="H1877" i="5"/>
  <c r="G1877" i="5"/>
  <c r="D1877" i="5"/>
  <c r="N1876" i="5"/>
  <c r="L1876" i="5"/>
  <c r="H1876" i="5"/>
  <c r="G1876" i="5"/>
  <c r="I1876" i="5" s="1"/>
  <c r="D1876" i="5"/>
  <c r="N1875" i="5"/>
  <c r="L1875" i="5"/>
  <c r="H1875" i="5"/>
  <c r="G1875" i="5"/>
  <c r="I1875" i="5" s="1"/>
  <c r="D1875" i="5"/>
  <c r="N1874" i="5"/>
  <c r="L1874" i="5"/>
  <c r="I1874" i="5"/>
  <c r="H1874" i="5"/>
  <c r="G1874" i="5"/>
  <c r="D1874" i="5"/>
  <c r="N1873" i="5"/>
  <c r="L1873" i="5"/>
  <c r="I1873" i="5"/>
  <c r="H1873" i="5"/>
  <c r="G1873" i="5"/>
  <c r="D1873" i="5"/>
  <c r="N1872" i="5"/>
  <c r="L1872" i="5"/>
  <c r="H1872" i="5"/>
  <c r="G1872" i="5"/>
  <c r="I1872" i="5" s="1"/>
  <c r="D1872" i="5"/>
  <c r="N1871" i="5"/>
  <c r="L1871" i="5"/>
  <c r="H1871" i="5"/>
  <c r="G1871" i="5"/>
  <c r="I1871" i="5" s="1"/>
  <c r="D1871" i="5"/>
  <c r="N1870" i="5"/>
  <c r="L1870" i="5"/>
  <c r="I1870" i="5"/>
  <c r="H1870" i="5"/>
  <c r="G1870" i="5"/>
  <c r="D1870" i="5"/>
  <c r="N1869" i="5"/>
  <c r="L1869" i="5"/>
  <c r="I1869" i="5"/>
  <c r="H1869" i="5"/>
  <c r="G1869" i="5"/>
  <c r="D1869" i="5"/>
  <c r="N1868" i="5"/>
  <c r="L1868" i="5"/>
  <c r="H1868" i="5"/>
  <c r="G1868" i="5"/>
  <c r="I1868" i="5" s="1"/>
  <c r="D1868" i="5"/>
  <c r="N1867" i="5"/>
  <c r="L1867" i="5"/>
  <c r="I1867" i="5"/>
  <c r="H1867" i="5"/>
  <c r="G1867" i="5"/>
  <c r="D1867" i="5"/>
  <c r="N1866" i="5"/>
  <c r="L1866" i="5"/>
  <c r="I1866" i="5"/>
  <c r="H1866" i="5"/>
  <c r="G1866" i="5"/>
  <c r="D1866" i="5"/>
  <c r="N1865" i="5"/>
  <c r="L1865" i="5"/>
  <c r="I1865" i="5"/>
  <c r="H1865" i="5"/>
  <c r="G1865" i="5"/>
  <c r="D1865" i="5"/>
  <c r="N1864" i="5"/>
  <c r="L1864" i="5"/>
  <c r="H1864" i="5"/>
  <c r="G1864" i="5"/>
  <c r="I1864" i="5" s="1"/>
  <c r="D1864" i="5"/>
  <c r="N1863" i="5"/>
  <c r="L1863" i="5"/>
  <c r="I1863" i="5"/>
  <c r="H1863" i="5"/>
  <c r="G1863" i="5"/>
  <c r="D1863" i="5"/>
  <c r="N1862" i="5"/>
  <c r="L1862" i="5"/>
  <c r="I1862" i="5"/>
  <c r="H1862" i="5"/>
  <c r="G1862" i="5"/>
  <c r="D1862" i="5"/>
  <c r="N1861" i="5"/>
  <c r="L1861" i="5"/>
  <c r="I1861" i="5"/>
  <c r="H1861" i="5"/>
  <c r="G1861" i="5"/>
  <c r="D1861" i="5"/>
  <c r="N1860" i="5"/>
  <c r="L1860" i="5"/>
  <c r="H1860" i="5"/>
  <c r="G1860" i="5"/>
  <c r="I1860" i="5" s="1"/>
  <c r="D1860" i="5"/>
  <c r="N1859" i="5"/>
  <c r="L1859" i="5"/>
  <c r="I1859" i="5"/>
  <c r="H1859" i="5"/>
  <c r="G1859" i="5"/>
  <c r="D1859" i="5"/>
  <c r="N1858" i="5"/>
  <c r="L1858" i="5"/>
  <c r="I1858" i="5"/>
  <c r="H1858" i="5"/>
  <c r="G1858" i="5"/>
  <c r="D1858" i="5"/>
  <c r="N1857" i="5"/>
  <c r="L1857" i="5"/>
  <c r="I1857" i="5"/>
  <c r="H1857" i="5"/>
  <c r="G1857" i="5"/>
  <c r="D1857" i="5"/>
  <c r="N1856" i="5"/>
  <c r="L1856" i="5"/>
  <c r="H1856" i="5"/>
  <c r="G1856" i="5"/>
  <c r="I1856" i="5" s="1"/>
  <c r="D1856" i="5"/>
  <c r="N1855" i="5"/>
  <c r="L1855" i="5"/>
  <c r="I1855" i="5"/>
  <c r="H1855" i="5"/>
  <c r="G1855" i="5"/>
  <c r="D1855" i="5"/>
  <c r="N1854" i="5"/>
  <c r="L1854" i="5"/>
  <c r="I1854" i="5"/>
  <c r="H1854" i="5"/>
  <c r="G1854" i="5"/>
  <c r="D1854" i="5"/>
  <c r="N1853" i="5"/>
  <c r="L1853" i="5"/>
  <c r="I1853" i="5"/>
  <c r="H1853" i="5"/>
  <c r="G1853" i="5"/>
  <c r="D1853" i="5"/>
  <c r="N1852" i="5"/>
  <c r="L1852" i="5"/>
  <c r="H1852" i="5"/>
  <c r="G1852" i="5"/>
  <c r="I1852" i="5" s="1"/>
  <c r="D1852" i="5"/>
  <c r="N1851" i="5"/>
  <c r="L1851" i="5"/>
  <c r="I1851" i="5"/>
  <c r="H1851" i="5"/>
  <c r="G1851" i="5"/>
  <c r="D1851" i="5"/>
  <c r="N1850" i="5"/>
  <c r="L1850" i="5"/>
  <c r="I1850" i="5"/>
  <c r="H1850" i="5"/>
  <c r="G1850" i="5"/>
  <c r="D1850" i="5"/>
  <c r="N1849" i="5"/>
  <c r="L1849" i="5"/>
  <c r="I1849" i="5"/>
  <c r="H1849" i="5"/>
  <c r="G1849" i="5"/>
  <c r="D1849" i="5"/>
  <c r="N1848" i="5"/>
  <c r="L1848" i="5"/>
  <c r="H1848" i="5"/>
  <c r="G1848" i="5"/>
  <c r="I1848" i="5" s="1"/>
  <c r="D1848" i="5"/>
  <c r="N1847" i="5"/>
  <c r="L1847" i="5"/>
  <c r="I1847" i="5"/>
  <c r="H1847" i="5"/>
  <c r="G1847" i="5"/>
  <c r="D1847" i="5"/>
  <c r="N1846" i="5"/>
  <c r="L1846" i="5"/>
  <c r="I1846" i="5"/>
  <c r="H1846" i="5"/>
  <c r="G1846" i="5"/>
  <c r="D1846" i="5"/>
  <c r="N1845" i="5"/>
  <c r="L1845" i="5"/>
  <c r="I1845" i="5"/>
  <c r="H1845" i="5"/>
  <c r="G1845" i="5"/>
  <c r="D1845" i="5"/>
  <c r="N1844" i="5"/>
  <c r="L1844" i="5"/>
  <c r="H1844" i="5"/>
  <c r="G1844" i="5"/>
  <c r="I1844" i="5" s="1"/>
  <c r="D1844" i="5"/>
  <c r="N1843" i="5"/>
  <c r="L1843" i="5"/>
  <c r="I1843" i="5"/>
  <c r="H1843" i="5"/>
  <c r="G1843" i="5"/>
  <c r="D1843" i="5"/>
  <c r="N1842" i="5"/>
  <c r="L1842" i="5"/>
  <c r="I1842" i="5"/>
  <c r="H1842" i="5"/>
  <c r="G1842" i="5"/>
  <c r="D1842" i="5"/>
  <c r="N1841" i="5"/>
  <c r="L1841" i="5"/>
  <c r="I1841" i="5"/>
  <c r="H1841" i="5"/>
  <c r="G1841" i="5"/>
  <c r="D1841" i="5"/>
  <c r="N1840" i="5"/>
  <c r="L1840" i="5"/>
  <c r="H1840" i="5"/>
  <c r="G1840" i="5"/>
  <c r="I1840" i="5" s="1"/>
  <c r="D1840" i="5"/>
  <c r="N1839" i="5"/>
  <c r="L1839" i="5"/>
  <c r="I1839" i="5"/>
  <c r="H1839" i="5"/>
  <c r="G1839" i="5"/>
  <c r="D1839" i="5"/>
  <c r="N1838" i="5"/>
  <c r="L1838" i="5"/>
  <c r="I1838" i="5"/>
  <c r="H1838" i="5"/>
  <c r="G1838" i="5"/>
  <c r="D1838" i="5"/>
  <c r="N1837" i="5"/>
  <c r="L1837" i="5"/>
  <c r="I1837" i="5"/>
  <c r="H1837" i="5"/>
  <c r="G1837" i="5"/>
  <c r="D1837" i="5"/>
  <c r="N1836" i="5"/>
  <c r="L1836" i="5"/>
  <c r="H1836" i="5"/>
  <c r="G1836" i="5"/>
  <c r="I1836" i="5" s="1"/>
  <c r="D1836" i="5"/>
  <c r="N1835" i="5"/>
  <c r="L1835" i="5"/>
  <c r="I1835" i="5"/>
  <c r="H1835" i="5"/>
  <c r="G1835" i="5"/>
  <c r="D1835" i="5"/>
  <c r="N1834" i="5"/>
  <c r="L1834" i="5"/>
  <c r="I1834" i="5"/>
  <c r="H1834" i="5"/>
  <c r="G1834" i="5"/>
  <c r="D1834" i="5"/>
  <c r="N1833" i="5"/>
  <c r="L1833" i="5"/>
  <c r="I1833" i="5"/>
  <c r="H1833" i="5"/>
  <c r="G1833" i="5"/>
  <c r="D1833" i="5"/>
  <c r="N1832" i="5"/>
  <c r="L1832" i="5"/>
  <c r="H1832" i="5"/>
  <c r="G1832" i="5"/>
  <c r="I1832" i="5" s="1"/>
  <c r="D1832" i="5"/>
  <c r="N1831" i="5"/>
  <c r="L1831" i="5"/>
  <c r="I1831" i="5"/>
  <c r="H1831" i="5"/>
  <c r="G1831" i="5"/>
  <c r="D1831" i="5"/>
  <c r="N1830" i="5"/>
  <c r="L1830" i="5"/>
  <c r="I1830" i="5"/>
  <c r="H1830" i="5"/>
  <c r="G1830" i="5"/>
  <c r="D1830" i="5"/>
  <c r="N1829" i="5"/>
  <c r="L1829" i="5"/>
  <c r="I1829" i="5"/>
  <c r="H1829" i="5"/>
  <c r="G1829" i="5"/>
  <c r="D1829" i="5"/>
  <c r="N1828" i="5"/>
  <c r="L1828" i="5"/>
  <c r="H1828" i="5"/>
  <c r="G1828" i="5"/>
  <c r="I1828" i="5" s="1"/>
  <c r="D1828" i="5"/>
  <c r="N1827" i="5"/>
  <c r="L1827" i="5"/>
  <c r="I1827" i="5"/>
  <c r="H1827" i="5"/>
  <c r="G1827" i="5"/>
  <c r="D1827" i="5"/>
  <c r="N1826" i="5"/>
  <c r="L1826" i="5"/>
  <c r="I1826" i="5"/>
  <c r="H1826" i="5"/>
  <c r="G1826" i="5"/>
  <c r="D1826" i="5"/>
  <c r="N1825" i="5"/>
  <c r="L1825" i="5"/>
  <c r="I1825" i="5"/>
  <c r="H1825" i="5"/>
  <c r="G1825" i="5"/>
  <c r="D1825" i="5"/>
  <c r="N1824" i="5"/>
  <c r="L1824" i="5"/>
  <c r="H1824" i="5"/>
  <c r="G1824" i="5"/>
  <c r="I1824" i="5" s="1"/>
  <c r="D1824" i="5"/>
  <c r="N1823" i="5"/>
  <c r="L1823" i="5"/>
  <c r="I1823" i="5"/>
  <c r="H1823" i="5"/>
  <c r="G1823" i="5"/>
  <c r="D1823" i="5"/>
  <c r="N1822" i="5"/>
  <c r="L1822" i="5"/>
  <c r="I1822" i="5"/>
  <c r="H1822" i="5"/>
  <c r="G1822" i="5"/>
  <c r="D1822" i="5"/>
  <c r="N1821" i="5"/>
  <c r="L1821" i="5"/>
  <c r="I1821" i="5"/>
  <c r="H1821" i="5"/>
  <c r="G1821" i="5"/>
  <c r="D1821" i="5"/>
  <c r="N1820" i="5"/>
  <c r="L1820" i="5"/>
  <c r="H1820" i="5"/>
  <c r="G1820" i="5"/>
  <c r="I1820" i="5" s="1"/>
  <c r="D1820" i="5"/>
  <c r="N1819" i="5"/>
  <c r="L1819" i="5"/>
  <c r="I1819" i="5"/>
  <c r="H1819" i="5"/>
  <c r="G1819" i="5"/>
  <c r="D1819" i="5"/>
  <c r="N1818" i="5"/>
  <c r="L1818" i="5"/>
  <c r="I1818" i="5"/>
  <c r="H1818" i="5"/>
  <c r="G1818" i="5"/>
  <c r="D1818" i="5"/>
  <c r="N1817" i="5"/>
  <c r="L1817" i="5"/>
  <c r="I1817" i="5"/>
  <c r="H1817" i="5"/>
  <c r="G1817" i="5"/>
  <c r="D1817" i="5"/>
  <c r="N1816" i="5"/>
  <c r="L1816" i="5"/>
  <c r="H1816" i="5"/>
  <c r="G1816" i="5"/>
  <c r="I1816" i="5" s="1"/>
  <c r="D1816" i="5"/>
  <c r="N1815" i="5"/>
  <c r="L1815" i="5"/>
  <c r="I1815" i="5"/>
  <c r="H1815" i="5"/>
  <c r="G1815" i="5"/>
  <c r="D1815" i="5"/>
  <c r="N1814" i="5"/>
  <c r="L1814" i="5"/>
  <c r="I1814" i="5"/>
  <c r="H1814" i="5"/>
  <c r="G1814" i="5"/>
  <c r="D1814" i="5"/>
  <c r="N1813" i="5"/>
  <c r="L1813" i="5"/>
  <c r="I1813" i="5"/>
  <c r="H1813" i="5"/>
  <c r="G1813" i="5"/>
  <c r="D1813" i="5"/>
  <c r="N1812" i="5"/>
  <c r="L1812" i="5"/>
  <c r="H1812" i="5"/>
  <c r="G1812" i="5"/>
  <c r="I1812" i="5" s="1"/>
  <c r="D1812" i="5"/>
  <c r="N1811" i="5"/>
  <c r="L1811" i="5"/>
  <c r="I1811" i="5"/>
  <c r="H1811" i="5"/>
  <c r="G1811" i="5"/>
  <c r="D1811" i="5"/>
  <c r="N1810" i="5"/>
  <c r="L1810" i="5"/>
  <c r="I1810" i="5"/>
  <c r="H1810" i="5"/>
  <c r="G1810" i="5"/>
  <c r="D1810" i="5"/>
  <c r="N1809" i="5"/>
  <c r="L1809" i="5"/>
  <c r="I1809" i="5"/>
  <c r="H1809" i="5"/>
  <c r="G1809" i="5"/>
  <c r="D1809" i="5"/>
  <c r="N1808" i="5"/>
  <c r="L1808" i="5"/>
  <c r="H1808" i="5"/>
  <c r="G1808" i="5"/>
  <c r="I1808" i="5" s="1"/>
  <c r="D1808" i="5"/>
  <c r="N1807" i="5"/>
  <c r="L1807" i="5"/>
  <c r="I1807" i="5"/>
  <c r="H1807" i="5"/>
  <c r="G1807" i="5"/>
  <c r="D1807" i="5"/>
  <c r="N1806" i="5"/>
  <c r="L1806" i="5"/>
  <c r="I1806" i="5"/>
  <c r="H1806" i="5"/>
  <c r="G1806" i="5"/>
  <c r="D1806" i="5"/>
  <c r="N1805" i="5"/>
  <c r="L1805" i="5"/>
  <c r="I1805" i="5"/>
  <c r="H1805" i="5"/>
  <c r="G1805" i="5"/>
  <c r="D1805" i="5"/>
  <c r="N1804" i="5"/>
  <c r="L1804" i="5"/>
  <c r="H1804" i="5"/>
  <c r="G1804" i="5"/>
  <c r="I1804" i="5" s="1"/>
  <c r="D1804" i="5"/>
  <c r="N1803" i="5"/>
  <c r="L1803" i="5"/>
  <c r="I1803" i="5"/>
  <c r="H1803" i="5"/>
  <c r="G1803" i="5"/>
  <c r="D1803" i="5"/>
  <c r="N1802" i="5"/>
  <c r="L1802" i="5"/>
  <c r="I1802" i="5"/>
  <c r="H1802" i="5"/>
  <c r="G1802" i="5"/>
  <c r="D1802" i="5"/>
  <c r="N1801" i="5"/>
  <c r="L1801" i="5"/>
  <c r="I1801" i="5"/>
  <c r="H1801" i="5"/>
  <c r="G1801" i="5"/>
  <c r="D1801" i="5"/>
  <c r="N1800" i="5"/>
  <c r="L1800" i="5"/>
  <c r="H1800" i="5"/>
  <c r="G1800" i="5"/>
  <c r="I1800" i="5" s="1"/>
  <c r="D1800" i="5"/>
  <c r="N1799" i="5"/>
  <c r="L1799" i="5"/>
  <c r="I1799" i="5"/>
  <c r="H1799" i="5"/>
  <c r="G1799" i="5"/>
  <c r="D1799" i="5"/>
  <c r="N1798" i="5"/>
  <c r="L1798" i="5"/>
  <c r="I1798" i="5"/>
  <c r="H1798" i="5"/>
  <c r="G1798" i="5"/>
  <c r="D1798" i="5"/>
  <c r="N1797" i="5"/>
  <c r="L1797" i="5"/>
  <c r="I1797" i="5"/>
  <c r="H1797" i="5"/>
  <c r="G1797" i="5"/>
  <c r="D1797" i="5"/>
  <c r="N1796" i="5"/>
  <c r="L1796" i="5"/>
  <c r="H1796" i="5"/>
  <c r="G1796" i="5"/>
  <c r="I1796" i="5" s="1"/>
  <c r="D1796" i="5"/>
  <c r="N1795" i="5"/>
  <c r="L1795" i="5"/>
  <c r="I1795" i="5"/>
  <c r="H1795" i="5"/>
  <c r="G1795" i="5"/>
  <c r="D1795" i="5"/>
  <c r="N1794" i="5"/>
  <c r="L1794" i="5"/>
  <c r="I1794" i="5"/>
  <c r="H1794" i="5"/>
  <c r="G1794" i="5"/>
  <c r="D1794" i="5"/>
  <c r="N1793" i="5"/>
  <c r="L1793" i="5"/>
  <c r="I1793" i="5"/>
  <c r="H1793" i="5"/>
  <c r="G1793" i="5"/>
  <c r="D1793" i="5"/>
  <c r="N1792" i="5"/>
  <c r="L1792" i="5"/>
  <c r="H1792" i="5"/>
  <c r="G1792" i="5"/>
  <c r="I1792" i="5" s="1"/>
  <c r="D1792" i="5"/>
  <c r="N1791" i="5"/>
  <c r="L1791" i="5"/>
  <c r="I1791" i="5"/>
  <c r="H1791" i="5"/>
  <c r="G1791" i="5"/>
  <c r="D1791" i="5"/>
  <c r="N1790" i="5"/>
  <c r="L1790" i="5"/>
  <c r="I1790" i="5"/>
  <c r="H1790" i="5"/>
  <c r="G1790" i="5"/>
  <c r="D1790" i="5"/>
  <c r="N1789" i="5"/>
  <c r="L1789" i="5"/>
  <c r="I1789" i="5"/>
  <c r="H1789" i="5"/>
  <c r="G1789" i="5"/>
  <c r="D1789" i="5"/>
  <c r="N1788" i="5"/>
  <c r="L1788" i="5"/>
  <c r="H1788" i="5"/>
  <c r="G1788" i="5"/>
  <c r="I1788" i="5" s="1"/>
  <c r="D1788" i="5"/>
  <c r="N1787" i="5"/>
  <c r="L1787" i="5"/>
  <c r="I1787" i="5"/>
  <c r="H1787" i="5"/>
  <c r="G1787" i="5"/>
  <c r="D1787" i="5"/>
  <c r="N1786" i="5"/>
  <c r="L1786" i="5"/>
  <c r="I1786" i="5"/>
  <c r="H1786" i="5"/>
  <c r="G1786" i="5"/>
  <c r="D1786" i="5"/>
  <c r="N1785" i="5"/>
  <c r="L1785" i="5"/>
  <c r="I1785" i="5"/>
  <c r="H1785" i="5"/>
  <c r="G1785" i="5"/>
  <c r="D1785" i="5"/>
  <c r="N1784" i="5"/>
  <c r="L1784" i="5"/>
  <c r="H1784" i="5"/>
  <c r="G1784" i="5"/>
  <c r="I1784" i="5" s="1"/>
  <c r="D1784" i="5"/>
  <c r="N1783" i="5"/>
  <c r="L1783" i="5"/>
  <c r="I1783" i="5"/>
  <c r="H1783" i="5"/>
  <c r="G1783" i="5"/>
  <c r="D1783" i="5"/>
  <c r="N1782" i="5"/>
  <c r="L1782" i="5"/>
  <c r="I1782" i="5"/>
  <c r="H1782" i="5"/>
  <c r="G1782" i="5"/>
  <c r="D1782" i="5"/>
  <c r="N1781" i="5"/>
  <c r="L1781" i="5"/>
  <c r="I1781" i="5"/>
  <c r="H1781" i="5"/>
  <c r="G1781" i="5"/>
  <c r="D1781" i="5"/>
  <c r="N1780" i="5"/>
  <c r="L1780" i="5"/>
  <c r="H1780" i="5"/>
  <c r="G1780" i="5"/>
  <c r="I1780" i="5" s="1"/>
  <c r="D1780" i="5"/>
  <c r="N1779" i="5"/>
  <c r="L1779" i="5"/>
  <c r="I1779" i="5"/>
  <c r="H1779" i="5"/>
  <c r="G1779" i="5"/>
  <c r="D1779" i="5"/>
  <c r="N1778" i="5"/>
  <c r="L1778" i="5"/>
  <c r="I1778" i="5"/>
  <c r="H1778" i="5"/>
  <c r="G1778" i="5"/>
  <c r="D1778" i="5"/>
  <c r="N1777" i="5"/>
  <c r="L1777" i="5"/>
  <c r="I1777" i="5"/>
  <c r="H1777" i="5"/>
  <c r="G1777" i="5"/>
  <c r="D1777" i="5"/>
  <c r="N1776" i="5"/>
  <c r="L1776" i="5"/>
  <c r="H1776" i="5"/>
  <c r="G1776" i="5"/>
  <c r="I1776" i="5" s="1"/>
  <c r="D1776" i="5"/>
  <c r="N1775" i="5"/>
  <c r="L1775" i="5"/>
  <c r="I1775" i="5"/>
  <c r="H1775" i="5"/>
  <c r="G1775" i="5"/>
  <c r="D1775" i="5"/>
  <c r="N1774" i="5"/>
  <c r="L1774" i="5"/>
  <c r="I1774" i="5"/>
  <c r="H1774" i="5"/>
  <c r="G1774" i="5"/>
  <c r="D1774" i="5"/>
  <c r="N1773" i="5"/>
  <c r="L1773" i="5"/>
  <c r="I1773" i="5"/>
  <c r="H1773" i="5"/>
  <c r="G1773" i="5"/>
  <c r="D1773" i="5"/>
  <c r="N1772" i="5"/>
  <c r="L1772" i="5"/>
  <c r="H1772" i="5"/>
  <c r="G1772" i="5"/>
  <c r="I1772" i="5" s="1"/>
  <c r="D1772" i="5"/>
  <c r="N1771" i="5"/>
  <c r="L1771" i="5"/>
  <c r="I1771" i="5"/>
  <c r="H1771" i="5"/>
  <c r="G1771" i="5"/>
  <c r="D1771" i="5"/>
  <c r="N1770" i="5"/>
  <c r="L1770" i="5"/>
  <c r="I1770" i="5"/>
  <c r="H1770" i="5"/>
  <c r="G1770" i="5"/>
  <c r="D1770" i="5"/>
  <c r="N1769" i="5"/>
  <c r="L1769" i="5"/>
  <c r="I1769" i="5"/>
  <c r="H1769" i="5"/>
  <c r="G1769" i="5"/>
  <c r="D1769" i="5"/>
  <c r="N1768" i="5"/>
  <c r="L1768" i="5"/>
  <c r="H1768" i="5"/>
  <c r="G1768" i="5"/>
  <c r="I1768" i="5" s="1"/>
  <c r="D1768" i="5"/>
  <c r="N1767" i="5"/>
  <c r="L1767" i="5"/>
  <c r="I1767" i="5"/>
  <c r="H1767" i="5"/>
  <c r="G1767" i="5"/>
  <c r="D1767" i="5"/>
  <c r="N1766" i="5"/>
  <c r="L1766" i="5"/>
  <c r="I1766" i="5"/>
  <c r="H1766" i="5"/>
  <c r="G1766" i="5"/>
  <c r="D1766" i="5"/>
  <c r="N1765" i="5"/>
  <c r="L1765" i="5"/>
  <c r="I1765" i="5"/>
  <c r="H1765" i="5"/>
  <c r="G1765" i="5"/>
  <c r="D1765" i="5"/>
  <c r="N1764" i="5"/>
  <c r="L1764" i="5"/>
  <c r="H1764" i="5"/>
  <c r="G1764" i="5"/>
  <c r="I1764" i="5" s="1"/>
  <c r="D1764" i="5"/>
  <c r="N1763" i="5"/>
  <c r="L1763" i="5"/>
  <c r="I1763" i="5"/>
  <c r="H1763" i="5"/>
  <c r="G1763" i="5"/>
  <c r="D1763" i="5"/>
  <c r="N1762" i="5"/>
  <c r="L1762" i="5"/>
  <c r="I1762" i="5"/>
  <c r="H1762" i="5"/>
  <c r="G1762" i="5"/>
  <c r="D1762" i="5"/>
  <c r="N1761" i="5"/>
  <c r="L1761" i="5"/>
  <c r="I1761" i="5"/>
  <c r="H1761" i="5"/>
  <c r="G1761" i="5"/>
  <c r="D1761" i="5"/>
  <c r="N1760" i="5"/>
  <c r="L1760" i="5"/>
  <c r="H1760" i="5"/>
  <c r="G1760" i="5"/>
  <c r="I1760" i="5" s="1"/>
  <c r="D1760" i="5"/>
  <c r="N1759" i="5"/>
  <c r="L1759" i="5"/>
  <c r="I1759" i="5"/>
  <c r="H1759" i="5"/>
  <c r="G1759" i="5"/>
  <c r="D1759" i="5"/>
  <c r="N1758" i="5"/>
  <c r="L1758" i="5"/>
  <c r="I1758" i="5"/>
  <c r="H1758" i="5"/>
  <c r="G1758" i="5"/>
  <c r="D1758" i="5"/>
  <c r="N1757" i="5"/>
  <c r="L1757" i="5"/>
  <c r="I1757" i="5"/>
  <c r="H1757" i="5"/>
  <c r="G1757" i="5"/>
  <c r="D1757" i="5"/>
  <c r="N1756" i="5"/>
  <c r="L1756" i="5"/>
  <c r="H1756" i="5"/>
  <c r="G1756" i="5"/>
  <c r="I1756" i="5" s="1"/>
  <c r="D1756" i="5"/>
  <c r="N1755" i="5"/>
  <c r="L1755" i="5"/>
  <c r="I1755" i="5"/>
  <c r="H1755" i="5"/>
  <c r="G1755" i="5"/>
  <c r="D1755" i="5"/>
  <c r="N1754" i="5"/>
  <c r="L1754" i="5"/>
  <c r="I1754" i="5"/>
  <c r="H1754" i="5"/>
  <c r="G1754" i="5"/>
  <c r="D1754" i="5"/>
  <c r="N1753" i="5"/>
  <c r="L1753" i="5"/>
  <c r="I1753" i="5"/>
  <c r="H1753" i="5"/>
  <c r="G1753" i="5"/>
  <c r="D1753" i="5"/>
  <c r="N1752" i="5"/>
  <c r="L1752" i="5"/>
  <c r="H1752" i="5"/>
  <c r="G1752" i="5"/>
  <c r="I1752" i="5" s="1"/>
  <c r="D1752" i="5"/>
  <c r="N1751" i="5"/>
  <c r="L1751" i="5"/>
  <c r="I1751" i="5"/>
  <c r="H1751" i="5"/>
  <c r="G1751" i="5"/>
  <c r="D1751" i="5"/>
  <c r="N1750" i="5"/>
  <c r="L1750" i="5"/>
  <c r="I1750" i="5"/>
  <c r="H1750" i="5"/>
  <c r="G1750" i="5"/>
  <c r="D1750" i="5"/>
  <c r="N1749" i="5"/>
  <c r="L1749" i="5"/>
  <c r="I1749" i="5"/>
  <c r="H1749" i="5"/>
  <c r="G1749" i="5"/>
  <c r="D1749" i="5"/>
  <c r="N1748" i="5"/>
  <c r="L1748" i="5"/>
  <c r="H1748" i="5"/>
  <c r="G1748" i="5"/>
  <c r="I1748" i="5" s="1"/>
  <c r="D1748" i="5"/>
  <c r="N1747" i="5"/>
  <c r="L1747" i="5"/>
  <c r="I1747" i="5"/>
  <c r="H1747" i="5"/>
  <c r="G1747" i="5"/>
  <c r="D1747" i="5"/>
  <c r="N1746" i="5"/>
  <c r="L1746" i="5"/>
  <c r="I1746" i="5"/>
  <c r="H1746" i="5"/>
  <c r="G1746" i="5"/>
  <c r="D1746" i="5"/>
  <c r="N1745" i="5"/>
  <c r="L1745" i="5"/>
  <c r="I1745" i="5"/>
  <c r="H1745" i="5"/>
  <c r="G1745" i="5"/>
  <c r="D1745" i="5"/>
  <c r="N1744" i="5"/>
  <c r="L1744" i="5"/>
  <c r="H1744" i="5"/>
  <c r="G1744" i="5"/>
  <c r="I1744" i="5" s="1"/>
  <c r="D1744" i="5"/>
  <c r="N1743" i="5"/>
  <c r="L1743" i="5"/>
  <c r="I1743" i="5"/>
  <c r="H1743" i="5"/>
  <c r="G1743" i="5"/>
  <c r="D1743" i="5"/>
  <c r="N1742" i="5"/>
  <c r="L1742" i="5"/>
  <c r="I1742" i="5"/>
  <c r="H1742" i="5"/>
  <c r="G1742" i="5"/>
  <c r="D1742" i="5"/>
  <c r="N1741" i="5"/>
  <c r="L1741" i="5"/>
  <c r="I1741" i="5"/>
  <c r="H1741" i="5"/>
  <c r="G1741" i="5"/>
  <c r="D1741" i="5"/>
  <c r="N1740" i="5"/>
  <c r="L1740" i="5"/>
  <c r="H1740" i="5"/>
  <c r="G1740" i="5"/>
  <c r="I1740" i="5" s="1"/>
  <c r="D1740" i="5"/>
  <c r="N1739" i="5"/>
  <c r="L1739" i="5"/>
  <c r="I1739" i="5"/>
  <c r="H1739" i="5"/>
  <c r="G1739" i="5"/>
  <c r="D1739" i="5"/>
  <c r="N1738" i="5"/>
  <c r="L1738" i="5"/>
  <c r="I1738" i="5"/>
  <c r="H1738" i="5"/>
  <c r="G1738" i="5"/>
  <c r="D1738" i="5"/>
  <c r="N1737" i="5"/>
  <c r="L1737" i="5"/>
  <c r="I1737" i="5"/>
  <c r="H1737" i="5"/>
  <c r="G1737" i="5"/>
  <c r="D1737" i="5"/>
  <c r="N1736" i="5"/>
  <c r="L1736" i="5"/>
  <c r="H1736" i="5"/>
  <c r="G1736" i="5"/>
  <c r="I1736" i="5" s="1"/>
  <c r="D1736" i="5"/>
  <c r="N1735" i="5"/>
  <c r="L1735" i="5"/>
  <c r="I1735" i="5"/>
  <c r="H1735" i="5"/>
  <c r="G1735" i="5"/>
  <c r="D1735" i="5"/>
  <c r="N1734" i="5"/>
  <c r="L1734" i="5"/>
  <c r="I1734" i="5"/>
  <c r="H1734" i="5"/>
  <c r="G1734" i="5"/>
  <c r="D1734" i="5"/>
  <c r="N1733" i="5"/>
  <c r="L1733" i="5"/>
  <c r="I1733" i="5"/>
  <c r="H1733" i="5"/>
  <c r="G1733" i="5"/>
  <c r="D1733" i="5"/>
  <c r="N1732" i="5"/>
  <c r="L1732" i="5"/>
  <c r="H1732" i="5"/>
  <c r="G1732" i="5"/>
  <c r="I1732" i="5" s="1"/>
  <c r="D1732" i="5"/>
  <c r="N1731" i="5"/>
  <c r="L1731" i="5"/>
  <c r="I1731" i="5"/>
  <c r="H1731" i="5"/>
  <c r="G1731" i="5"/>
  <c r="D1731" i="5"/>
  <c r="N1730" i="5"/>
  <c r="L1730" i="5"/>
  <c r="I1730" i="5"/>
  <c r="H1730" i="5"/>
  <c r="G1730" i="5"/>
  <c r="D1730" i="5"/>
  <c r="N1729" i="5"/>
  <c r="L1729" i="5"/>
  <c r="I1729" i="5"/>
  <c r="H1729" i="5"/>
  <c r="G1729" i="5"/>
  <c r="D1729" i="5"/>
  <c r="N1728" i="5"/>
  <c r="L1728" i="5"/>
  <c r="H1728" i="5"/>
  <c r="G1728" i="5"/>
  <c r="I1728" i="5" s="1"/>
  <c r="D1728" i="5"/>
  <c r="N1727" i="5"/>
  <c r="L1727" i="5"/>
  <c r="I1727" i="5"/>
  <c r="H1727" i="5"/>
  <c r="G1727" i="5"/>
  <c r="D1727" i="5"/>
  <c r="N1726" i="5"/>
  <c r="L1726" i="5"/>
  <c r="I1726" i="5"/>
  <c r="H1726" i="5"/>
  <c r="G1726" i="5"/>
  <c r="D1726" i="5"/>
  <c r="N1725" i="5"/>
  <c r="L1725" i="5"/>
  <c r="I1725" i="5"/>
  <c r="H1725" i="5"/>
  <c r="G1725" i="5"/>
  <c r="D1725" i="5"/>
  <c r="N1724" i="5"/>
  <c r="L1724" i="5"/>
  <c r="H1724" i="5"/>
  <c r="G1724" i="5"/>
  <c r="I1724" i="5" s="1"/>
  <c r="D1724" i="5"/>
  <c r="N1723" i="5"/>
  <c r="L1723" i="5"/>
  <c r="I1723" i="5"/>
  <c r="H1723" i="5"/>
  <c r="G1723" i="5"/>
  <c r="D1723" i="5"/>
  <c r="N1722" i="5"/>
  <c r="L1722" i="5"/>
  <c r="I1722" i="5"/>
  <c r="H1722" i="5"/>
  <c r="G1722" i="5"/>
  <c r="D1722" i="5"/>
  <c r="N1721" i="5"/>
  <c r="L1721" i="5"/>
  <c r="I1721" i="5"/>
  <c r="H1721" i="5"/>
  <c r="G1721" i="5"/>
  <c r="D1721" i="5"/>
  <c r="N1720" i="5"/>
  <c r="L1720" i="5"/>
  <c r="H1720" i="5"/>
  <c r="G1720" i="5"/>
  <c r="I1720" i="5" s="1"/>
  <c r="D1720" i="5"/>
  <c r="N1719" i="5"/>
  <c r="L1719" i="5"/>
  <c r="I1719" i="5"/>
  <c r="H1719" i="5"/>
  <c r="G1719" i="5"/>
  <c r="D1719" i="5"/>
  <c r="N1718" i="5"/>
  <c r="L1718" i="5"/>
  <c r="I1718" i="5"/>
  <c r="H1718" i="5"/>
  <c r="G1718" i="5"/>
  <c r="D1718" i="5"/>
  <c r="N1717" i="5"/>
  <c r="L1717" i="5"/>
  <c r="I1717" i="5"/>
  <c r="H1717" i="5"/>
  <c r="G1717" i="5"/>
  <c r="D1717" i="5"/>
  <c r="N1716" i="5"/>
  <c r="L1716" i="5"/>
  <c r="H1716" i="5"/>
  <c r="G1716" i="5"/>
  <c r="I1716" i="5" s="1"/>
  <c r="D1716" i="5"/>
  <c r="N1715" i="5"/>
  <c r="L1715" i="5"/>
  <c r="I1715" i="5"/>
  <c r="H1715" i="5"/>
  <c r="G1715" i="5"/>
  <c r="D1715" i="5"/>
  <c r="N1714" i="5"/>
  <c r="L1714" i="5"/>
  <c r="I1714" i="5"/>
  <c r="H1714" i="5"/>
  <c r="G1714" i="5"/>
  <c r="D1714" i="5"/>
  <c r="N1713" i="5"/>
  <c r="L1713" i="5"/>
  <c r="I1713" i="5"/>
  <c r="H1713" i="5"/>
  <c r="G1713" i="5"/>
  <c r="D1713" i="5"/>
  <c r="N1712" i="5"/>
  <c r="L1712" i="5"/>
  <c r="H1712" i="5"/>
  <c r="G1712" i="5"/>
  <c r="I1712" i="5" s="1"/>
  <c r="D1712" i="5"/>
  <c r="N1711" i="5"/>
  <c r="L1711" i="5"/>
  <c r="I1711" i="5"/>
  <c r="H1711" i="5"/>
  <c r="G1711" i="5"/>
  <c r="D1711" i="5"/>
  <c r="N1710" i="5"/>
  <c r="L1710" i="5"/>
  <c r="I1710" i="5"/>
  <c r="H1710" i="5"/>
  <c r="G1710" i="5"/>
  <c r="D1710" i="5"/>
  <c r="N1709" i="5"/>
  <c r="L1709" i="5"/>
  <c r="I1709" i="5"/>
  <c r="H1709" i="5"/>
  <c r="G1709" i="5"/>
  <c r="D1709" i="5"/>
  <c r="N1708" i="5"/>
  <c r="L1708" i="5"/>
  <c r="H1708" i="5"/>
  <c r="G1708" i="5"/>
  <c r="I1708" i="5" s="1"/>
  <c r="D1708" i="5"/>
  <c r="N1707" i="5"/>
  <c r="L1707" i="5"/>
  <c r="I1707" i="5"/>
  <c r="H1707" i="5"/>
  <c r="G1707" i="5"/>
  <c r="D1707" i="5"/>
  <c r="N1706" i="5"/>
  <c r="L1706" i="5"/>
  <c r="I1706" i="5"/>
  <c r="H1706" i="5"/>
  <c r="G1706" i="5"/>
  <c r="D1706" i="5"/>
  <c r="N1705" i="5"/>
  <c r="L1705" i="5"/>
  <c r="I1705" i="5"/>
  <c r="H1705" i="5"/>
  <c r="G1705" i="5"/>
  <c r="D1705" i="5"/>
  <c r="N1704" i="5"/>
  <c r="L1704" i="5"/>
  <c r="H1704" i="5"/>
  <c r="G1704" i="5"/>
  <c r="I1704" i="5" s="1"/>
  <c r="D1704" i="5"/>
  <c r="N1703" i="5"/>
  <c r="L1703" i="5"/>
  <c r="I1703" i="5"/>
  <c r="H1703" i="5"/>
  <c r="G1703" i="5"/>
  <c r="D1703" i="5"/>
  <c r="N1702" i="5"/>
  <c r="L1702" i="5"/>
  <c r="I1702" i="5"/>
  <c r="H1702" i="5"/>
  <c r="G1702" i="5"/>
  <c r="D1702" i="5"/>
  <c r="N1701" i="5"/>
  <c r="L1701" i="5"/>
  <c r="I1701" i="5"/>
  <c r="H1701" i="5"/>
  <c r="G1701" i="5"/>
  <c r="D1701" i="5"/>
  <c r="N1700" i="5"/>
  <c r="L1700" i="5"/>
  <c r="H1700" i="5"/>
  <c r="G1700" i="5"/>
  <c r="I1700" i="5" s="1"/>
  <c r="D1700" i="5"/>
  <c r="N1699" i="5"/>
  <c r="L1699" i="5"/>
  <c r="I1699" i="5"/>
  <c r="H1699" i="5"/>
  <c r="G1699" i="5"/>
  <c r="D1699" i="5"/>
  <c r="N1698" i="5"/>
  <c r="L1698" i="5"/>
  <c r="I1698" i="5"/>
  <c r="H1698" i="5"/>
  <c r="G1698" i="5"/>
  <c r="D1698" i="5"/>
  <c r="N1697" i="5"/>
  <c r="L1697" i="5"/>
  <c r="I1697" i="5"/>
  <c r="H1697" i="5"/>
  <c r="G1697" i="5"/>
  <c r="D1697" i="5"/>
  <c r="N1696" i="5"/>
  <c r="L1696" i="5"/>
  <c r="H1696" i="5"/>
  <c r="G1696" i="5"/>
  <c r="I1696" i="5" s="1"/>
  <c r="D1696" i="5"/>
  <c r="N1695" i="5"/>
  <c r="L1695" i="5"/>
  <c r="I1695" i="5"/>
  <c r="H1695" i="5"/>
  <c r="G1695" i="5"/>
  <c r="D1695" i="5"/>
  <c r="N1694" i="5"/>
  <c r="L1694" i="5"/>
  <c r="I1694" i="5"/>
  <c r="H1694" i="5"/>
  <c r="G1694" i="5"/>
  <c r="D1694" i="5"/>
  <c r="N1693" i="5"/>
  <c r="L1693" i="5"/>
  <c r="I1693" i="5"/>
  <c r="H1693" i="5"/>
  <c r="G1693" i="5"/>
  <c r="D1693" i="5"/>
  <c r="N1692" i="5"/>
  <c r="L1692" i="5"/>
  <c r="H1692" i="5"/>
  <c r="G1692" i="5"/>
  <c r="I1692" i="5" s="1"/>
  <c r="D1692" i="5"/>
  <c r="N1691" i="5"/>
  <c r="L1691" i="5"/>
  <c r="I1691" i="5"/>
  <c r="H1691" i="5"/>
  <c r="G1691" i="5"/>
  <c r="D1691" i="5"/>
  <c r="N1690" i="5"/>
  <c r="L1690" i="5"/>
  <c r="I1690" i="5"/>
  <c r="H1690" i="5"/>
  <c r="G1690" i="5"/>
  <c r="D1690" i="5"/>
  <c r="N1689" i="5"/>
  <c r="L1689" i="5"/>
  <c r="I1689" i="5"/>
  <c r="H1689" i="5"/>
  <c r="G1689" i="5"/>
  <c r="D1689" i="5"/>
  <c r="N1688" i="5"/>
  <c r="L1688" i="5"/>
  <c r="H1688" i="5"/>
  <c r="G1688" i="5"/>
  <c r="I1688" i="5" s="1"/>
  <c r="D1688" i="5"/>
  <c r="N1687" i="5"/>
  <c r="L1687" i="5"/>
  <c r="I1687" i="5"/>
  <c r="H1687" i="5"/>
  <c r="G1687" i="5"/>
  <c r="D1687" i="5"/>
  <c r="N1686" i="5"/>
  <c r="L1686" i="5"/>
  <c r="I1686" i="5"/>
  <c r="H1686" i="5"/>
  <c r="G1686" i="5"/>
  <c r="D1686" i="5"/>
  <c r="N1685" i="5"/>
  <c r="L1685" i="5"/>
  <c r="I1685" i="5"/>
  <c r="H1685" i="5"/>
  <c r="G1685" i="5"/>
  <c r="D1685" i="5"/>
  <c r="N1684" i="5"/>
  <c r="L1684" i="5"/>
  <c r="H1684" i="5"/>
  <c r="G1684" i="5"/>
  <c r="I1684" i="5" s="1"/>
  <c r="D1684" i="5"/>
  <c r="N1683" i="5"/>
  <c r="L1683" i="5"/>
  <c r="I1683" i="5"/>
  <c r="H1683" i="5"/>
  <c r="G1683" i="5"/>
  <c r="D1683" i="5"/>
  <c r="N1682" i="5"/>
  <c r="L1682" i="5"/>
  <c r="I1682" i="5"/>
  <c r="H1682" i="5"/>
  <c r="G1682" i="5"/>
  <c r="D1682" i="5"/>
  <c r="N1681" i="5"/>
  <c r="L1681" i="5"/>
  <c r="I1681" i="5"/>
  <c r="H1681" i="5"/>
  <c r="G1681" i="5"/>
  <c r="D1681" i="5"/>
  <c r="N1680" i="5"/>
  <c r="L1680" i="5"/>
  <c r="H1680" i="5"/>
  <c r="G1680" i="5"/>
  <c r="I1680" i="5" s="1"/>
  <c r="D1680" i="5"/>
  <c r="N1679" i="5"/>
  <c r="L1679" i="5"/>
  <c r="I1679" i="5"/>
  <c r="H1679" i="5"/>
  <c r="G1679" i="5"/>
  <c r="D1679" i="5"/>
  <c r="N1678" i="5"/>
  <c r="L1678" i="5"/>
  <c r="I1678" i="5"/>
  <c r="H1678" i="5"/>
  <c r="G1678" i="5"/>
  <c r="D1678" i="5"/>
  <c r="N1677" i="5"/>
  <c r="L1677" i="5"/>
  <c r="I1677" i="5"/>
  <c r="H1677" i="5"/>
  <c r="G1677" i="5"/>
  <c r="D1677" i="5"/>
  <c r="N1676" i="5"/>
  <c r="L1676" i="5"/>
  <c r="H1676" i="5"/>
  <c r="G1676" i="5"/>
  <c r="I1676" i="5" s="1"/>
  <c r="D1676" i="5"/>
  <c r="N1675" i="5"/>
  <c r="L1675" i="5"/>
  <c r="I1675" i="5"/>
  <c r="H1675" i="5"/>
  <c r="G1675" i="5"/>
  <c r="D1675" i="5"/>
  <c r="N1674" i="5"/>
  <c r="L1674" i="5"/>
  <c r="I1674" i="5"/>
  <c r="H1674" i="5"/>
  <c r="G1674" i="5"/>
  <c r="D1674" i="5"/>
  <c r="N1673" i="5"/>
  <c r="L1673" i="5"/>
  <c r="I1673" i="5"/>
  <c r="H1673" i="5"/>
  <c r="G1673" i="5"/>
  <c r="D1673" i="5"/>
  <c r="N1672" i="5"/>
  <c r="L1672" i="5"/>
  <c r="H1672" i="5"/>
  <c r="G1672" i="5"/>
  <c r="I1672" i="5" s="1"/>
  <c r="D1672" i="5"/>
  <c r="N1671" i="5"/>
  <c r="L1671" i="5"/>
  <c r="I1671" i="5"/>
  <c r="H1671" i="5"/>
  <c r="G1671" i="5"/>
  <c r="D1671" i="5"/>
  <c r="N1670" i="5"/>
  <c r="L1670" i="5"/>
  <c r="I1670" i="5"/>
  <c r="H1670" i="5"/>
  <c r="G1670" i="5"/>
  <c r="D1670" i="5"/>
  <c r="N1669" i="5"/>
  <c r="L1669" i="5"/>
  <c r="I1669" i="5"/>
  <c r="H1669" i="5"/>
  <c r="G1669" i="5"/>
  <c r="D1669" i="5"/>
  <c r="N1668" i="5"/>
  <c r="L1668" i="5"/>
  <c r="H1668" i="5"/>
  <c r="G1668" i="5"/>
  <c r="I1668" i="5" s="1"/>
  <c r="D1668" i="5"/>
  <c r="N1667" i="5"/>
  <c r="L1667" i="5"/>
  <c r="I1667" i="5"/>
  <c r="H1667" i="5"/>
  <c r="G1667" i="5"/>
  <c r="D1667" i="5"/>
  <c r="N1666" i="5"/>
  <c r="L1666" i="5"/>
  <c r="I1666" i="5"/>
  <c r="H1666" i="5"/>
  <c r="G1666" i="5"/>
  <c r="D1666" i="5"/>
  <c r="N1665" i="5"/>
  <c r="L1665" i="5"/>
  <c r="I1665" i="5"/>
  <c r="H1665" i="5"/>
  <c r="G1665" i="5"/>
  <c r="D1665" i="5"/>
  <c r="N1664" i="5"/>
  <c r="L1664" i="5"/>
  <c r="H1664" i="5"/>
  <c r="G1664" i="5"/>
  <c r="I1664" i="5" s="1"/>
  <c r="D1664" i="5"/>
  <c r="N1663" i="5"/>
  <c r="L1663" i="5"/>
  <c r="I1663" i="5"/>
  <c r="H1663" i="5"/>
  <c r="G1663" i="5"/>
  <c r="D1663" i="5"/>
  <c r="N1662" i="5"/>
  <c r="L1662" i="5"/>
  <c r="I1662" i="5"/>
  <c r="H1662" i="5"/>
  <c r="G1662" i="5"/>
  <c r="D1662" i="5"/>
  <c r="H1661" i="5"/>
  <c r="G1661" i="5"/>
  <c r="I1661" i="5" s="1"/>
  <c r="D1661" i="5"/>
  <c r="N1660" i="5"/>
  <c r="L1660" i="5"/>
  <c r="I1660" i="5"/>
  <c r="H1660" i="5"/>
  <c r="G1660" i="5"/>
  <c r="D1660" i="5"/>
  <c r="N1659" i="5"/>
  <c r="L1659" i="5"/>
  <c r="I1659" i="5"/>
  <c r="H1659" i="5"/>
  <c r="G1659" i="5"/>
  <c r="D1659" i="5"/>
  <c r="N1658" i="5"/>
  <c r="L1658" i="5"/>
  <c r="I1658" i="5"/>
  <c r="H1658" i="5"/>
  <c r="G1658" i="5"/>
  <c r="D1658" i="5"/>
  <c r="N1657" i="5"/>
  <c r="L1657" i="5"/>
  <c r="H1657" i="5"/>
  <c r="G1657" i="5"/>
  <c r="I1657" i="5" s="1"/>
  <c r="D1657" i="5"/>
  <c r="N1656" i="5"/>
  <c r="L1656" i="5"/>
  <c r="I1656" i="5"/>
  <c r="H1656" i="5"/>
  <c r="G1656" i="5"/>
  <c r="D1656" i="5"/>
  <c r="N1655" i="5"/>
  <c r="L1655" i="5"/>
  <c r="I1655" i="5"/>
  <c r="H1655" i="5"/>
  <c r="G1655" i="5"/>
  <c r="D1655" i="5"/>
  <c r="N1654" i="5"/>
  <c r="L1654" i="5"/>
  <c r="I1654" i="5"/>
  <c r="H1654" i="5"/>
  <c r="G1654" i="5"/>
  <c r="D1654" i="5"/>
  <c r="N1653" i="5"/>
  <c r="L1653" i="5"/>
  <c r="H1653" i="5"/>
  <c r="G1653" i="5"/>
  <c r="I1653" i="5" s="1"/>
  <c r="D1653" i="5"/>
  <c r="N1652" i="5"/>
  <c r="L1652" i="5"/>
  <c r="I1652" i="5"/>
  <c r="H1652" i="5"/>
  <c r="G1652" i="5"/>
  <c r="D1652" i="5"/>
  <c r="N1651" i="5"/>
  <c r="L1651" i="5"/>
  <c r="I1651" i="5"/>
  <c r="H1651" i="5"/>
  <c r="G1651" i="5"/>
  <c r="D1651" i="5"/>
  <c r="N1650" i="5"/>
  <c r="L1650" i="5"/>
  <c r="I1650" i="5"/>
  <c r="H1650" i="5"/>
  <c r="G1650" i="5"/>
  <c r="D1650" i="5"/>
  <c r="N1649" i="5"/>
  <c r="L1649" i="5"/>
  <c r="H1649" i="5"/>
  <c r="G1649" i="5"/>
  <c r="I1649" i="5" s="1"/>
  <c r="D1649" i="5"/>
  <c r="N1648" i="5"/>
  <c r="L1648" i="5"/>
  <c r="I1648" i="5"/>
  <c r="H1648" i="5"/>
  <c r="G1648" i="5"/>
  <c r="D1648" i="5"/>
  <c r="N1647" i="5"/>
  <c r="L1647" i="5"/>
  <c r="I1647" i="5"/>
  <c r="H1647" i="5"/>
  <c r="G1647" i="5"/>
  <c r="D1647" i="5"/>
  <c r="N1646" i="5"/>
  <c r="L1646" i="5"/>
  <c r="I1646" i="5"/>
  <c r="H1646" i="5"/>
  <c r="G1646" i="5"/>
  <c r="D1646" i="5"/>
  <c r="N1645" i="5"/>
  <c r="L1645" i="5"/>
  <c r="H1645" i="5"/>
  <c r="G1645" i="5"/>
  <c r="I1645" i="5" s="1"/>
  <c r="D1645" i="5"/>
  <c r="N1644" i="5"/>
  <c r="L1644" i="5"/>
  <c r="I1644" i="5"/>
  <c r="H1644" i="5"/>
  <c r="G1644" i="5"/>
  <c r="D1644" i="5"/>
  <c r="N1643" i="5"/>
  <c r="L1643" i="5"/>
  <c r="I1643" i="5"/>
  <c r="H1643" i="5"/>
  <c r="G1643" i="5"/>
  <c r="D1643" i="5"/>
  <c r="N1642" i="5"/>
  <c r="L1642" i="5"/>
  <c r="I1642" i="5"/>
  <c r="H1642" i="5"/>
  <c r="G1642" i="5"/>
  <c r="D1642" i="5"/>
  <c r="N1641" i="5"/>
  <c r="L1641" i="5"/>
  <c r="H1641" i="5"/>
  <c r="G1641" i="5"/>
  <c r="I1641" i="5" s="1"/>
  <c r="D1641" i="5"/>
  <c r="N1640" i="5"/>
  <c r="L1640" i="5"/>
  <c r="I1640" i="5"/>
  <c r="H1640" i="5"/>
  <c r="G1640" i="5"/>
  <c r="D1640" i="5"/>
  <c r="N1639" i="5"/>
  <c r="L1639" i="5"/>
  <c r="I1639" i="5"/>
  <c r="H1639" i="5"/>
  <c r="G1639" i="5"/>
  <c r="D1639" i="5"/>
  <c r="N1638" i="5"/>
  <c r="L1638" i="5"/>
  <c r="I1638" i="5"/>
  <c r="H1638" i="5"/>
  <c r="G1638" i="5"/>
  <c r="D1638" i="5"/>
  <c r="N1637" i="5"/>
  <c r="L1637" i="5"/>
  <c r="H1637" i="5"/>
  <c r="G1637" i="5"/>
  <c r="I1637" i="5" s="1"/>
  <c r="D1637" i="5"/>
  <c r="N1636" i="5"/>
  <c r="L1636" i="5"/>
  <c r="I1636" i="5"/>
  <c r="H1636" i="5"/>
  <c r="G1636" i="5"/>
  <c r="D1636" i="5"/>
  <c r="N1635" i="5"/>
  <c r="L1635" i="5"/>
  <c r="I1635" i="5"/>
  <c r="H1635" i="5"/>
  <c r="G1635" i="5"/>
  <c r="D1635" i="5"/>
  <c r="N1634" i="5"/>
  <c r="L1634" i="5"/>
  <c r="I1634" i="5"/>
  <c r="H1634" i="5"/>
  <c r="G1634" i="5"/>
  <c r="D1634" i="5"/>
  <c r="N1633" i="5"/>
  <c r="L1633" i="5"/>
  <c r="H1633" i="5"/>
  <c r="G1633" i="5"/>
  <c r="I1633" i="5" s="1"/>
  <c r="D1633" i="5"/>
  <c r="N1632" i="5"/>
  <c r="L1632" i="5"/>
  <c r="I1632" i="5"/>
  <c r="H1632" i="5"/>
  <c r="G1632" i="5"/>
  <c r="D1632" i="5"/>
  <c r="N1631" i="5"/>
  <c r="L1631" i="5"/>
  <c r="I1631" i="5"/>
  <c r="H1631" i="5"/>
  <c r="G1631" i="5"/>
  <c r="D1631" i="5"/>
  <c r="N1630" i="5"/>
  <c r="L1630" i="5"/>
  <c r="I1630" i="5"/>
  <c r="H1630" i="5"/>
  <c r="G1630" i="5"/>
  <c r="D1630" i="5"/>
  <c r="N1629" i="5"/>
  <c r="L1629" i="5"/>
  <c r="H1629" i="5"/>
  <c r="G1629" i="5"/>
  <c r="I1629" i="5" s="1"/>
  <c r="D1629" i="5"/>
  <c r="N1628" i="5"/>
  <c r="L1628" i="5"/>
  <c r="I1628" i="5"/>
  <c r="H1628" i="5"/>
  <c r="G1628" i="5"/>
  <c r="D1628" i="5"/>
  <c r="N1627" i="5"/>
  <c r="L1627" i="5"/>
  <c r="I1627" i="5"/>
  <c r="H1627" i="5"/>
  <c r="G1627" i="5"/>
  <c r="D1627" i="5"/>
  <c r="N1626" i="5"/>
  <c r="L1626" i="5"/>
  <c r="I1626" i="5"/>
  <c r="H1626" i="5"/>
  <c r="G1626" i="5"/>
  <c r="D1626" i="5"/>
  <c r="N1625" i="5"/>
  <c r="L1625" i="5"/>
  <c r="H1625" i="5"/>
  <c r="G1625" i="5"/>
  <c r="I1625" i="5" s="1"/>
  <c r="D1625" i="5"/>
  <c r="N1624" i="5"/>
  <c r="L1624" i="5"/>
  <c r="I1624" i="5"/>
  <c r="H1624" i="5"/>
  <c r="G1624" i="5"/>
  <c r="D1624" i="5"/>
  <c r="N1623" i="5"/>
  <c r="L1623" i="5"/>
  <c r="I1623" i="5"/>
  <c r="H1623" i="5"/>
  <c r="G1623" i="5"/>
  <c r="D1623" i="5"/>
  <c r="N1622" i="5"/>
  <c r="L1622" i="5"/>
  <c r="I1622" i="5"/>
  <c r="H1622" i="5"/>
  <c r="G1622" i="5"/>
  <c r="D1622" i="5"/>
  <c r="N1621" i="5"/>
  <c r="L1621" i="5"/>
  <c r="H1621" i="5"/>
  <c r="G1621" i="5"/>
  <c r="I1621" i="5" s="1"/>
  <c r="D1621" i="5"/>
  <c r="N1620" i="5"/>
  <c r="L1620" i="5"/>
  <c r="I1620" i="5"/>
  <c r="H1620" i="5"/>
  <c r="G1620" i="5"/>
  <c r="D1620" i="5"/>
  <c r="N1619" i="5"/>
  <c r="L1619" i="5"/>
  <c r="I1619" i="5"/>
  <c r="H1619" i="5"/>
  <c r="G1619" i="5"/>
  <c r="D1619" i="5"/>
  <c r="N1618" i="5"/>
  <c r="L1618" i="5"/>
  <c r="I1618" i="5"/>
  <c r="H1618" i="5"/>
  <c r="G1618" i="5"/>
  <c r="D1618" i="5"/>
  <c r="N1617" i="5"/>
  <c r="L1617" i="5"/>
  <c r="H1617" i="5"/>
  <c r="G1617" i="5"/>
  <c r="I1617" i="5" s="1"/>
  <c r="D1617" i="5"/>
  <c r="N1616" i="5"/>
  <c r="L1616" i="5"/>
  <c r="I1616" i="5"/>
  <c r="H1616" i="5"/>
  <c r="G1616" i="5"/>
  <c r="D1616" i="5"/>
  <c r="N1615" i="5"/>
  <c r="L1615" i="5"/>
  <c r="I1615" i="5"/>
  <c r="H1615" i="5"/>
  <c r="G1615" i="5"/>
  <c r="D1615" i="5"/>
  <c r="N1614" i="5"/>
  <c r="L1614" i="5"/>
  <c r="I1614" i="5"/>
  <c r="H1614" i="5"/>
  <c r="G1614" i="5"/>
  <c r="D1614" i="5"/>
  <c r="N1613" i="5"/>
  <c r="L1613" i="5"/>
  <c r="H1613" i="5"/>
  <c r="G1613" i="5"/>
  <c r="I1613" i="5" s="1"/>
  <c r="D1613" i="5"/>
  <c r="N1612" i="5"/>
  <c r="L1612" i="5"/>
  <c r="I1612" i="5"/>
  <c r="H1612" i="5"/>
  <c r="G1612" i="5"/>
  <c r="D1612" i="5"/>
  <c r="N1611" i="5"/>
  <c r="L1611" i="5"/>
  <c r="I1611" i="5"/>
  <c r="H1611" i="5"/>
  <c r="G1611" i="5"/>
  <c r="D1611" i="5"/>
  <c r="N1610" i="5"/>
  <c r="L1610" i="5"/>
  <c r="I1610" i="5"/>
  <c r="H1610" i="5"/>
  <c r="G1610" i="5"/>
  <c r="D1610" i="5"/>
  <c r="N1609" i="5"/>
  <c r="L1609" i="5"/>
  <c r="H1609" i="5"/>
  <c r="G1609" i="5"/>
  <c r="I1609" i="5" s="1"/>
  <c r="D1609" i="5"/>
  <c r="N1608" i="5"/>
  <c r="L1608" i="5"/>
  <c r="I1608" i="5"/>
  <c r="H1608" i="5"/>
  <c r="G1608" i="5"/>
  <c r="D1608" i="5"/>
  <c r="N1607" i="5"/>
  <c r="L1607" i="5"/>
  <c r="I1607" i="5"/>
  <c r="H1607" i="5"/>
  <c r="G1607" i="5"/>
  <c r="D1607" i="5"/>
  <c r="N1606" i="5"/>
  <c r="L1606" i="5"/>
  <c r="I1606" i="5"/>
  <c r="H1606" i="5"/>
  <c r="G1606" i="5"/>
  <c r="D1606" i="5"/>
  <c r="N1605" i="5"/>
  <c r="L1605" i="5"/>
  <c r="H1605" i="5"/>
  <c r="G1605" i="5"/>
  <c r="I1605" i="5" s="1"/>
  <c r="D1605" i="5"/>
  <c r="N1604" i="5"/>
  <c r="L1604" i="5"/>
  <c r="I1604" i="5"/>
  <c r="H1604" i="5"/>
  <c r="G1604" i="5"/>
  <c r="D1604" i="5"/>
  <c r="N1603" i="5"/>
  <c r="L1603" i="5"/>
  <c r="I1603" i="5"/>
  <c r="H1603" i="5"/>
  <c r="G1603" i="5"/>
  <c r="D1603" i="5"/>
  <c r="N1602" i="5"/>
  <c r="L1602" i="5"/>
  <c r="I1602" i="5"/>
  <c r="H1602" i="5"/>
  <c r="G1602" i="5"/>
  <c r="D1602" i="5"/>
  <c r="N1601" i="5"/>
  <c r="L1601" i="5"/>
  <c r="H1601" i="5"/>
  <c r="G1601" i="5"/>
  <c r="I1601" i="5" s="1"/>
  <c r="D1601" i="5"/>
  <c r="N1600" i="5"/>
  <c r="L1600" i="5"/>
  <c r="I1600" i="5"/>
  <c r="H1600" i="5"/>
  <c r="G1600" i="5"/>
  <c r="D1600" i="5"/>
  <c r="N1599" i="5"/>
  <c r="L1599" i="5"/>
  <c r="I1599" i="5"/>
  <c r="H1599" i="5"/>
  <c r="G1599" i="5"/>
  <c r="D1599" i="5"/>
  <c r="N1598" i="5"/>
  <c r="L1598" i="5"/>
  <c r="I1598" i="5"/>
  <c r="H1598" i="5"/>
  <c r="G1598" i="5"/>
  <c r="D1598" i="5"/>
  <c r="N1597" i="5"/>
  <c r="L1597" i="5"/>
  <c r="H1597" i="5"/>
  <c r="G1597" i="5"/>
  <c r="I1597" i="5" s="1"/>
  <c r="D1597" i="5"/>
  <c r="N1596" i="5"/>
  <c r="L1596" i="5"/>
  <c r="I1596" i="5"/>
  <c r="H1596" i="5"/>
  <c r="G1596" i="5"/>
  <c r="D1596" i="5"/>
  <c r="N1595" i="5"/>
  <c r="L1595" i="5"/>
  <c r="I1595" i="5"/>
  <c r="H1595" i="5"/>
  <c r="G1595" i="5"/>
  <c r="D1595" i="5"/>
  <c r="N1594" i="5"/>
  <c r="L1594" i="5"/>
  <c r="I1594" i="5"/>
  <c r="H1594" i="5"/>
  <c r="G1594" i="5"/>
  <c r="D1594" i="5"/>
  <c r="N1593" i="5"/>
  <c r="L1593" i="5"/>
  <c r="H1593" i="5"/>
  <c r="G1593" i="5"/>
  <c r="I1593" i="5" s="1"/>
  <c r="D1593" i="5"/>
  <c r="N1592" i="5"/>
  <c r="L1592" i="5"/>
  <c r="I1592" i="5"/>
  <c r="H1592" i="5"/>
  <c r="G1592" i="5"/>
  <c r="D1592" i="5"/>
  <c r="N1591" i="5"/>
  <c r="L1591" i="5"/>
  <c r="I1591" i="5"/>
  <c r="H1591" i="5"/>
  <c r="G1591" i="5"/>
  <c r="D1591" i="5"/>
  <c r="N1590" i="5"/>
  <c r="L1590" i="5"/>
  <c r="I1590" i="5"/>
  <c r="H1590" i="5"/>
  <c r="G1590" i="5"/>
  <c r="D1590" i="5"/>
  <c r="N1589" i="5"/>
  <c r="L1589" i="5"/>
  <c r="H1589" i="5"/>
  <c r="G1589" i="5"/>
  <c r="I1589" i="5" s="1"/>
  <c r="D1589" i="5"/>
  <c r="N1588" i="5"/>
  <c r="L1588" i="5"/>
  <c r="I1588" i="5"/>
  <c r="H1588" i="5"/>
  <c r="G1588" i="5"/>
  <c r="D1588" i="5"/>
  <c r="N1587" i="5"/>
  <c r="L1587" i="5"/>
  <c r="I1587" i="5"/>
  <c r="H1587" i="5"/>
  <c r="G1587" i="5"/>
  <c r="D1587" i="5"/>
  <c r="N1586" i="5"/>
  <c r="L1586" i="5"/>
  <c r="I1586" i="5"/>
  <c r="H1586" i="5"/>
  <c r="G1586" i="5"/>
  <c r="D1586" i="5"/>
  <c r="N1585" i="5"/>
  <c r="L1585" i="5"/>
  <c r="H1585" i="5"/>
  <c r="G1585" i="5"/>
  <c r="I1585" i="5" s="1"/>
  <c r="D1585" i="5"/>
  <c r="N1584" i="5"/>
  <c r="L1584" i="5"/>
  <c r="I1584" i="5"/>
  <c r="H1584" i="5"/>
  <c r="G1584" i="5"/>
  <c r="D1584" i="5"/>
  <c r="N1583" i="5"/>
  <c r="L1583" i="5"/>
  <c r="I1583" i="5"/>
  <c r="H1583" i="5"/>
  <c r="G1583" i="5"/>
  <c r="D1583" i="5"/>
  <c r="N1582" i="5"/>
  <c r="L1582" i="5"/>
  <c r="I1582" i="5"/>
  <c r="H1582" i="5"/>
  <c r="G1582" i="5"/>
  <c r="D1582" i="5"/>
  <c r="N1581" i="5"/>
  <c r="L1581" i="5"/>
  <c r="H1581" i="5"/>
  <c r="G1581" i="5"/>
  <c r="I1581" i="5" s="1"/>
  <c r="D1581" i="5"/>
  <c r="N1580" i="5"/>
  <c r="L1580" i="5"/>
  <c r="I1580" i="5"/>
  <c r="H1580" i="5"/>
  <c r="G1580" i="5"/>
  <c r="D1580" i="5"/>
  <c r="N1579" i="5"/>
  <c r="L1579" i="5"/>
  <c r="I1579" i="5"/>
  <c r="H1579" i="5"/>
  <c r="G1579" i="5"/>
  <c r="D1579" i="5"/>
  <c r="N1578" i="5"/>
  <c r="L1578" i="5"/>
  <c r="I1578" i="5"/>
  <c r="H1578" i="5"/>
  <c r="G1578" i="5"/>
  <c r="D1578" i="5"/>
  <c r="N1577" i="5"/>
  <c r="L1577" i="5"/>
  <c r="H1577" i="5"/>
  <c r="G1577" i="5"/>
  <c r="I1577" i="5" s="1"/>
  <c r="D1577" i="5"/>
  <c r="N1576" i="5"/>
  <c r="L1576" i="5"/>
  <c r="I1576" i="5"/>
  <c r="H1576" i="5"/>
  <c r="G1576" i="5"/>
  <c r="D1576" i="5"/>
  <c r="N1575" i="5"/>
  <c r="L1575" i="5"/>
  <c r="I1575" i="5"/>
  <c r="H1575" i="5"/>
  <c r="G1575" i="5"/>
  <c r="D1575" i="5"/>
  <c r="N1574" i="5"/>
  <c r="L1574" i="5"/>
  <c r="I1574" i="5"/>
  <c r="H1574" i="5"/>
  <c r="G1574" i="5"/>
  <c r="D1574" i="5"/>
  <c r="N1573" i="5"/>
  <c r="L1573" i="5"/>
  <c r="H1573" i="5"/>
  <c r="G1573" i="5"/>
  <c r="I1573" i="5" s="1"/>
  <c r="D1573" i="5"/>
  <c r="N1572" i="5"/>
  <c r="L1572" i="5"/>
  <c r="I1572" i="5"/>
  <c r="H1572" i="5"/>
  <c r="G1572" i="5"/>
  <c r="D1572" i="5"/>
  <c r="N1571" i="5"/>
  <c r="L1571" i="5"/>
  <c r="I1571" i="5"/>
  <c r="H1571" i="5"/>
  <c r="G1571" i="5"/>
  <c r="D1571" i="5"/>
  <c r="N1570" i="5"/>
  <c r="L1570" i="5"/>
  <c r="I1570" i="5"/>
  <c r="H1570" i="5"/>
  <c r="G1570" i="5"/>
  <c r="D1570" i="5"/>
  <c r="N1569" i="5"/>
  <c r="L1569" i="5"/>
  <c r="H1569" i="5"/>
  <c r="G1569" i="5"/>
  <c r="I1569" i="5" s="1"/>
  <c r="D1569" i="5"/>
  <c r="N1568" i="5"/>
  <c r="L1568" i="5"/>
  <c r="I1568" i="5"/>
  <c r="H1568" i="5"/>
  <c r="G1568" i="5"/>
  <c r="D1568" i="5"/>
  <c r="N1567" i="5"/>
  <c r="L1567" i="5"/>
  <c r="I1567" i="5"/>
  <c r="H1567" i="5"/>
  <c r="G1567" i="5"/>
  <c r="D1567" i="5"/>
  <c r="N1566" i="5"/>
  <c r="L1566" i="5"/>
  <c r="I1566" i="5"/>
  <c r="H1566" i="5"/>
  <c r="G1566" i="5"/>
  <c r="D1566" i="5"/>
  <c r="N1565" i="5"/>
  <c r="L1565" i="5"/>
  <c r="H1565" i="5"/>
  <c r="G1565" i="5"/>
  <c r="I1565" i="5" s="1"/>
  <c r="D1565" i="5"/>
  <c r="N1564" i="5"/>
  <c r="L1564" i="5"/>
  <c r="I1564" i="5"/>
  <c r="H1564" i="5"/>
  <c r="G1564" i="5"/>
  <c r="D1564" i="5"/>
  <c r="N1563" i="5"/>
  <c r="L1563" i="5"/>
  <c r="I1563" i="5"/>
  <c r="H1563" i="5"/>
  <c r="G1563" i="5"/>
  <c r="D1563" i="5"/>
  <c r="N1562" i="5"/>
  <c r="L1562" i="5"/>
  <c r="I1562" i="5"/>
  <c r="H1562" i="5"/>
  <c r="G1562" i="5"/>
  <c r="D1562" i="5"/>
  <c r="N1561" i="5"/>
  <c r="L1561" i="5"/>
  <c r="H1561" i="5"/>
  <c r="G1561" i="5"/>
  <c r="I1561" i="5" s="1"/>
  <c r="D1561" i="5"/>
  <c r="N1560" i="5"/>
  <c r="L1560" i="5"/>
  <c r="I1560" i="5"/>
  <c r="H1560" i="5"/>
  <c r="G1560" i="5"/>
  <c r="D1560" i="5"/>
  <c r="N1559" i="5"/>
  <c r="L1559" i="5"/>
  <c r="I1559" i="5"/>
  <c r="H1559" i="5"/>
  <c r="G1559" i="5"/>
  <c r="D1559" i="5"/>
  <c r="N1558" i="5"/>
  <c r="L1558" i="5"/>
  <c r="I1558" i="5"/>
  <c r="H1558" i="5"/>
  <c r="G1558" i="5"/>
  <c r="D1558" i="5"/>
  <c r="N1557" i="5"/>
  <c r="L1557" i="5"/>
  <c r="H1557" i="5"/>
  <c r="G1557" i="5"/>
  <c r="I1557" i="5" s="1"/>
  <c r="D1557" i="5"/>
  <c r="N1556" i="5"/>
  <c r="L1556" i="5"/>
  <c r="I1556" i="5"/>
  <c r="H1556" i="5"/>
  <c r="G1556" i="5"/>
  <c r="D1556" i="5"/>
  <c r="N1555" i="5"/>
  <c r="L1555" i="5"/>
  <c r="I1555" i="5"/>
  <c r="H1555" i="5"/>
  <c r="G1555" i="5"/>
  <c r="D1555" i="5"/>
  <c r="N1554" i="5"/>
  <c r="L1554" i="5"/>
  <c r="I1554" i="5"/>
  <c r="H1554" i="5"/>
  <c r="G1554" i="5"/>
  <c r="D1554" i="5"/>
  <c r="N1553" i="5"/>
  <c r="L1553" i="5"/>
  <c r="H1553" i="5"/>
  <c r="G1553" i="5"/>
  <c r="I1553" i="5" s="1"/>
  <c r="D1553" i="5"/>
  <c r="N1552" i="5"/>
  <c r="L1552" i="5"/>
  <c r="I1552" i="5"/>
  <c r="H1552" i="5"/>
  <c r="G1552" i="5"/>
  <c r="D1552" i="5"/>
  <c r="N1551" i="5"/>
  <c r="L1551" i="5"/>
  <c r="I1551" i="5"/>
  <c r="H1551" i="5"/>
  <c r="G1551" i="5"/>
  <c r="D1551" i="5"/>
  <c r="N1550" i="5"/>
  <c r="L1550" i="5"/>
  <c r="I1550" i="5"/>
  <c r="H1550" i="5"/>
  <c r="G1550" i="5"/>
  <c r="D1550" i="5"/>
  <c r="N1549" i="5"/>
  <c r="L1549" i="5"/>
  <c r="H1549" i="5"/>
  <c r="G1549" i="5"/>
  <c r="I1549" i="5" s="1"/>
  <c r="D1549" i="5"/>
  <c r="N1548" i="5"/>
  <c r="L1548" i="5"/>
  <c r="I1548" i="5"/>
  <c r="H1548" i="5"/>
  <c r="G1548" i="5"/>
  <c r="D1548" i="5"/>
  <c r="N1547" i="5"/>
  <c r="L1547" i="5"/>
  <c r="I1547" i="5"/>
  <c r="H1547" i="5"/>
  <c r="G1547" i="5"/>
  <c r="D1547" i="5"/>
  <c r="N1546" i="5"/>
  <c r="L1546" i="5"/>
  <c r="I1546" i="5"/>
  <c r="H1546" i="5"/>
  <c r="G1546" i="5"/>
  <c r="D1546" i="5"/>
  <c r="N1545" i="5"/>
  <c r="L1545" i="5"/>
  <c r="H1545" i="5"/>
  <c r="G1545" i="5"/>
  <c r="I1545" i="5" s="1"/>
  <c r="D1545" i="5"/>
  <c r="N1544" i="5"/>
  <c r="L1544" i="5"/>
  <c r="I1544" i="5"/>
  <c r="H1544" i="5"/>
  <c r="G1544" i="5"/>
  <c r="D1544" i="5"/>
  <c r="N1543" i="5"/>
  <c r="L1543" i="5"/>
  <c r="I1543" i="5"/>
  <c r="H1543" i="5"/>
  <c r="G1543" i="5"/>
  <c r="D1543" i="5"/>
  <c r="N1542" i="5"/>
  <c r="L1542" i="5"/>
  <c r="I1542" i="5"/>
  <c r="H1542" i="5"/>
  <c r="G1542" i="5"/>
  <c r="D1542" i="5"/>
  <c r="N1541" i="5"/>
  <c r="L1541" i="5"/>
  <c r="H1541" i="5"/>
  <c r="G1541" i="5"/>
  <c r="I1541" i="5" s="1"/>
  <c r="D1541" i="5"/>
  <c r="N1540" i="5"/>
  <c r="L1540" i="5"/>
  <c r="I1540" i="5"/>
  <c r="H1540" i="5"/>
  <c r="G1540" i="5"/>
  <c r="D1540" i="5"/>
  <c r="N1539" i="5"/>
  <c r="L1539" i="5"/>
  <c r="I1539" i="5"/>
  <c r="H1539" i="5"/>
  <c r="G1539" i="5"/>
  <c r="D1539" i="5"/>
  <c r="N1538" i="5"/>
  <c r="L1538" i="5"/>
  <c r="I1538" i="5"/>
  <c r="H1538" i="5"/>
  <c r="G1538" i="5"/>
  <c r="D1538" i="5"/>
  <c r="N1537" i="5"/>
  <c r="L1537" i="5"/>
  <c r="H1537" i="5"/>
  <c r="G1537" i="5"/>
  <c r="I1537" i="5" s="1"/>
  <c r="D1537" i="5"/>
  <c r="N1536" i="5"/>
  <c r="L1536" i="5"/>
  <c r="I1536" i="5"/>
  <c r="H1536" i="5"/>
  <c r="G1536" i="5"/>
  <c r="D1536" i="5"/>
  <c r="N1535" i="5"/>
  <c r="L1535" i="5"/>
  <c r="I1535" i="5"/>
  <c r="H1535" i="5"/>
  <c r="G1535" i="5"/>
  <c r="D1535" i="5"/>
  <c r="N1534" i="5"/>
  <c r="L1534" i="5"/>
  <c r="I1534" i="5"/>
  <c r="H1534" i="5"/>
  <c r="G1534" i="5"/>
  <c r="D1534" i="5"/>
  <c r="N1533" i="5"/>
  <c r="L1533" i="5"/>
  <c r="H1533" i="5"/>
  <c r="G1533" i="5"/>
  <c r="I1533" i="5" s="1"/>
  <c r="D1533" i="5"/>
  <c r="N1532" i="5"/>
  <c r="L1532" i="5"/>
  <c r="I1532" i="5"/>
  <c r="H1532" i="5"/>
  <c r="G1532" i="5"/>
  <c r="D1532" i="5"/>
  <c r="N1531" i="5"/>
  <c r="L1531" i="5"/>
  <c r="I1531" i="5"/>
  <c r="H1531" i="5"/>
  <c r="G1531" i="5"/>
  <c r="D1531" i="5"/>
  <c r="N1530" i="5"/>
  <c r="L1530" i="5"/>
  <c r="I1530" i="5"/>
  <c r="H1530" i="5"/>
  <c r="G1530" i="5"/>
  <c r="D1530" i="5"/>
  <c r="N1529" i="5"/>
  <c r="L1529" i="5"/>
  <c r="H1529" i="5"/>
  <c r="G1529" i="5"/>
  <c r="I1529" i="5" s="1"/>
  <c r="D1529" i="5"/>
  <c r="N1528" i="5"/>
  <c r="L1528" i="5"/>
  <c r="I1528" i="5"/>
  <c r="H1528" i="5"/>
  <c r="G1528" i="5"/>
  <c r="D1528" i="5"/>
  <c r="N1527" i="5"/>
  <c r="L1527" i="5"/>
  <c r="I1527" i="5"/>
  <c r="H1527" i="5"/>
  <c r="G1527" i="5"/>
  <c r="D1527" i="5"/>
  <c r="N1526" i="5"/>
  <c r="L1526" i="5"/>
  <c r="I1526" i="5"/>
  <c r="H1526" i="5"/>
  <c r="G1526" i="5"/>
  <c r="D1526" i="5"/>
  <c r="N1525" i="5"/>
  <c r="L1525" i="5"/>
  <c r="H1525" i="5"/>
  <c r="G1525" i="5"/>
  <c r="I1525" i="5" s="1"/>
  <c r="D1525" i="5"/>
  <c r="N1524" i="5"/>
  <c r="L1524" i="5"/>
  <c r="I1524" i="5"/>
  <c r="H1524" i="5"/>
  <c r="G1524" i="5"/>
  <c r="D1524" i="5"/>
  <c r="N1523" i="5"/>
  <c r="L1523" i="5"/>
  <c r="I1523" i="5"/>
  <c r="H1523" i="5"/>
  <c r="G1523" i="5"/>
  <c r="D1523" i="5"/>
  <c r="N1522" i="5"/>
  <c r="L1522" i="5"/>
  <c r="I1522" i="5"/>
  <c r="H1522" i="5"/>
  <c r="G1522" i="5"/>
  <c r="D1522" i="5"/>
  <c r="N1521" i="5"/>
  <c r="L1521" i="5"/>
  <c r="H1521" i="5"/>
  <c r="G1521" i="5"/>
  <c r="I1521" i="5" s="1"/>
  <c r="D1521" i="5"/>
  <c r="N1520" i="5"/>
  <c r="L1520" i="5"/>
  <c r="I1520" i="5"/>
  <c r="H1520" i="5"/>
  <c r="G1520" i="5"/>
  <c r="D1520" i="5"/>
  <c r="N1519" i="5"/>
  <c r="L1519" i="5"/>
  <c r="I1519" i="5"/>
  <c r="H1519" i="5"/>
  <c r="G1519" i="5"/>
  <c r="D1519" i="5"/>
  <c r="N1518" i="5"/>
  <c r="L1518" i="5"/>
  <c r="I1518" i="5"/>
  <c r="H1518" i="5"/>
  <c r="G1518" i="5"/>
  <c r="D1518" i="5"/>
  <c r="N1517" i="5"/>
  <c r="L1517" i="5"/>
  <c r="H1517" i="5"/>
  <c r="G1517" i="5"/>
  <c r="I1517" i="5" s="1"/>
  <c r="D1517" i="5"/>
  <c r="N1516" i="5"/>
  <c r="L1516" i="5"/>
  <c r="I1516" i="5"/>
  <c r="H1516" i="5"/>
  <c r="G1516" i="5"/>
  <c r="D1516" i="5"/>
  <c r="N1515" i="5"/>
  <c r="L1515" i="5"/>
  <c r="I1515" i="5"/>
  <c r="H1515" i="5"/>
  <c r="G1515" i="5"/>
  <c r="D1515" i="5"/>
  <c r="N1514" i="5"/>
  <c r="L1514" i="5"/>
  <c r="I1514" i="5"/>
  <c r="H1514" i="5"/>
  <c r="G1514" i="5"/>
  <c r="D1514" i="5"/>
  <c r="N1513" i="5"/>
  <c r="L1513" i="5"/>
  <c r="H1513" i="5"/>
  <c r="G1513" i="5"/>
  <c r="I1513" i="5" s="1"/>
  <c r="D1513" i="5"/>
  <c r="N1512" i="5"/>
  <c r="L1512" i="5"/>
  <c r="I1512" i="5"/>
  <c r="H1512" i="5"/>
  <c r="G1512" i="5"/>
  <c r="D1512" i="5"/>
  <c r="N1511" i="5"/>
  <c r="L1511" i="5"/>
  <c r="I1511" i="5"/>
  <c r="H1511" i="5"/>
  <c r="G1511" i="5"/>
  <c r="D1511" i="5"/>
  <c r="N1510" i="5"/>
  <c r="L1510" i="5"/>
  <c r="I1510" i="5"/>
  <c r="H1510" i="5"/>
  <c r="G1510" i="5"/>
  <c r="D1510" i="5"/>
  <c r="N1509" i="5"/>
  <c r="L1509" i="5"/>
  <c r="H1509" i="5"/>
  <c r="G1509" i="5"/>
  <c r="I1509" i="5" s="1"/>
  <c r="D1509" i="5"/>
  <c r="N1508" i="5"/>
  <c r="L1508" i="5"/>
  <c r="I1508" i="5"/>
  <c r="H1508" i="5"/>
  <c r="G1508" i="5"/>
  <c r="D1508" i="5"/>
  <c r="N1507" i="5"/>
  <c r="L1507" i="5"/>
  <c r="I1507" i="5"/>
  <c r="H1507" i="5"/>
  <c r="G1507" i="5"/>
  <c r="D1507" i="5"/>
  <c r="N1506" i="5"/>
  <c r="L1506" i="5"/>
  <c r="I1506" i="5"/>
  <c r="H1506" i="5"/>
  <c r="G1506" i="5"/>
  <c r="D1506" i="5"/>
  <c r="N1505" i="5"/>
  <c r="L1505" i="5"/>
  <c r="H1505" i="5"/>
  <c r="G1505" i="5"/>
  <c r="I1505" i="5" s="1"/>
  <c r="D1505" i="5"/>
  <c r="N1504" i="5"/>
  <c r="L1504" i="5"/>
  <c r="I1504" i="5"/>
  <c r="H1504" i="5"/>
  <c r="G1504" i="5"/>
  <c r="D1504" i="5"/>
  <c r="N1503" i="5"/>
  <c r="L1503" i="5"/>
  <c r="I1503" i="5"/>
  <c r="H1503" i="5"/>
  <c r="G1503" i="5"/>
  <c r="D1503" i="5"/>
  <c r="N1502" i="5"/>
  <c r="L1502" i="5"/>
  <c r="I1502" i="5"/>
  <c r="H1502" i="5"/>
  <c r="G1502" i="5"/>
  <c r="D1502" i="5"/>
  <c r="N1501" i="5"/>
  <c r="L1501" i="5"/>
  <c r="H1501" i="5"/>
  <c r="G1501" i="5"/>
  <c r="I1501" i="5" s="1"/>
  <c r="D1501" i="5"/>
  <c r="N1500" i="5"/>
  <c r="L1500" i="5"/>
  <c r="I1500" i="5"/>
  <c r="H1500" i="5"/>
  <c r="G1500" i="5"/>
  <c r="D1500" i="5"/>
  <c r="N1499" i="5"/>
  <c r="L1499" i="5"/>
  <c r="I1499" i="5"/>
  <c r="H1499" i="5"/>
  <c r="G1499" i="5"/>
  <c r="D1499" i="5"/>
  <c r="N1498" i="5"/>
  <c r="L1498" i="5"/>
  <c r="I1498" i="5"/>
  <c r="H1498" i="5"/>
  <c r="G1498" i="5"/>
  <c r="D1498" i="5"/>
  <c r="N1497" i="5"/>
  <c r="L1497" i="5"/>
  <c r="H1497" i="5"/>
  <c r="G1497" i="5"/>
  <c r="I1497" i="5" s="1"/>
  <c r="D1497" i="5"/>
  <c r="N1496" i="5"/>
  <c r="L1496" i="5"/>
  <c r="I1496" i="5"/>
  <c r="H1496" i="5"/>
  <c r="G1496" i="5"/>
  <c r="D1496" i="5"/>
  <c r="N1495" i="5"/>
  <c r="L1495" i="5"/>
  <c r="I1495" i="5"/>
  <c r="H1495" i="5"/>
  <c r="G1495" i="5"/>
  <c r="D1495" i="5"/>
  <c r="N1494" i="5"/>
  <c r="L1494" i="5"/>
  <c r="I1494" i="5"/>
  <c r="H1494" i="5"/>
  <c r="G1494" i="5"/>
  <c r="D1494" i="5"/>
  <c r="N1493" i="5"/>
  <c r="L1493" i="5"/>
  <c r="H1493" i="5"/>
  <c r="G1493" i="5"/>
  <c r="I1493" i="5" s="1"/>
  <c r="D1493" i="5"/>
  <c r="N1492" i="5"/>
  <c r="L1492" i="5"/>
  <c r="I1492" i="5"/>
  <c r="H1492" i="5"/>
  <c r="G1492" i="5"/>
  <c r="D1492" i="5"/>
  <c r="N1491" i="5"/>
  <c r="L1491" i="5"/>
  <c r="I1491" i="5"/>
  <c r="H1491" i="5"/>
  <c r="G1491" i="5"/>
  <c r="D1491" i="5"/>
  <c r="N1490" i="5"/>
  <c r="L1490" i="5"/>
  <c r="I1490" i="5"/>
  <c r="H1490" i="5"/>
  <c r="G1490" i="5"/>
  <c r="D1490" i="5"/>
  <c r="N1489" i="5"/>
  <c r="L1489" i="5"/>
  <c r="H1489" i="5"/>
  <c r="G1489" i="5"/>
  <c r="I1489" i="5" s="1"/>
  <c r="D1489" i="5"/>
  <c r="N1488" i="5"/>
  <c r="L1488" i="5"/>
  <c r="I1488" i="5"/>
  <c r="H1488" i="5"/>
  <c r="G1488" i="5"/>
  <c r="D1488" i="5"/>
  <c r="N1487" i="5"/>
  <c r="L1487" i="5"/>
  <c r="I1487" i="5"/>
  <c r="H1487" i="5"/>
  <c r="G1487" i="5"/>
  <c r="D1487" i="5"/>
  <c r="N1486" i="5"/>
  <c r="L1486" i="5"/>
  <c r="I1486" i="5"/>
  <c r="H1486" i="5"/>
  <c r="G1486" i="5"/>
  <c r="D1486" i="5"/>
  <c r="N1485" i="5"/>
  <c r="L1485" i="5"/>
  <c r="H1485" i="5"/>
  <c r="G1485" i="5"/>
  <c r="I1485" i="5" s="1"/>
  <c r="D1485" i="5"/>
  <c r="N1484" i="5"/>
  <c r="L1484" i="5"/>
  <c r="I1484" i="5"/>
  <c r="H1484" i="5"/>
  <c r="G1484" i="5"/>
  <c r="D1484" i="5"/>
  <c r="N1483" i="5"/>
  <c r="L1483" i="5"/>
  <c r="I1483" i="5"/>
  <c r="H1483" i="5"/>
  <c r="G1483" i="5"/>
  <c r="D1483" i="5"/>
  <c r="N1482" i="5"/>
  <c r="L1482" i="5"/>
  <c r="I1482" i="5"/>
  <c r="H1482" i="5"/>
  <c r="G1482" i="5"/>
  <c r="D1482" i="5"/>
  <c r="N1481" i="5"/>
  <c r="L1481" i="5"/>
  <c r="H1481" i="5"/>
  <c r="G1481" i="5"/>
  <c r="I1481" i="5" s="1"/>
  <c r="D1481" i="5"/>
  <c r="N1480" i="5"/>
  <c r="L1480" i="5"/>
  <c r="I1480" i="5"/>
  <c r="H1480" i="5"/>
  <c r="G1480" i="5"/>
  <c r="D1480" i="5"/>
  <c r="N1479" i="5"/>
  <c r="L1479" i="5"/>
  <c r="I1479" i="5"/>
  <c r="H1479" i="5"/>
  <c r="G1479" i="5"/>
  <c r="D1479" i="5"/>
  <c r="N1478" i="5"/>
  <c r="L1478" i="5"/>
  <c r="I1478" i="5"/>
  <c r="H1478" i="5"/>
  <c r="G1478" i="5"/>
  <c r="D1478" i="5"/>
  <c r="N1477" i="5"/>
  <c r="L1477" i="5"/>
  <c r="H1477" i="5"/>
  <c r="G1477" i="5"/>
  <c r="I1477" i="5" s="1"/>
  <c r="D1477" i="5"/>
  <c r="N1476" i="5"/>
  <c r="L1476" i="5"/>
  <c r="I1476" i="5"/>
  <c r="H1476" i="5"/>
  <c r="G1476" i="5"/>
  <c r="D1476" i="5"/>
  <c r="N1475" i="5"/>
  <c r="L1475" i="5"/>
  <c r="I1475" i="5"/>
  <c r="H1475" i="5"/>
  <c r="G1475" i="5"/>
  <c r="D1475" i="5"/>
  <c r="N1474" i="5"/>
  <c r="L1474" i="5"/>
  <c r="I1474" i="5"/>
  <c r="H1474" i="5"/>
  <c r="G1474" i="5"/>
  <c r="D1474" i="5"/>
  <c r="N1473" i="5"/>
  <c r="L1473" i="5"/>
  <c r="H1473" i="5"/>
  <c r="G1473" i="5"/>
  <c r="I1473" i="5" s="1"/>
  <c r="D1473" i="5"/>
  <c r="N1472" i="5"/>
  <c r="L1472" i="5"/>
  <c r="I1472" i="5"/>
  <c r="H1472" i="5"/>
  <c r="G1472" i="5"/>
  <c r="D1472" i="5"/>
  <c r="N1471" i="5"/>
  <c r="L1471" i="5"/>
  <c r="I1471" i="5"/>
  <c r="H1471" i="5"/>
  <c r="G1471" i="5"/>
  <c r="D1471" i="5"/>
  <c r="N1470" i="5"/>
  <c r="L1470" i="5"/>
  <c r="I1470" i="5"/>
  <c r="H1470" i="5"/>
  <c r="G1470" i="5"/>
  <c r="D1470" i="5"/>
  <c r="N1469" i="5"/>
  <c r="L1469" i="5"/>
  <c r="H1469" i="5"/>
  <c r="G1469" i="5"/>
  <c r="I1469" i="5" s="1"/>
  <c r="D1469" i="5"/>
  <c r="N1468" i="5"/>
  <c r="L1468" i="5"/>
  <c r="I1468" i="5"/>
  <c r="H1468" i="5"/>
  <c r="G1468" i="5"/>
  <c r="D1468" i="5"/>
  <c r="N1467" i="5"/>
  <c r="L1467" i="5"/>
  <c r="I1467" i="5"/>
  <c r="H1467" i="5"/>
  <c r="G1467" i="5"/>
  <c r="D1467" i="5"/>
  <c r="N1466" i="5"/>
  <c r="L1466" i="5"/>
  <c r="I1466" i="5"/>
  <c r="H1466" i="5"/>
  <c r="G1466" i="5"/>
  <c r="D1466" i="5"/>
  <c r="N1465" i="5"/>
  <c r="L1465" i="5"/>
  <c r="H1465" i="5"/>
  <c r="G1465" i="5"/>
  <c r="I1465" i="5" s="1"/>
  <c r="D1465" i="5"/>
  <c r="N1464" i="5"/>
  <c r="L1464" i="5"/>
  <c r="I1464" i="5"/>
  <c r="H1464" i="5"/>
  <c r="G1464" i="5"/>
  <c r="D1464" i="5"/>
  <c r="N1463" i="5"/>
  <c r="L1463" i="5"/>
  <c r="I1463" i="5"/>
  <c r="H1463" i="5"/>
  <c r="G1463" i="5"/>
  <c r="D1463" i="5"/>
  <c r="N1462" i="5"/>
  <c r="L1462" i="5"/>
  <c r="I1462" i="5"/>
  <c r="H1462" i="5"/>
  <c r="G1462" i="5"/>
  <c r="D1462" i="5"/>
  <c r="N1461" i="5"/>
  <c r="L1461" i="5"/>
  <c r="H1461" i="5"/>
  <c r="G1461" i="5"/>
  <c r="I1461" i="5" s="1"/>
  <c r="D1461" i="5"/>
  <c r="N1460" i="5"/>
  <c r="L1460" i="5"/>
  <c r="I1460" i="5"/>
  <c r="H1460" i="5"/>
  <c r="G1460" i="5"/>
  <c r="D1460" i="5"/>
  <c r="N1459" i="5"/>
  <c r="L1459" i="5"/>
  <c r="I1459" i="5"/>
  <c r="H1459" i="5"/>
  <c r="G1459" i="5"/>
  <c r="D1459" i="5"/>
  <c r="N1458" i="5"/>
  <c r="L1458" i="5"/>
  <c r="I1458" i="5"/>
  <c r="H1458" i="5"/>
  <c r="G1458" i="5"/>
  <c r="D1458" i="5"/>
  <c r="N1457" i="5"/>
  <c r="L1457" i="5"/>
  <c r="H1457" i="5"/>
  <c r="G1457" i="5"/>
  <c r="I1457" i="5" s="1"/>
  <c r="D1457" i="5"/>
  <c r="N1456" i="5"/>
  <c r="L1456" i="5"/>
  <c r="I1456" i="5"/>
  <c r="H1456" i="5"/>
  <c r="G1456" i="5"/>
  <c r="D1456" i="5"/>
  <c r="N1455" i="5"/>
  <c r="L1455" i="5"/>
  <c r="I1455" i="5"/>
  <c r="H1455" i="5"/>
  <c r="G1455" i="5"/>
  <c r="D1455" i="5"/>
  <c r="N1454" i="5"/>
  <c r="L1454" i="5"/>
  <c r="I1454" i="5"/>
  <c r="H1454" i="5"/>
  <c r="G1454" i="5"/>
  <c r="D1454" i="5"/>
  <c r="N1453" i="5"/>
  <c r="L1453" i="5"/>
  <c r="H1453" i="5"/>
  <c r="G1453" i="5"/>
  <c r="I1453" i="5" s="1"/>
  <c r="D1453" i="5"/>
  <c r="N1452" i="5"/>
  <c r="L1452" i="5"/>
  <c r="I1452" i="5"/>
  <c r="H1452" i="5"/>
  <c r="G1452" i="5"/>
  <c r="D1452" i="5"/>
  <c r="N1451" i="5"/>
  <c r="L1451" i="5"/>
  <c r="I1451" i="5"/>
  <c r="H1451" i="5"/>
  <c r="G1451" i="5"/>
  <c r="D1451" i="5"/>
  <c r="N1450" i="5"/>
  <c r="L1450" i="5"/>
  <c r="I1450" i="5"/>
  <c r="H1450" i="5"/>
  <c r="G1450" i="5"/>
  <c r="D1450" i="5"/>
  <c r="N1449" i="5"/>
  <c r="L1449" i="5"/>
  <c r="H1449" i="5"/>
  <c r="G1449" i="5"/>
  <c r="I1449" i="5" s="1"/>
  <c r="D1449" i="5"/>
  <c r="N1448" i="5"/>
  <c r="L1448" i="5"/>
  <c r="I1448" i="5"/>
  <c r="H1448" i="5"/>
  <c r="G1448" i="5"/>
  <c r="D1448" i="5"/>
  <c r="N1447" i="5"/>
  <c r="L1447" i="5"/>
  <c r="I1447" i="5"/>
  <c r="H1447" i="5"/>
  <c r="G1447" i="5"/>
  <c r="D1447" i="5"/>
  <c r="N1446" i="5"/>
  <c r="L1446" i="5"/>
  <c r="I1446" i="5"/>
  <c r="H1446" i="5"/>
  <c r="G1446" i="5"/>
  <c r="D1446" i="5"/>
  <c r="N1445" i="5"/>
  <c r="L1445" i="5"/>
  <c r="H1445" i="5"/>
  <c r="G1445" i="5"/>
  <c r="I1445" i="5" s="1"/>
  <c r="D1445" i="5"/>
  <c r="N1444" i="5"/>
  <c r="L1444" i="5"/>
  <c r="I1444" i="5"/>
  <c r="H1444" i="5"/>
  <c r="G1444" i="5"/>
  <c r="D1444" i="5"/>
  <c r="N1443" i="5"/>
  <c r="L1443" i="5"/>
  <c r="I1443" i="5"/>
  <c r="H1443" i="5"/>
  <c r="G1443" i="5"/>
  <c r="D1443" i="5"/>
  <c r="N1442" i="5"/>
  <c r="L1442" i="5"/>
  <c r="I1442" i="5"/>
  <c r="H1442" i="5"/>
  <c r="G1442" i="5"/>
  <c r="D1442" i="5"/>
  <c r="N1441" i="5"/>
  <c r="L1441" i="5"/>
  <c r="H1441" i="5"/>
  <c r="G1441" i="5"/>
  <c r="I1441" i="5" s="1"/>
  <c r="D1441" i="5"/>
  <c r="N1440" i="5"/>
  <c r="L1440" i="5"/>
  <c r="I1440" i="5"/>
  <c r="H1440" i="5"/>
  <c r="G1440" i="5"/>
  <c r="D1440" i="5"/>
  <c r="N1439" i="5"/>
  <c r="L1439" i="5"/>
  <c r="I1439" i="5"/>
  <c r="H1439" i="5"/>
  <c r="G1439" i="5"/>
  <c r="D1439" i="5"/>
  <c r="N1438" i="5"/>
  <c r="L1438" i="5"/>
  <c r="I1438" i="5"/>
  <c r="H1438" i="5"/>
  <c r="G1438" i="5"/>
  <c r="D1438" i="5"/>
  <c r="N1437" i="5"/>
  <c r="L1437" i="5"/>
  <c r="H1437" i="5"/>
  <c r="G1437" i="5"/>
  <c r="I1437" i="5" s="1"/>
  <c r="D1437" i="5"/>
  <c r="N1436" i="5"/>
  <c r="L1436" i="5"/>
  <c r="I1436" i="5"/>
  <c r="H1436" i="5"/>
  <c r="G1436" i="5"/>
  <c r="D1436" i="5"/>
  <c r="N1435" i="5"/>
  <c r="L1435" i="5"/>
  <c r="I1435" i="5"/>
  <c r="H1435" i="5"/>
  <c r="G1435" i="5"/>
  <c r="D1435" i="5"/>
  <c r="N1434" i="5"/>
  <c r="L1434" i="5"/>
  <c r="I1434" i="5"/>
  <c r="H1434" i="5"/>
  <c r="G1434" i="5"/>
  <c r="D1434" i="5"/>
  <c r="N1433" i="5"/>
  <c r="L1433" i="5"/>
  <c r="H1433" i="5"/>
  <c r="G1433" i="5"/>
  <c r="I1433" i="5" s="1"/>
  <c r="D1433" i="5"/>
  <c r="N1432" i="5"/>
  <c r="L1432" i="5"/>
  <c r="I1432" i="5"/>
  <c r="H1432" i="5"/>
  <c r="G1432" i="5"/>
  <c r="D1432" i="5"/>
  <c r="N1431" i="5"/>
  <c r="L1431" i="5"/>
  <c r="I1431" i="5"/>
  <c r="H1431" i="5"/>
  <c r="G1431" i="5"/>
  <c r="D1431" i="5"/>
  <c r="N1430" i="5"/>
  <c r="L1430" i="5"/>
  <c r="I1430" i="5"/>
  <c r="H1430" i="5"/>
  <c r="G1430" i="5"/>
  <c r="D1430" i="5"/>
  <c r="N1429" i="5"/>
  <c r="L1429" i="5"/>
  <c r="H1429" i="5"/>
  <c r="G1429" i="5"/>
  <c r="I1429" i="5" s="1"/>
  <c r="D1429" i="5"/>
  <c r="N1428" i="5"/>
  <c r="L1428" i="5"/>
  <c r="I1428" i="5"/>
  <c r="H1428" i="5"/>
  <c r="G1428" i="5"/>
  <c r="D1428" i="5"/>
  <c r="N1427" i="5"/>
  <c r="L1427" i="5"/>
  <c r="I1427" i="5"/>
  <c r="H1427" i="5"/>
  <c r="G1427" i="5"/>
  <c r="D1427" i="5"/>
  <c r="N1426" i="5"/>
  <c r="L1426" i="5"/>
  <c r="I1426" i="5"/>
  <c r="H1426" i="5"/>
  <c r="G1426" i="5"/>
  <c r="D1426" i="5"/>
  <c r="N1425" i="5"/>
  <c r="L1425" i="5"/>
  <c r="H1425" i="5"/>
  <c r="G1425" i="5"/>
  <c r="I1425" i="5" s="1"/>
  <c r="D1425" i="5"/>
  <c r="N1424" i="5"/>
  <c r="L1424" i="5"/>
  <c r="I1424" i="5"/>
  <c r="H1424" i="5"/>
  <c r="G1424" i="5"/>
  <c r="D1424" i="5"/>
  <c r="N1423" i="5"/>
  <c r="L1423" i="5"/>
  <c r="I1423" i="5"/>
  <c r="H1423" i="5"/>
  <c r="G1423" i="5"/>
  <c r="D1423" i="5"/>
  <c r="N1422" i="5"/>
  <c r="L1422" i="5"/>
  <c r="I1422" i="5"/>
  <c r="H1422" i="5"/>
  <c r="G1422" i="5"/>
  <c r="D1422" i="5"/>
  <c r="N1421" i="5"/>
  <c r="L1421" i="5"/>
  <c r="H1421" i="5"/>
  <c r="G1421" i="5"/>
  <c r="I1421" i="5" s="1"/>
  <c r="D1421" i="5"/>
  <c r="N1420" i="5"/>
  <c r="L1420" i="5"/>
  <c r="I1420" i="5"/>
  <c r="H1420" i="5"/>
  <c r="G1420" i="5"/>
  <c r="D1420" i="5"/>
  <c r="N1419" i="5"/>
  <c r="L1419" i="5"/>
  <c r="I1419" i="5"/>
  <c r="H1419" i="5"/>
  <c r="G1419" i="5"/>
  <c r="D1419" i="5"/>
  <c r="N1418" i="5"/>
  <c r="L1418" i="5"/>
  <c r="I1418" i="5"/>
  <c r="H1418" i="5"/>
  <c r="G1418" i="5"/>
  <c r="D1418" i="5"/>
  <c r="N1417" i="5"/>
  <c r="L1417" i="5"/>
  <c r="H1417" i="5"/>
  <c r="G1417" i="5"/>
  <c r="I1417" i="5" s="1"/>
  <c r="D1417" i="5"/>
  <c r="N1416" i="5"/>
  <c r="L1416" i="5"/>
  <c r="I1416" i="5"/>
  <c r="H1416" i="5"/>
  <c r="G1416" i="5"/>
  <c r="D1416" i="5"/>
  <c r="N1415" i="5"/>
  <c r="L1415" i="5"/>
  <c r="I1415" i="5"/>
  <c r="H1415" i="5"/>
  <c r="G1415" i="5"/>
  <c r="D1415" i="5"/>
  <c r="N1414" i="5"/>
  <c r="L1414" i="5"/>
  <c r="I1414" i="5"/>
  <c r="H1414" i="5"/>
  <c r="G1414" i="5"/>
  <c r="D1414" i="5"/>
  <c r="N1413" i="5"/>
  <c r="L1413" i="5"/>
  <c r="H1413" i="5"/>
  <c r="G1413" i="5"/>
  <c r="I1413" i="5" s="1"/>
  <c r="D1413" i="5"/>
  <c r="N1412" i="5"/>
  <c r="L1412" i="5"/>
  <c r="I1412" i="5"/>
  <c r="H1412" i="5"/>
  <c r="G1412" i="5"/>
  <c r="D1412" i="5"/>
  <c r="N1411" i="5"/>
  <c r="L1411" i="5"/>
  <c r="I1411" i="5"/>
  <c r="H1411" i="5"/>
  <c r="G1411" i="5"/>
  <c r="D1411" i="5"/>
  <c r="N1410" i="5"/>
  <c r="L1410" i="5"/>
  <c r="I1410" i="5"/>
  <c r="H1410" i="5"/>
  <c r="G1410" i="5"/>
  <c r="D1410" i="5"/>
  <c r="N1409" i="5"/>
  <c r="L1409" i="5"/>
  <c r="H1409" i="5"/>
  <c r="G1409" i="5"/>
  <c r="I1409" i="5" s="1"/>
  <c r="D1409" i="5"/>
  <c r="N1408" i="5"/>
  <c r="L1408" i="5"/>
  <c r="I1408" i="5"/>
  <c r="H1408" i="5"/>
  <c r="G1408" i="5"/>
  <c r="D1408" i="5"/>
  <c r="N1407" i="5"/>
  <c r="L1407" i="5"/>
  <c r="I1407" i="5"/>
  <c r="H1407" i="5"/>
  <c r="G1407" i="5"/>
  <c r="D1407" i="5"/>
  <c r="N1406" i="5"/>
  <c r="L1406" i="5"/>
  <c r="I1406" i="5"/>
  <c r="H1406" i="5"/>
  <c r="G1406" i="5"/>
  <c r="D1406" i="5"/>
  <c r="N1405" i="5"/>
  <c r="L1405" i="5"/>
  <c r="H1405" i="5"/>
  <c r="G1405" i="5"/>
  <c r="I1405" i="5" s="1"/>
  <c r="D1405" i="5"/>
  <c r="N1404" i="5"/>
  <c r="L1404" i="5"/>
  <c r="I1404" i="5"/>
  <c r="H1404" i="5"/>
  <c r="G1404" i="5"/>
  <c r="D1404" i="5"/>
  <c r="N1403" i="5"/>
  <c r="L1403" i="5"/>
  <c r="I1403" i="5"/>
  <c r="H1403" i="5"/>
  <c r="G1403" i="5"/>
  <c r="D1403" i="5"/>
  <c r="N1402" i="5"/>
  <c r="L1402" i="5"/>
  <c r="I1402" i="5"/>
  <c r="H1402" i="5"/>
  <c r="G1402" i="5"/>
  <c r="D1402" i="5"/>
  <c r="N1401" i="5"/>
  <c r="L1401" i="5"/>
  <c r="H1401" i="5"/>
  <c r="G1401" i="5"/>
  <c r="I1401" i="5" s="1"/>
  <c r="D1401" i="5"/>
  <c r="N1400" i="5"/>
  <c r="L1400" i="5"/>
  <c r="I1400" i="5"/>
  <c r="H1400" i="5"/>
  <c r="G1400" i="5"/>
  <c r="D1400" i="5"/>
  <c r="N1399" i="5"/>
  <c r="L1399" i="5"/>
  <c r="I1399" i="5"/>
  <c r="H1399" i="5"/>
  <c r="G1399" i="5"/>
  <c r="D1399" i="5"/>
  <c r="N1398" i="5"/>
  <c r="L1398" i="5"/>
  <c r="I1398" i="5"/>
  <c r="H1398" i="5"/>
  <c r="G1398" i="5"/>
  <c r="D1398" i="5"/>
  <c r="N1397" i="5"/>
  <c r="L1397" i="5"/>
  <c r="H1397" i="5"/>
  <c r="G1397" i="5"/>
  <c r="I1397" i="5" s="1"/>
  <c r="D1397" i="5"/>
  <c r="N1396" i="5"/>
  <c r="L1396" i="5"/>
  <c r="I1396" i="5"/>
  <c r="H1396" i="5"/>
  <c r="G1396" i="5"/>
  <c r="D1396" i="5"/>
  <c r="N1395" i="5"/>
  <c r="L1395" i="5"/>
  <c r="I1395" i="5"/>
  <c r="H1395" i="5"/>
  <c r="G1395" i="5"/>
  <c r="D1395" i="5"/>
  <c r="N1394" i="5"/>
  <c r="L1394" i="5"/>
  <c r="I1394" i="5"/>
  <c r="H1394" i="5"/>
  <c r="G1394" i="5"/>
  <c r="D1394" i="5"/>
  <c r="N1393" i="5"/>
  <c r="L1393" i="5"/>
  <c r="H1393" i="5"/>
  <c r="G1393" i="5"/>
  <c r="I1393" i="5" s="1"/>
  <c r="D1393" i="5"/>
  <c r="N1392" i="5"/>
  <c r="L1392" i="5"/>
  <c r="I1392" i="5"/>
  <c r="H1392" i="5"/>
  <c r="G1392" i="5"/>
  <c r="D1392" i="5"/>
  <c r="N1391" i="5"/>
  <c r="L1391" i="5"/>
  <c r="I1391" i="5"/>
  <c r="H1391" i="5"/>
  <c r="G1391" i="5"/>
  <c r="D1391" i="5"/>
  <c r="N1390" i="5"/>
  <c r="L1390" i="5"/>
  <c r="I1390" i="5"/>
  <c r="H1390" i="5"/>
  <c r="G1390" i="5"/>
  <c r="D1390" i="5"/>
  <c r="N1389" i="5"/>
  <c r="L1389" i="5"/>
  <c r="H1389" i="5"/>
  <c r="G1389" i="5"/>
  <c r="I1389" i="5" s="1"/>
  <c r="D1389" i="5"/>
  <c r="N1388" i="5"/>
  <c r="L1388" i="5"/>
  <c r="I1388" i="5"/>
  <c r="H1388" i="5"/>
  <c r="G1388" i="5"/>
  <c r="D1388" i="5"/>
  <c r="N1387" i="5"/>
  <c r="L1387" i="5"/>
  <c r="I1387" i="5"/>
  <c r="H1387" i="5"/>
  <c r="G1387" i="5"/>
  <c r="D1387" i="5"/>
  <c r="N1386" i="5"/>
  <c r="L1386" i="5"/>
  <c r="I1386" i="5"/>
  <c r="H1386" i="5"/>
  <c r="G1386" i="5"/>
  <c r="D1386" i="5"/>
  <c r="N1385" i="5"/>
  <c r="L1385" i="5"/>
  <c r="H1385" i="5"/>
  <c r="G1385" i="5"/>
  <c r="I1385" i="5" s="1"/>
  <c r="D1385" i="5"/>
  <c r="N1384" i="5"/>
  <c r="L1384" i="5"/>
  <c r="I1384" i="5"/>
  <c r="H1384" i="5"/>
  <c r="G1384" i="5"/>
  <c r="D1384" i="5"/>
  <c r="N1383" i="5"/>
  <c r="L1383" i="5"/>
  <c r="I1383" i="5"/>
  <c r="H1383" i="5"/>
  <c r="G1383" i="5"/>
  <c r="D1383" i="5"/>
  <c r="N1382" i="5"/>
  <c r="L1382" i="5"/>
  <c r="I1382" i="5"/>
  <c r="H1382" i="5"/>
  <c r="G1382" i="5"/>
  <c r="D1382" i="5"/>
  <c r="N1381" i="5"/>
  <c r="L1381" i="5"/>
  <c r="H1381" i="5"/>
  <c r="G1381" i="5"/>
  <c r="I1381" i="5" s="1"/>
  <c r="D1381" i="5"/>
  <c r="N1380" i="5"/>
  <c r="L1380" i="5"/>
  <c r="I1380" i="5"/>
  <c r="H1380" i="5"/>
  <c r="G1380" i="5"/>
  <c r="D1380" i="5"/>
  <c r="N1379" i="5"/>
  <c r="L1379" i="5"/>
  <c r="I1379" i="5"/>
  <c r="H1379" i="5"/>
  <c r="G1379" i="5"/>
  <c r="D1379" i="5"/>
  <c r="N1378" i="5"/>
  <c r="L1378" i="5"/>
  <c r="I1378" i="5"/>
  <c r="H1378" i="5"/>
  <c r="G1378" i="5"/>
  <c r="D1378" i="5"/>
  <c r="N1377" i="5"/>
  <c r="L1377" i="5"/>
  <c r="H1377" i="5"/>
  <c r="G1377" i="5"/>
  <c r="I1377" i="5" s="1"/>
  <c r="D1377" i="5"/>
  <c r="N1376" i="5"/>
  <c r="L1376" i="5"/>
  <c r="I1376" i="5"/>
  <c r="H1376" i="5"/>
  <c r="G1376" i="5"/>
  <c r="D1376" i="5"/>
  <c r="N1375" i="5"/>
  <c r="L1375" i="5"/>
  <c r="I1375" i="5"/>
  <c r="H1375" i="5"/>
  <c r="G1375" i="5"/>
  <c r="D1375" i="5"/>
  <c r="N1374" i="5"/>
  <c r="L1374" i="5"/>
  <c r="I1374" i="5"/>
  <c r="H1374" i="5"/>
  <c r="G1374" i="5"/>
  <c r="D1374" i="5"/>
  <c r="N1373" i="5"/>
  <c r="L1373" i="5"/>
  <c r="H1373" i="5"/>
  <c r="G1373" i="5"/>
  <c r="I1373" i="5" s="1"/>
  <c r="D1373" i="5"/>
  <c r="N1372" i="5"/>
  <c r="L1372" i="5"/>
  <c r="I1372" i="5"/>
  <c r="H1372" i="5"/>
  <c r="G1372" i="5"/>
  <c r="D1372" i="5"/>
  <c r="N1371" i="5"/>
  <c r="L1371" i="5"/>
  <c r="I1371" i="5"/>
  <c r="H1371" i="5"/>
  <c r="G1371" i="5"/>
  <c r="D1371" i="5"/>
  <c r="N1370" i="5"/>
  <c r="L1370" i="5"/>
  <c r="I1370" i="5"/>
  <c r="H1370" i="5"/>
  <c r="G1370" i="5"/>
  <c r="D1370" i="5"/>
  <c r="N1369" i="5"/>
  <c r="L1369" i="5"/>
  <c r="H1369" i="5"/>
  <c r="G1369" i="5"/>
  <c r="I1369" i="5" s="1"/>
  <c r="D1369" i="5"/>
  <c r="N1368" i="5"/>
  <c r="L1368" i="5"/>
  <c r="I1368" i="5"/>
  <c r="H1368" i="5"/>
  <c r="G1368" i="5"/>
  <c r="D1368" i="5"/>
  <c r="N1367" i="5"/>
  <c r="L1367" i="5"/>
  <c r="I1367" i="5"/>
  <c r="H1367" i="5"/>
  <c r="G1367" i="5"/>
  <c r="D1367" i="5"/>
  <c r="N1366" i="5"/>
  <c r="L1366" i="5"/>
  <c r="I1366" i="5"/>
  <c r="H1366" i="5"/>
  <c r="G1366" i="5"/>
  <c r="D1366" i="5"/>
  <c r="N1365" i="5"/>
  <c r="L1365" i="5"/>
  <c r="H1365" i="5"/>
  <c r="G1365" i="5"/>
  <c r="I1365" i="5" s="1"/>
  <c r="D1365" i="5"/>
  <c r="N1364" i="5"/>
  <c r="L1364" i="5"/>
  <c r="I1364" i="5"/>
  <c r="H1364" i="5"/>
  <c r="G1364" i="5"/>
  <c r="D1364" i="5"/>
  <c r="N1363" i="5"/>
  <c r="L1363" i="5"/>
  <c r="H1363" i="5"/>
  <c r="G1363" i="5"/>
  <c r="I1363" i="5" s="1"/>
  <c r="D1363" i="5"/>
  <c r="N1362" i="5"/>
  <c r="L1362" i="5"/>
  <c r="I1362" i="5"/>
  <c r="H1362" i="5"/>
  <c r="G1362" i="5"/>
  <c r="D1362" i="5"/>
  <c r="N1361" i="5"/>
  <c r="L1361" i="5"/>
  <c r="H1361" i="5"/>
  <c r="G1361" i="5"/>
  <c r="I1361" i="5" s="1"/>
  <c r="D1361" i="5"/>
  <c r="N1360" i="5"/>
  <c r="L1360" i="5"/>
  <c r="I1360" i="5"/>
  <c r="H1360" i="5"/>
  <c r="G1360" i="5"/>
  <c r="D1360" i="5"/>
  <c r="N1359" i="5"/>
  <c r="L1359" i="5"/>
  <c r="H1359" i="5"/>
  <c r="G1359" i="5"/>
  <c r="I1359" i="5" s="1"/>
  <c r="D1359" i="5"/>
  <c r="N1358" i="5"/>
  <c r="L1358" i="5"/>
  <c r="I1358" i="5"/>
  <c r="H1358" i="5"/>
  <c r="G1358" i="5"/>
  <c r="D1358" i="5"/>
  <c r="N1357" i="5"/>
  <c r="L1357" i="5"/>
  <c r="H1357" i="5"/>
  <c r="G1357" i="5"/>
  <c r="I1357" i="5" s="1"/>
  <c r="D1357" i="5"/>
  <c r="N1356" i="5"/>
  <c r="L1356" i="5"/>
  <c r="I1356" i="5"/>
  <c r="H1356" i="5"/>
  <c r="G1356" i="5"/>
  <c r="D1356" i="5"/>
  <c r="N1355" i="5"/>
  <c r="L1355" i="5"/>
  <c r="H1355" i="5"/>
  <c r="G1355" i="5"/>
  <c r="I1355" i="5" s="1"/>
  <c r="D1355" i="5"/>
  <c r="N1354" i="5"/>
  <c r="L1354" i="5"/>
  <c r="I1354" i="5"/>
  <c r="H1354" i="5"/>
  <c r="G1354" i="5"/>
  <c r="D1354" i="5"/>
  <c r="N1353" i="5"/>
  <c r="L1353" i="5"/>
  <c r="H1353" i="5"/>
  <c r="G1353" i="5"/>
  <c r="I1353" i="5" s="1"/>
  <c r="D1353" i="5"/>
  <c r="N1352" i="5"/>
  <c r="L1352" i="5"/>
  <c r="I1352" i="5"/>
  <c r="H1352" i="5"/>
  <c r="G1352" i="5"/>
  <c r="D1352" i="5"/>
  <c r="N1351" i="5"/>
  <c r="L1351" i="5"/>
  <c r="H1351" i="5"/>
  <c r="G1351" i="5"/>
  <c r="I1351" i="5" s="1"/>
  <c r="D1351" i="5"/>
  <c r="N1350" i="5"/>
  <c r="L1350" i="5"/>
  <c r="I1350" i="5"/>
  <c r="H1350" i="5"/>
  <c r="G1350" i="5"/>
  <c r="D1350" i="5"/>
  <c r="N1349" i="5"/>
  <c r="L1349" i="5"/>
  <c r="H1349" i="5"/>
  <c r="G1349" i="5"/>
  <c r="I1349" i="5" s="1"/>
  <c r="D1349" i="5"/>
  <c r="N1348" i="5"/>
  <c r="L1348" i="5"/>
  <c r="I1348" i="5"/>
  <c r="H1348" i="5"/>
  <c r="G1348" i="5"/>
  <c r="D1348" i="5"/>
  <c r="N1347" i="5"/>
  <c r="L1347" i="5"/>
  <c r="H1347" i="5"/>
  <c r="G1347" i="5"/>
  <c r="I1347" i="5" s="1"/>
  <c r="D1347" i="5"/>
  <c r="N1346" i="5"/>
  <c r="L1346" i="5"/>
  <c r="I1346" i="5"/>
  <c r="H1346" i="5"/>
  <c r="G1346" i="5"/>
  <c r="D1346" i="5"/>
  <c r="N1345" i="5"/>
  <c r="L1345" i="5"/>
  <c r="H1345" i="5"/>
  <c r="G1345" i="5"/>
  <c r="I1345" i="5" s="1"/>
  <c r="D1345" i="5"/>
  <c r="N1344" i="5"/>
  <c r="L1344" i="5"/>
  <c r="I1344" i="5"/>
  <c r="H1344" i="5"/>
  <c r="G1344" i="5"/>
  <c r="D1344" i="5"/>
  <c r="N1343" i="5"/>
  <c r="L1343" i="5"/>
  <c r="H1343" i="5"/>
  <c r="G1343" i="5"/>
  <c r="I1343" i="5" s="1"/>
  <c r="D1343" i="5"/>
  <c r="N1342" i="5"/>
  <c r="L1342" i="5"/>
  <c r="I1342" i="5"/>
  <c r="H1342" i="5"/>
  <c r="G1342" i="5"/>
  <c r="D1342" i="5"/>
  <c r="N1341" i="5"/>
  <c r="L1341" i="5"/>
  <c r="H1341" i="5"/>
  <c r="G1341" i="5"/>
  <c r="I1341" i="5" s="1"/>
  <c r="D1341" i="5"/>
  <c r="N1340" i="5"/>
  <c r="L1340" i="5"/>
  <c r="I1340" i="5"/>
  <c r="H1340" i="5"/>
  <c r="G1340" i="5"/>
  <c r="D1340" i="5"/>
  <c r="N1339" i="5"/>
  <c r="L1339" i="5"/>
  <c r="H1339" i="5"/>
  <c r="G1339" i="5"/>
  <c r="I1339" i="5" s="1"/>
  <c r="D1339" i="5"/>
  <c r="N1338" i="5"/>
  <c r="L1338" i="5"/>
  <c r="I1338" i="5"/>
  <c r="H1338" i="5"/>
  <c r="G1338" i="5"/>
  <c r="D1338" i="5"/>
  <c r="N1337" i="5"/>
  <c r="L1337" i="5"/>
  <c r="H1337" i="5"/>
  <c r="G1337" i="5"/>
  <c r="I1337" i="5" s="1"/>
  <c r="D1337" i="5"/>
  <c r="N1336" i="5"/>
  <c r="L1336" i="5"/>
  <c r="I1336" i="5"/>
  <c r="H1336" i="5"/>
  <c r="G1336" i="5"/>
  <c r="D1336" i="5"/>
  <c r="N1335" i="5"/>
  <c r="L1335" i="5"/>
  <c r="H1335" i="5"/>
  <c r="G1335" i="5"/>
  <c r="I1335" i="5" s="1"/>
  <c r="D1335" i="5"/>
  <c r="N1334" i="5"/>
  <c r="L1334" i="5"/>
  <c r="I1334" i="5"/>
  <c r="H1334" i="5"/>
  <c r="G1334" i="5"/>
  <c r="D1334" i="5"/>
  <c r="N1333" i="5"/>
  <c r="L1333" i="5"/>
  <c r="H1333" i="5"/>
  <c r="G1333" i="5"/>
  <c r="I1333" i="5" s="1"/>
  <c r="D1333" i="5"/>
  <c r="N1332" i="5"/>
  <c r="L1332" i="5"/>
  <c r="I1332" i="5"/>
  <c r="H1332" i="5"/>
  <c r="G1332" i="5"/>
  <c r="D1332" i="5"/>
  <c r="N1331" i="5"/>
  <c r="L1331" i="5"/>
  <c r="H1331" i="5"/>
  <c r="G1331" i="5"/>
  <c r="I1331" i="5" s="1"/>
  <c r="D1331" i="5"/>
  <c r="N1330" i="5"/>
  <c r="L1330" i="5"/>
  <c r="I1330" i="5"/>
  <c r="H1330" i="5"/>
  <c r="G1330" i="5"/>
  <c r="D1330" i="5"/>
  <c r="N1329" i="5"/>
  <c r="L1329" i="5"/>
  <c r="H1329" i="5"/>
  <c r="G1329" i="5"/>
  <c r="I1329" i="5" s="1"/>
  <c r="D1329" i="5"/>
  <c r="N1328" i="5"/>
  <c r="L1328" i="5"/>
  <c r="I1328" i="5"/>
  <c r="H1328" i="5"/>
  <c r="G1328" i="5"/>
  <c r="D1328" i="5"/>
  <c r="N1327" i="5"/>
  <c r="L1327" i="5"/>
  <c r="H1327" i="5"/>
  <c r="G1327" i="5"/>
  <c r="I1327" i="5" s="1"/>
  <c r="D1327" i="5"/>
  <c r="N1326" i="5"/>
  <c r="L1326" i="5"/>
  <c r="H1326" i="5"/>
  <c r="G1326" i="5"/>
  <c r="I1326" i="5" s="1"/>
  <c r="D1326" i="5"/>
  <c r="N1325" i="5"/>
  <c r="L1325" i="5"/>
  <c r="H1325" i="5"/>
  <c r="G1325" i="5"/>
  <c r="I1325" i="5" s="1"/>
  <c r="D1325" i="5"/>
  <c r="N1324" i="5"/>
  <c r="L1324" i="5"/>
  <c r="I1324" i="5"/>
  <c r="H1324" i="5"/>
  <c r="G1324" i="5"/>
  <c r="D1324" i="5"/>
  <c r="N1323" i="5"/>
  <c r="L1323" i="5"/>
  <c r="H1323" i="5"/>
  <c r="G1323" i="5"/>
  <c r="I1323" i="5" s="1"/>
  <c r="D1323" i="5"/>
  <c r="N1322" i="5"/>
  <c r="L1322" i="5"/>
  <c r="H1322" i="5"/>
  <c r="G1322" i="5"/>
  <c r="I1322" i="5" s="1"/>
  <c r="D1322" i="5"/>
  <c r="N1321" i="5"/>
  <c r="L1321" i="5"/>
  <c r="H1321" i="5"/>
  <c r="G1321" i="5"/>
  <c r="I1321" i="5" s="1"/>
  <c r="D1321" i="5"/>
  <c r="N1320" i="5"/>
  <c r="L1320" i="5"/>
  <c r="I1320" i="5"/>
  <c r="H1320" i="5"/>
  <c r="G1320" i="5"/>
  <c r="D1320" i="5"/>
  <c r="N1319" i="5"/>
  <c r="L1319" i="5"/>
  <c r="H1319" i="5"/>
  <c r="G1319" i="5"/>
  <c r="I1319" i="5" s="1"/>
  <c r="D1319" i="5"/>
  <c r="N1318" i="5"/>
  <c r="L1318" i="5"/>
  <c r="I1318" i="5"/>
  <c r="H1318" i="5"/>
  <c r="G1318" i="5"/>
  <c r="D1318" i="5"/>
  <c r="N1317" i="5"/>
  <c r="L1317" i="5"/>
  <c r="H1317" i="5"/>
  <c r="G1317" i="5"/>
  <c r="I1317" i="5" s="1"/>
  <c r="D1317" i="5"/>
  <c r="N1316" i="5"/>
  <c r="L1316" i="5"/>
  <c r="I1316" i="5"/>
  <c r="H1316" i="5"/>
  <c r="G1316" i="5"/>
  <c r="D1316" i="5"/>
  <c r="N1315" i="5"/>
  <c r="L1315" i="5"/>
  <c r="H1315" i="5"/>
  <c r="G1315" i="5"/>
  <c r="I1315" i="5" s="1"/>
  <c r="D1315" i="5"/>
  <c r="N1314" i="5"/>
  <c r="L1314" i="5"/>
  <c r="H1314" i="5"/>
  <c r="G1314" i="5"/>
  <c r="I1314" i="5" s="1"/>
  <c r="D1314" i="5"/>
  <c r="N1313" i="5"/>
  <c r="L1313" i="5"/>
  <c r="H1313" i="5"/>
  <c r="G1313" i="5"/>
  <c r="I1313" i="5" s="1"/>
  <c r="D1313" i="5"/>
  <c r="N1312" i="5"/>
  <c r="L1312" i="5"/>
  <c r="I1312" i="5"/>
  <c r="H1312" i="5"/>
  <c r="G1312" i="5"/>
  <c r="D1312" i="5"/>
  <c r="I1311" i="5"/>
  <c r="H1311" i="5"/>
  <c r="G1311" i="5"/>
  <c r="D1311" i="5"/>
  <c r="N1310" i="5"/>
  <c r="L1310" i="5"/>
  <c r="H1310" i="5"/>
  <c r="G1310" i="5"/>
  <c r="I1310" i="5" s="1"/>
  <c r="D1310" i="5"/>
  <c r="N1309" i="5"/>
  <c r="L1309" i="5"/>
  <c r="I1309" i="5"/>
  <c r="H1309" i="5"/>
  <c r="G1309" i="5"/>
  <c r="D1309" i="5"/>
  <c r="N1308" i="5"/>
  <c r="L1308" i="5"/>
  <c r="H1308" i="5"/>
  <c r="G1308" i="5"/>
  <c r="I1308" i="5" s="1"/>
  <c r="D1308" i="5"/>
  <c r="N1307" i="5"/>
  <c r="L1307" i="5"/>
  <c r="I1307" i="5"/>
  <c r="H1307" i="5"/>
  <c r="G1307" i="5"/>
  <c r="D1307" i="5"/>
  <c r="N1306" i="5"/>
  <c r="L1306" i="5"/>
  <c r="H1306" i="5"/>
  <c r="G1306" i="5"/>
  <c r="I1306" i="5" s="1"/>
  <c r="D1306" i="5"/>
  <c r="N1305" i="5"/>
  <c r="L1305" i="5"/>
  <c r="I1305" i="5"/>
  <c r="H1305" i="5"/>
  <c r="G1305" i="5"/>
  <c r="D1305" i="5"/>
  <c r="N1304" i="5"/>
  <c r="L1304" i="5"/>
  <c r="I1304" i="5"/>
  <c r="H1304" i="5"/>
  <c r="G1304" i="5"/>
  <c r="D1304" i="5"/>
  <c r="N1303" i="5"/>
  <c r="L1303" i="5"/>
  <c r="H1303" i="5"/>
  <c r="G1303" i="5"/>
  <c r="I1303" i="5" s="1"/>
  <c r="D1303" i="5"/>
  <c r="N1302" i="5"/>
  <c r="L1302" i="5"/>
  <c r="H1302" i="5"/>
  <c r="G1302" i="5"/>
  <c r="I1302" i="5" s="1"/>
  <c r="D1302" i="5"/>
  <c r="N1301" i="5"/>
  <c r="L1301" i="5"/>
  <c r="I1301" i="5"/>
  <c r="H1301" i="5"/>
  <c r="G1301" i="5"/>
  <c r="D1301" i="5"/>
  <c r="N1300" i="5"/>
  <c r="L1300" i="5"/>
  <c r="I1300" i="5"/>
  <c r="H1300" i="5"/>
  <c r="G1300" i="5"/>
  <c r="D1300" i="5"/>
  <c r="N1299" i="5"/>
  <c r="L1299" i="5"/>
  <c r="H1299" i="5"/>
  <c r="G1299" i="5"/>
  <c r="I1299" i="5" s="1"/>
  <c r="D1299" i="5"/>
  <c r="N1298" i="5"/>
  <c r="L1298" i="5"/>
  <c r="H1298" i="5"/>
  <c r="G1298" i="5"/>
  <c r="I1298" i="5" s="1"/>
  <c r="D1298" i="5"/>
  <c r="N1297" i="5"/>
  <c r="L1297" i="5"/>
  <c r="I1297" i="5"/>
  <c r="H1297" i="5"/>
  <c r="G1297" i="5"/>
  <c r="D1297" i="5"/>
  <c r="N1296" i="5"/>
  <c r="L1296" i="5"/>
  <c r="H1296" i="5"/>
  <c r="G1296" i="5"/>
  <c r="I1296" i="5" s="1"/>
  <c r="D1296" i="5"/>
  <c r="N1295" i="5"/>
  <c r="L1295" i="5"/>
  <c r="H1295" i="5"/>
  <c r="G1295" i="5"/>
  <c r="I1295" i="5" s="1"/>
  <c r="D1295" i="5"/>
  <c r="N1294" i="5"/>
  <c r="L1294" i="5"/>
  <c r="H1294" i="5"/>
  <c r="G1294" i="5"/>
  <c r="I1294" i="5" s="1"/>
  <c r="D1294" i="5"/>
  <c r="N1293" i="5"/>
  <c r="L1293" i="5"/>
  <c r="I1293" i="5"/>
  <c r="H1293" i="5"/>
  <c r="G1293" i="5"/>
  <c r="D1293" i="5"/>
  <c r="N1292" i="5"/>
  <c r="L1292" i="5"/>
  <c r="H1292" i="5"/>
  <c r="G1292" i="5"/>
  <c r="I1292" i="5" s="1"/>
  <c r="D1292" i="5"/>
  <c r="N1291" i="5"/>
  <c r="L1291" i="5"/>
  <c r="H1291" i="5"/>
  <c r="G1291" i="5"/>
  <c r="I1291" i="5" s="1"/>
  <c r="D1291" i="5"/>
  <c r="N1290" i="5"/>
  <c r="L1290" i="5"/>
  <c r="H1290" i="5"/>
  <c r="G1290" i="5"/>
  <c r="I1290" i="5" s="1"/>
  <c r="D1290" i="5"/>
  <c r="N1289" i="5"/>
  <c r="L1289" i="5"/>
  <c r="I1289" i="5"/>
  <c r="H1289" i="5"/>
  <c r="G1289" i="5"/>
  <c r="D1289" i="5"/>
  <c r="N1288" i="5"/>
  <c r="L1288" i="5"/>
  <c r="H1288" i="5"/>
  <c r="G1288" i="5"/>
  <c r="I1288" i="5" s="1"/>
  <c r="D1288" i="5"/>
  <c r="N1287" i="5"/>
  <c r="L1287" i="5"/>
  <c r="I1287" i="5"/>
  <c r="H1287" i="5"/>
  <c r="G1287" i="5"/>
  <c r="D1287" i="5"/>
  <c r="N1286" i="5"/>
  <c r="L1286" i="5"/>
  <c r="H1286" i="5"/>
  <c r="G1286" i="5"/>
  <c r="I1286" i="5" s="1"/>
  <c r="D1286" i="5"/>
  <c r="N1285" i="5"/>
  <c r="L1285" i="5"/>
  <c r="I1285" i="5"/>
  <c r="H1285" i="5"/>
  <c r="G1285" i="5"/>
  <c r="D1285" i="5"/>
  <c r="N1284" i="5"/>
  <c r="L1284" i="5"/>
  <c r="H1284" i="5"/>
  <c r="G1284" i="5"/>
  <c r="I1284" i="5" s="1"/>
  <c r="D1284" i="5"/>
  <c r="N1283" i="5"/>
  <c r="L1283" i="5"/>
  <c r="H1283" i="5"/>
  <c r="G1283" i="5"/>
  <c r="I1283" i="5" s="1"/>
  <c r="D1283" i="5"/>
  <c r="N1282" i="5"/>
  <c r="L1282" i="5"/>
  <c r="H1282" i="5"/>
  <c r="G1282" i="5"/>
  <c r="I1282" i="5" s="1"/>
  <c r="D1282" i="5"/>
  <c r="N1281" i="5"/>
  <c r="L1281" i="5"/>
  <c r="I1281" i="5"/>
  <c r="H1281" i="5"/>
  <c r="G1281" i="5"/>
  <c r="D1281" i="5"/>
  <c r="N1280" i="5"/>
  <c r="L1280" i="5"/>
  <c r="I1280" i="5"/>
  <c r="H1280" i="5"/>
  <c r="G1280" i="5"/>
  <c r="D1280" i="5"/>
  <c r="N1279" i="5"/>
  <c r="L1279" i="5"/>
  <c r="I1279" i="5"/>
  <c r="H1279" i="5"/>
  <c r="G1279" i="5"/>
  <c r="D1279" i="5"/>
  <c r="N1278" i="5"/>
  <c r="L1278" i="5"/>
  <c r="H1278" i="5"/>
  <c r="G1278" i="5"/>
  <c r="I1278" i="5" s="1"/>
  <c r="D1278" i="5"/>
  <c r="N1277" i="5"/>
  <c r="L1277" i="5"/>
  <c r="I1277" i="5"/>
  <c r="H1277" i="5"/>
  <c r="G1277" i="5"/>
  <c r="D1277" i="5"/>
  <c r="N1276" i="5"/>
  <c r="L1276" i="5"/>
  <c r="H1276" i="5"/>
  <c r="G1276" i="5"/>
  <c r="I1276" i="5" s="1"/>
  <c r="D1276" i="5"/>
  <c r="N1275" i="5"/>
  <c r="L1275" i="5"/>
  <c r="I1275" i="5"/>
  <c r="H1275" i="5"/>
  <c r="G1275" i="5"/>
  <c r="D1275" i="5"/>
  <c r="N1274" i="5"/>
  <c r="L1274" i="5"/>
  <c r="H1274" i="5"/>
  <c r="G1274" i="5"/>
  <c r="I1274" i="5" s="1"/>
  <c r="D1274" i="5"/>
  <c r="N1273" i="5"/>
  <c r="L1273" i="5"/>
  <c r="I1273" i="5"/>
  <c r="H1273" i="5"/>
  <c r="G1273" i="5"/>
  <c r="D1273" i="5"/>
  <c r="N1272" i="5"/>
  <c r="L1272" i="5"/>
  <c r="I1272" i="5"/>
  <c r="H1272" i="5"/>
  <c r="G1272" i="5"/>
  <c r="D1272" i="5"/>
  <c r="N1271" i="5"/>
  <c r="L1271" i="5"/>
  <c r="H1271" i="5"/>
  <c r="G1271" i="5"/>
  <c r="I1271" i="5" s="1"/>
  <c r="D1271" i="5"/>
  <c r="N1270" i="5"/>
  <c r="L1270" i="5"/>
  <c r="H1270" i="5"/>
  <c r="G1270" i="5"/>
  <c r="I1270" i="5" s="1"/>
  <c r="D1270" i="5"/>
  <c r="N1269" i="5"/>
  <c r="L1269" i="5"/>
  <c r="I1269" i="5"/>
  <c r="H1269" i="5"/>
  <c r="G1269" i="5"/>
  <c r="D1269" i="5"/>
  <c r="N1268" i="5"/>
  <c r="L1268" i="5"/>
  <c r="I1268" i="5"/>
  <c r="H1268" i="5"/>
  <c r="G1268" i="5"/>
  <c r="D1268" i="5"/>
  <c r="N1267" i="5"/>
  <c r="L1267" i="5"/>
  <c r="H1267" i="5"/>
  <c r="G1267" i="5"/>
  <c r="I1267" i="5" s="1"/>
  <c r="D1267" i="5"/>
  <c r="N1266" i="5"/>
  <c r="L1266" i="5"/>
  <c r="H1266" i="5"/>
  <c r="G1266" i="5"/>
  <c r="I1266" i="5" s="1"/>
  <c r="D1266" i="5"/>
  <c r="N1265" i="5"/>
  <c r="L1265" i="5"/>
  <c r="I1265" i="5"/>
  <c r="H1265" i="5"/>
  <c r="G1265" i="5"/>
  <c r="D1265" i="5"/>
  <c r="N1264" i="5"/>
  <c r="L1264" i="5"/>
  <c r="H1264" i="5"/>
  <c r="G1264" i="5"/>
  <c r="I1264" i="5" s="1"/>
  <c r="D1264" i="5"/>
  <c r="N1263" i="5"/>
  <c r="L1263" i="5"/>
  <c r="H1263" i="5"/>
  <c r="G1263" i="5"/>
  <c r="I1263" i="5" s="1"/>
  <c r="D1263" i="5"/>
  <c r="N1262" i="5"/>
  <c r="L1262" i="5"/>
  <c r="H1262" i="5"/>
  <c r="G1262" i="5"/>
  <c r="I1262" i="5" s="1"/>
  <c r="D1262" i="5"/>
  <c r="N1261" i="5"/>
  <c r="L1261" i="5"/>
  <c r="I1261" i="5"/>
  <c r="H1261" i="5"/>
  <c r="G1261" i="5"/>
  <c r="D1261" i="5"/>
  <c r="N1260" i="5"/>
  <c r="L1260" i="5"/>
  <c r="H1260" i="5"/>
  <c r="G1260" i="5"/>
  <c r="I1260" i="5" s="1"/>
  <c r="D1260" i="5"/>
  <c r="N1259" i="5"/>
  <c r="L1259" i="5"/>
  <c r="H1259" i="5"/>
  <c r="G1259" i="5"/>
  <c r="I1259" i="5" s="1"/>
  <c r="D1259" i="5"/>
  <c r="N1258" i="5"/>
  <c r="L1258" i="5"/>
  <c r="H1258" i="5"/>
  <c r="G1258" i="5"/>
  <c r="I1258" i="5" s="1"/>
  <c r="D1258" i="5"/>
  <c r="N1257" i="5"/>
  <c r="L1257" i="5"/>
  <c r="I1257" i="5"/>
  <c r="H1257" i="5"/>
  <c r="G1257" i="5"/>
  <c r="D1257" i="5"/>
  <c r="N1256" i="5"/>
  <c r="L1256" i="5"/>
  <c r="H1256" i="5"/>
  <c r="G1256" i="5"/>
  <c r="I1256" i="5" s="1"/>
  <c r="D1256" i="5"/>
  <c r="N1255" i="5"/>
  <c r="L1255" i="5"/>
  <c r="I1255" i="5"/>
  <c r="H1255" i="5"/>
  <c r="G1255" i="5"/>
  <c r="D1255" i="5"/>
  <c r="N1254" i="5"/>
  <c r="L1254" i="5"/>
  <c r="H1254" i="5"/>
  <c r="G1254" i="5"/>
  <c r="I1254" i="5" s="1"/>
  <c r="D1254" i="5"/>
  <c r="N1253" i="5"/>
  <c r="L1253" i="5"/>
  <c r="I1253" i="5"/>
  <c r="H1253" i="5"/>
  <c r="G1253" i="5"/>
  <c r="D1253" i="5"/>
  <c r="N1252" i="5"/>
  <c r="L1252" i="5"/>
  <c r="H1252" i="5"/>
  <c r="G1252" i="5"/>
  <c r="I1252" i="5" s="1"/>
  <c r="D1252" i="5"/>
  <c r="N1251" i="5"/>
  <c r="L1251" i="5"/>
  <c r="H1251" i="5"/>
  <c r="G1251" i="5"/>
  <c r="I1251" i="5" s="1"/>
  <c r="D1251" i="5"/>
  <c r="N1250" i="5"/>
  <c r="L1250" i="5"/>
  <c r="H1250" i="5"/>
  <c r="G1250" i="5"/>
  <c r="I1250" i="5" s="1"/>
  <c r="D1250" i="5"/>
  <c r="N1249" i="5"/>
  <c r="L1249" i="5"/>
  <c r="I1249" i="5"/>
  <c r="H1249" i="5"/>
  <c r="G1249" i="5"/>
  <c r="D1249" i="5"/>
  <c r="N1248" i="5"/>
  <c r="L1248" i="5"/>
  <c r="I1248" i="5"/>
  <c r="H1248" i="5"/>
  <c r="G1248" i="5"/>
  <c r="D1248" i="5"/>
  <c r="N1247" i="5"/>
  <c r="L1247" i="5"/>
  <c r="I1247" i="5"/>
  <c r="H1247" i="5"/>
  <c r="G1247" i="5"/>
  <c r="D1247" i="5"/>
  <c r="N1246" i="5"/>
  <c r="L1246" i="5"/>
  <c r="H1246" i="5"/>
  <c r="G1246" i="5"/>
  <c r="I1246" i="5" s="1"/>
  <c r="D1246" i="5"/>
  <c r="N1245" i="5"/>
  <c r="L1245" i="5"/>
  <c r="H1245" i="5"/>
  <c r="G1245" i="5"/>
  <c r="I1245" i="5" s="1"/>
  <c r="D1245" i="5"/>
  <c r="N1244" i="5"/>
  <c r="L1244" i="5"/>
  <c r="H1244" i="5"/>
  <c r="G1244" i="5"/>
  <c r="I1244" i="5" s="1"/>
  <c r="D1244" i="5"/>
  <c r="N1243" i="5"/>
  <c r="L1243" i="5"/>
  <c r="I1243" i="5"/>
  <c r="H1243" i="5"/>
  <c r="G1243" i="5"/>
  <c r="D1243" i="5"/>
  <c r="N1242" i="5"/>
  <c r="L1242" i="5"/>
  <c r="H1242" i="5"/>
  <c r="G1242" i="5"/>
  <c r="I1242" i="5" s="1"/>
  <c r="D1242" i="5"/>
  <c r="N1241" i="5"/>
  <c r="L1241" i="5"/>
  <c r="H1241" i="5"/>
  <c r="G1241" i="5"/>
  <c r="I1241" i="5" s="1"/>
  <c r="D1241" i="5"/>
  <c r="N1240" i="5"/>
  <c r="L1240" i="5"/>
  <c r="H1240" i="5"/>
  <c r="G1240" i="5"/>
  <c r="I1240" i="5" s="1"/>
  <c r="D1240" i="5"/>
  <c r="N1239" i="5"/>
  <c r="L1239" i="5"/>
  <c r="I1239" i="5"/>
  <c r="H1239" i="5"/>
  <c r="G1239" i="5"/>
  <c r="D1239" i="5"/>
  <c r="N1238" i="5"/>
  <c r="L1238" i="5"/>
  <c r="H1238" i="5"/>
  <c r="G1238" i="5"/>
  <c r="I1238" i="5" s="1"/>
  <c r="D1238" i="5"/>
  <c r="N1237" i="5"/>
  <c r="L1237" i="5"/>
  <c r="H1237" i="5"/>
  <c r="G1237" i="5"/>
  <c r="I1237" i="5" s="1"/>
  <c r="D1237" i="5"/>
  <c r="N1236" i="5"/>
  <c r="L1236" i="5"/>
  <c r="H1236" i="5"/>
  <c r="G1236" i="5"/>
  <c r="I1236" i="5" s="1"/>
  <c r="D1236" i="5"/>
  <c r="N1235" i="5"/>
  <c r="L1235" i="5"/>
  <c r="I1235" i="5"/>
  <c r="H1235" i="5"/>
  <c r="G1235" i="5"/>
  <c r="D1235" i="5"/>
  <c r="N1234" i="5"/>
  <c r="L1234" i="5"/>
  <c r="H1234" i="5"/>
  <c r="G1234" i="5"/>
  <c r="I1234" i="5" s="1"/>
  <c r="D1234" i="5"/>
  <c r="N1233" i="5"/>
  <c r="L1233" i="5"/>
  <c r="H1233" i="5"/>
  <c r="G1233" i="5"/>
  <c r="I1233" i="5" s="1"/>
  <c r="D1233" i="5"/>
  <c r="N1232" i="5"/>
  <c r="L1232" i="5"/>
  <c r="H1232" i="5"/>
  <c r="G1232" i="5"/>
  <c r="I1232" i="5" s="1"/>
  <c r="D1232" i="5"/>
  <c r="N1231" i="5"/>
  <c r="L1231" i="5"/>
  <c r="I1231" i="5"/>
  <c r="H1231" i="5"/>
  <c r="G1231" i="5"/>
  <c r="D1231" i="5"/>
  <c r="N1230" i="5"/>
  <c r="L1230" i="5"/>
  <c r="H1230" i="5"/>
  <c r="G1230" i="5"/>
  <c r="I1230" i="5" s="1"/>
  <c r="D1230" i="5"/>
  <c r="N1229" i="5"/>
  <c r="L1229" i="5"/>
  <c r="H1229" i="5"/>
  <c r="G1229" i="5"/>
  <c r="I1229" i="5" s="1"/>
  <c r="D1229" i="5"/>
  <c r="N1228" i="5"/>
  <c r="L1228" i="5"/>
  <c r="H1228" i="5"/>
  <c r="G1228" i="5"/>
  <c r="I1228" i="5" s="1"/>
  <c r="D1228" i="5"/>
  <c r="N1227" i="5"/>
  <c r="L1227" i="5"/>
  <c r="I1227" i="5"/>
  <c r="H1227" i="5"/>
  <c r="G1227" i="5"/>
  <c r="D1227" i="5"/>
  <c r="N1226" i="5"/>
  <c r="L1226" i="5"/>
  <c r="H1226" i="5"/>
  <c r="G1226" i="5"/>
  <c r="I1226" i="5" s="1"/>
  <c r="D1226" i="5"/>
  <c r="N1225" i="5"/>
  <c r="L1225" i="5"/>
  <c r="H1225" i="5"/>
  <c r="G1225" i="5"/>
  <c r="I1225" i="5" s="1"/>
  <c r="D1225" i="5"/>
  <c r="N1224" i="5"/>
  <c r="L1224" i="5"/>
  <c r="H1224" i="5"/>
  <c r="G1224" i="5"/>
  <c r="I1224" i="5" s="1"/>
  <c r="D1224" i="5"/>
  <c r="N1223" i="5"/>
  <c r="L1223" i="5"/>
  <c r="I1223" i="5"/>
  <c r="H1223" i="5"/>
  <c r="G1223" i="5"/>
  <c r="D1223" i="5"/>
  <c r="N1222" i="5"/>
  <c r="L1222" i="5"/>
  <c r="H1222" i="5"/>
  <c r="G1222" i="5"/>
  <c r="I1222" i="5" s="1"/>
  <c r="D1222" i="5"/>
  <c r="N1221" i="5"/>
  <c r="L1221" i="5"/>
  <c r="H1221" i="5"/>
  <c r="G1221" i="5"/>
  <c r="I1221" i="5" s="1"/>
  <c r="D1221" i="5"/>
  <c r="N1220" i="5"/>
  <c r="L1220" i="5"/>
  <c r="H1220" i="5"/>
  <c r="G1220" i="5"/>
  <c r="I1220" i="5" s="1"/>
  <c r="D1220" i="5"/>
  <c r="N1219" i="5"/>
  <c r="L1219" i="5"/>
  <c r="I1219" i="5"/>
  <c r="H1219" i="5"/>
  <c r="G1219" i="5"/>
  <c r="D1219" i="5"/>
  <c r="N1218" i="5"/>
  <c r="L1218" i="5"/>
  <c r="H1218" i="5"/>
  <c r="G1218" i="5"/>
  <c r="I1218" i="5" s="1"/>
  <c r="D1218" i="5"/>
  <c r="N1217" i="5"/>
  <c r="L1217" i="5"/>
  <c r="H1217" i="5"/>
  <c r="G1217" i="5"/>
  <c r="I1217" i="5" s="1"/>
  <c r="D1217" i="5"/>
  <c r="N1216" i="5"/>
  <c r="L1216" i="5"/>
  <c r="H1216" i="5"/>
  <c r="G1216" i="5"/>
  <c r="I1216" i="5" s="1"/>
  <c r="D1216" i="5"/>
  <c r="N1215" i="5"/>
  <c r="L1215" i="5"/>
  <c r="I1215" i="5"/>
  <c r="H1215" i="5"/>
  <c r="G1215" i="5"/>
  <c r="D1215" i="5"/>
  <c r="N1214" i="5"/>
  <c r="L1214" i="5"/>
  <c r="H1214" i="5"/>
  <c r="G1214" i="5"/>
  <c r="I1214" i="5" s="1"/>
  <c r="D1214" i="5"/>
  <c r="N1213" i="5"/>
  <c r="L1213" i="5"/>
  <c r="H1213" i="5"/>
  <c r="G1213" i="5"/>
  <c r="I1213" i="5" s="1"/>
  <c r="D1213" i="5"/>
  <c r="N1212" i="5"/>
  <c r="L1212" i="5"/>
  <c r="H1212" i="5"/>
  <c r="G1212" i="5"/>
  <c r="I1212" i="5" s="1"/>
  <c r="D1212" i="5"/>
  <c r="N1211" i="5"/>
  <c r="L1211" i="5"/>
  <c r="I1211" i="5"/>
  <c r="H1211" i="5"/>
  <c r="G1211" i="5"/>
  <c r="D1211" i="5"/>
  <c r="N1210" i="5"/>
  <c r="L1210" i="5"/>
  <c r="H1210" i="5"/>
  <c r="G1210" i="5"/>
  <c r="I1210" i="5" s="1"/>
  <c r="D1210" i="5"/>
  <c r="N1209" i="5"/>
  <c r="L1209" i="5"/>
  <c r="H1209" i="5"/>
  <c r="G1209" i="5"/>
  <c r="I1209" i="5" s="1"/>
  <c r="D1209" i="5"/>
  <c r="N1208" i="5"/>
  <c r="L1208" i="5"/>
  <c r="H1208" i="5"/>
  <c r="G1208" i="5"/>
  <c r="I1208" i="5" s="1"/>
  <c r="D1208" i="5"/>
  <c r="N1207" i="5"/>
  <c r="L1207" i="5"/>
  <c r="I1207" i="5"/>
  <c r="H1207" i="5"/>
  <c r="G1207" i="5"/>
  <c r="D1207" i="5"/>
  <c r="N1206" i="5"/>
  <c r="L1206" i="5"/>
  <c r="H1206" i="5"/>
  <c r="G1206" i="5"/>
  <c r="I1206" i="5" s="1"/>
  <c r="D1206" i="5"/>
  <c r="N1205" i="5"/>
  <c r="L1205" i="5"/>
  <c r="H1205" i="5"/>
  <c r="G1205" i="5"/>
  <c r="I1205" i="5" s="1"/>
  <c r="D1205" i="5"/>
  <c r="N1204" i="5"/>
  <c r="L1204" i="5"/>
  <c r="H1204" i="5"/>
  <c r="G1204" i="5"/>
  <c r="I1204" i="5" s="1"/>
  <c r="D1204" i="5"/>
  <c r="N1203" i="5"/>
  <c r="L1203" i="5"/>
  <c r="I1203" i="5"/>
  <c r="H1203" i="5"/>
  <c r="G1203" i="5"/>
  <c r="D1203" i="5"/>
  <c r="N1202" i="5"/>
  <c r="L1202" i="5"/>
  <c r="H1202" i="5"/>
  <c r="G1202" i="5"/>
  <c r="I1202" i="5" s="1"/>
  <c r="D1202" i="5"/>
  <c r="N1201" i="5"/>
  <c r="L1201" i="5"/>
  <c r="H1201" i="5"/>
  <c r="G1201" i="5"/>
  <c r="I1201" i="5" s="1"/>
  <c r="D1201" i="5"/>
  <c r="N1200" i="5"/>
  <c r="L1200" i="5"/>
  <c r="H1200" i="5"/>
  <c r="G1200" i="5"/>
  <c r="I1200" i="5" s="1"/>
  <c r="D1200" i="5"/>
  <c r="N1199" i="5"/>
  <c r="L1199" i="5"/>
  <c r="I1199" i="5"/>
  <c r="H1199" i="5"/>
  <c r="G1199" i="5"/>
  <c r="D1199" i="5"/>
  <c r="N1198" i="5"/>
  <c r="L1198" i="5"/>
  <c r="H1198" i="5"/>
  <c r="G1198" i="5"/>
  <c r="I1198" i="5" s="1"/>
  <c r="D1198" i="5"/>
  <c r="N1197" i="5"/>
  <c r="L1197" i="5"/>
  <c r="H1197" i="5"/>
  <c r="G1197" i="5"/>
  <c r="I1197" i="5" s="1"/>
  <c r="D1197" i="5"/>
  <c r="N1196" i="5"/>
  <c r="L1196" i="5"/>
  <c r="H1196" i="5"/>
  <c r="G1196" i="5"/>
  <c r="I1196" i="5" s="1"/>
  <c r="D1196" i="5"/>
  <c r="N1195" i="5"/>
  <c r="L1195" i="5"/>
  <c r="I1195" i="5"/>
  <c r="H1195" i="5"/>
  <c r="G1195" i="5"/>
  <c r="D1195" i="5"/>
  <c r="N1194" i="5"/>
  <c r="L1194" i="5"/>
  <c r="H1194" i="5"/>
  <c r="G1194" i="5"/>
  <c r="I1194" i="5" s="1"/>
  <c r="D1194" i="5"/>
  <c r="N1193" i="5"/>
  <c r="L1193" i="5"/>
  <c r="H1193" i="5"/>
  <c r="G1193" i="5"/>
  <c r="I1193" i="5" s="1"/>
  <c r="D1193" i="5"/>
  <c r="N1192" i="5"/>
  <c r="L1192" i="5"/>
  <c r="H1192" i="5"/>
  <c r="G1192" i="5"/>
  <c r="I1192" i="5" s="1"/>
  <c r="D1192" i="5"/>
  <c r="N1191" i="5"/>
  <c r="L1191" i="5"/>
  <c r="I1191" i="5"/>
  <c r="H1191" i="5"/>
  <c r="G1191" i="5"/>
  <c r="D1191" i="5"/>
  <c r="N1190" i="5"/>
  <c r="L1190" i="5"/>
  <c r="H1190" i="5"/>
  <c r="G1190" i="5"/>
  <c r="I1190" i="5" s="1"/>
  <c r="D1190" i="5"/>
  <c r="N1189" i="5"/>
  <c r="L1189" i="5"/>
  <c r="H1189" i="5"/>
  <c r="G1189" i="5"/>
  <c r="I1189" i="5" s="1"/>
  <c r="D1189" i="5"/>
  <c r="N1188" i="5"/>
  <c r="L1188" i="5"/>
  <c r="H1188" i="5"/>
  <c r="G1188" i="5"/>
  <c r="I1188" i="5" s="1"/>
  <c r="D1188" i="5"/>
  <c r="N1187" i="5"/>
  <c r="L1187" i="5"/>
  <c r="I1187" i="5"/>
  <c r="H1187" i="5"/>
  <c r="G1187" i="5"/>
  <c r="D1187" i="5"/>
  <c r="N1186" i="5"/>
  <c r="L1186" i="5"/>
  <c r="H1186" i="5"/>
  <c r="G1186" i="5"/>
  <c r="I1186" i="5" s="1"/>
  <c r="D1186" i="5"/>
  <c r="N1185" i="5"/>
  <c r="L1185" i="5"/>
  <c r="H1185" i="5"/>
  <c r="G1185" i="5"/>
  <c r="I1185" i="5" s="1"/>
  <c r="D1185" i="5"/>
  <c r="N1184" i="5"/>
  <c r="L1184" i="5"/>
  <c r="H1184" i="5"/>
  <c r="G1184" i="5"/>
  <c r="I1184" i="5" s="1"/>
  <c r="D1184" i="5"/>
  <c r="N1183" i="5"/>
  <c r="L1183" i="5"/>
  <c r="I1183" i="5"/>
  <c r="H1183" i="5"/>
  <c r="G1183" i="5"/>
  <c r="D1183" i="5"/>
  <c r="N1182" i="5"/>
  <c r="L1182" i="5"/>
  <c r="H1182" i="5"/>
  <c r="G1182" i="5"/>
  <c r="I1182" i="5" s="1"/>
  <c r="D1182" i="5"/>
  <c r="N1181" i="5"/>
  <c r="L1181" i="5"/>
  <c r="H1181" i="5"/>
  <c r="G1181" i="5"/>
  <c r="I1181" i="5" s="1"/>
  <c r="D1181" i="5"/>
  <c r="N1180" i="5"/>
  <c r="L1180" i="5"/>
  <c r="H1180" i="5"/>
  <c r="G1180" i="5"/>
  <c r="I1180" i="5" s="1"/>
  <c r="D1180" i="5"/>
  <c r="N1179" i="5"/>
  <c r="L1179" i="5"/>
  <c r="I1179" i="5"/>
  <c r="H1179" i="5"/>
  <c r="G1179" i="5"/>
  <c r="D1179" i="5"/>
  <c r="N1178" i="5"/>
  <c r="L1178" i="5"/>
  <c r="H1178" i="5"/>
  <c r="G1178" i="5"/>
  <c r="I1178" i="5" s="1"/>
  <c r="D1178" i="5"/>
  <c r="N1177" i="5"/>
  <c r="L1177" i="5"/>
  <c r="H1177" i="5"/>
  <c r="G1177" i="5"/>
  <c r="I1177" i="5" s="1"/>
  <c r="D1177" i="5"/>
  <c r="N1176" i="5"/>
  <c r="L1176" i="5"/>
  <c r="H1176" i="5"/>
  <c r="G1176" i="5"/>
  <c r="I1176" i="5" s="1"/>
  <c r="D1176" i="5"/>
  <c r="N1175" i="5"/>
  <c r="L1175" i="5"/>
  <c r="I1175" i="5"/>
  <c r="H1175" i="5"/>
  <c r="G1175" i="5"/>
  <c r="D1175" i="5"/>
  <c r="N1174" i="5"/>
  <c r="L1174" i="5"/>
  <c r="H1174" i="5"/>
  <c r="G1174" i="5"/>
  <c r="I1174" i="5" s="1"/>
  <c r="D1174" i="5"/>
  <c r="N1173" i="5"/>
  <c r="L1173" i="5"/>
  <c r="H1173" i="5"/>
  <c r="G1173" i="5"/>
  <c r="I1173" i="5" s="1"/>
  <c r="D1173" i="5"/>
  <c r="N1172" i="5"/>
  <c r="L1172" i="5"/>
  <c r="H1172" i="5"/>
  <c r="G1172" i="5"/>
  <c r="I1172" i="5" s="1"/>
  <c r="D1172" i="5"/>
  <c r="N1171" i="5"/>
  <c r="L1171" i="5"/>
  <c r="I1171" i="5"/>
  <c r="H1171" i="5"/>
  <c r="G1171" i="5"/>
  <c r="D1171" i="5"/>
  <c r="N1170" i="5"/>
  <c r="L1170" i="5"/>
  <c r="H1170" i="5"/>
  <c r="G1170" i="5"/>
  <c r="I1170" i="5" s="1"/>
  <c r="D1170" i="5"/>
  <c r="N1169" i="5"/>
  <c r="L1169" i="5"/>
  <c r="H1169" i="5"/>
  <c r="G1169" i="5"/>
  <c r="I1169" i="5" s="1"/>
  <c r="D1169" i="5"/>
  <c r="N1168" i="5"/>
  <c r="L1168" i="5"/>
  <c r="H1168" i="5"/>
  <c r="G1168" i="5"/>
  <c r="I1168" i="5" s="1"/>
  <c r="D1168" i="5"/>
  <c r="N1167" i="5"/>
  <c r="L1167" i="5"/>
  <c r="I1167" i="5"/>
  <c r="H1167" i="5"/>
  <c r="G1167" i="5"/>
  <c r="D1167" i="5"/>
  <c r="N1166" i="5"/>
  <c r="L1166" i="5"/>
  <c r="H1166" i="5"/>
  <c r="G1166" i="5"/>
  <c r="I1166" i="5" s="1"/>
  <c r="D1166" i="5"/>
  <c r="N1165" i="5"/>
  <c r="L1165" i="5"/>
  <c r="H1165" i="5"/>
  <c r="G1165" i="5"/>
  <c r="I1165" i="5" s="1"/>
  <c r="D1165" i="5"/>
  <c r="N1164" i="5"/>
  <c r="L1164" i="5"/>
  <c r="H1164" i="5"/>
  <c r="G1164" i="5"/>
  <c r="I1164" i="5" s="1"/>
  <c r="D1164" i="5"/>
  <c r="N1163" i="5"/>
  <c r="L1163" i="5"/>
  <c r="I1163" i="5"/>
  <c r="H1163" i="5"/>
  <c r="G1163" i="5"/>
  <c r="D1163" i="5"/>
  <c r="N1162" i="5"/>
  <c r="L1162" i="5"/>
  <c r="H1162" i="5"/>
  <c r="G1162" i="5"/>
  <c r="I1162" i="5" s="1"/>
  <c r="D1162" i="5"/>
  <c r="N1161" i="5"/>
  <c r="L1161" i="5"/>
  <c r="H1161" i="5"/>
  <c r="G1161" i="5"/>
  <c r="I1161" i="5" s="1"/>
  <c r="D1161" i="5"/>
  <c r="N1160" i="5"/>
  <c r="L1160" i="5"/>
  <c r="H1160" i="5"/>
  <c r="G1160" i="5"/>
  <c r="I1160" i="5" s="1"/>
  <c r="D1160" i="5"/>
  <c r="N1159" i="5"/>
  <c r="L1159" i="5"/>
  <c r="I1159" i="5"/>
  <c r="H1159" i="5"/>
  <c r="G1159" i="5"/>
  <c r="D1159" i="5"/>
  <c r="N1158" i="5"/>
  <c r="L1158" i="5"/>
  <c r="H1158" i="5"/>
  <c r="G1158" i="5"/>
  <c r="I1158" i="5" s="1"/>
  <c r="D1158" i="5"/>
  <c r="N1157" i="5"/>
  <c r="L1157" i="5"/>
  <c r="H1157" i="5"/>
  <c r="G1157" i="5"/>
  <c r="I1157" i="5" s="1"/>
  <c r="D1157" i="5"/>
  <c r="N1156" i="5"/>
  <c r="L1156" i="5"/>
  <c r="H1156" i="5"/>
  <c r="G1156" i="5"/>
  <c r="I1156" i="5" s="1"/>
  <c r="D1156" i="5"/>
  <c r="N1155" i="5"/>
  <c r="L1155" i="5"/>
  <c r="I1155" i="5"/>
  <c r="H1155" i="5"/>
  <c r="G1155" i="5"/>
  <c r="D1155" i="5"/>
  <c r="N1154" i="5"/>
  <c r="L1154" i="5"/>
  <c r="H1154" i="5"/>
  <c r="G1154" i="5"/>
  <c r="I1154" i="5" s="1"/>
  <c r="D1154" i="5"/>
  <c r="N1153" i="5"/>
  <c r="L1153" i="5"/>
  <c r="H1153" i="5"/>
  <c r="G1153" i="5"/>
  <c r="I1153" i="5" s="1"/>
  <c r="D1153" i="5"/>
  <c r="N1152" i="5"/>
  <c r="L1152" i="5"/>
  <c r="H1152" i="5"/>
  <c r="G1152" i="5"/>
  <c r="I1152" i="5" s="1"/>
  <c r="D1152" i="5"/>
  <c r="N1151" i="5"/>
  <c r="L1151" i="5"/>
  <c r="I1151" i="5"/>
  <c r="H1151" i="5"/>
  <c r="G1151" i="5"/>
  <c r="D1151" i="5"/>
  <c r="N1150" i="5"/>
  <c r="L1150" i="5"/>
  <c r="H1150" i="5"/>
  <c r="G1150" i="5"/>
  <c r="I1150" i="5" s="1"/>
  <c r="D1150" i="5"/>
  <c r="N1149" i="5"/>
  <c r="L1149" i="5"/>
  <c r="H1149" i="5"/>
  <c r="G1149" i="5"/>
  <c r="I1149" i="5" s="1"/>
  <c r="D1149" i="5"/>
  <c r="N1148" i="5"/>
  <c r="L1148" i="5"/>
  <c r="H1148" i="5"/>
  <c r="G1148" i="5"/>
  <c r="I1148" i="5" s="1"/>
  <c r="D1148" i="5"/>
  <c r="N1147" i="5"/>
  <c r="L1147" i="5"/>
  <c r="I1147" i="5"/>
  <c r="H1147" i="5"/>
  <c r="G1147" i="5"/>
  <c r="D1147" i="5"/>
  <c r="N1146" i="5"/>
  <c r="L1146" i="5"/>
  <c r="H1146" i="5"/>
  <c r="G1146" i="5"/>
  <c r="I1146" i="5" s="1"/>
  <c r="D1146" i="5"/>
  <c r="N1145" i="5"/>
  <c r="L1145" i="5"/>
  <c r="H1145" i="5"/>
  <c r="G1145" i="5"/>
  <c r="I1145" i="5" s="1"/>
  <c r="D1145" i="5"/>
  <c r="N1144" i="5"/>
  <c r="L1144" i="5"/>
  <c r="H1144" i="5"/>
  <c r="G1144" i="5"/>
  <c r="I1144" i="5" s="1"/>
  <c r="D1144" i="5"/>
  <c r="N1143" i="5"/>
  <c r="L1143" i="5"/>
  <c r="I1143" i="5"/>
  <c r="H1143" i="5"/>
  <c r="G1143" i="5"/>
  <c r="D1143" i="5"/>
  <c r="N1142" i="5"/>
  <c r="L1142" i="5"/>
  <c r="H1142" i="5"/>
  <c r="G1142" i="5"/>
  <c r="I1142" i="5" s="1"/>
  <c r="D1142" i="5"/>
  <c r="N1141" i="5"/>
  <c r="L1141" i="5"/>
  <c r="H1141" i="5"/>
  <c r="G1141" i="5"/>
  <c r="I1141" i="5" s="1"/>
  <c r="D1141" i="5"/>
  <c r="N1140" i="5"/>
  <c r="L1140" i="5"/>
  <c r="H1140" i="5"/>
  <c r="G1140" i="5"/>
  <c r="I1140" i="5" s="1"/>
  <c r="D1140" i="5"/>
  <c r="N1139" i="5"/>
  <c r="L1139" i="5"/>
  <c r="I1139" i="5"/>
  <c r="H1139" i="5"/>
  <c r="G1139" i="5"/>
  <c r="D1139" i="5"/>
  <c r="N1138" i="5"/>
  <c r="L1138" i="5"/>
  <c r="H1138" i="5"/>
  <c r="G1138" i="5"/>
  <c r="I1138" i="5" s="1"/>
  <c r="D1138" i="5"/>
  <c r="N1137" i="5"/>
  <c r="L1137" i="5"/>
  <c r="H1137" i="5"/>
  <c r="G1137" i="5"/>
  <c r="I1137" i="5" s="1"/>
  <c r="D1137" i="5"/>
  <c r="N1136" i="5"/>
  <c r="L1136" i="5"/>
  <c r="H1136" i="5"/>
  <c r="G1136" i="5"/>
  <c r="I1136" i="5" s="1"/>
  <c r="D1136" i="5"/>
  <c r="N1135" i="5"/>
  <c r="L1135" i="5"/>
  <c r="I1135" i="5"/>
  <c r="H1135" i="5"/>
  <c r="G1135" i="5"/>
  <c r="D1135" i="5"/>
  <c r="N1134" i="5"/>
  <c r="L1134" i="5"/>
  <c r="H1134" i="5"/>
  <c r="G1134" i="5"/>
  <c r="I1134" i="5" s="1"/>
  <c r="D1134" i="5"/>
  <c r="N1133" i="5"/>
  <c r="L1133" i="5"/>
  <c r="H1133" i="5"/>
  <c r="G1133" i="5"/>
  <c r="I1133" i="5" s="1"/>
  <c r="D1133" i="5"/>
  <c r="N1132" i="5"/>
  <c r="L1132" i="5"/>
  <c r="H1132" i="5"/>
  <c r="G1132" i="5"/>
  <c r="I1132" i="5" s="1"/>
  <c r="D1132" i="5"/>
  <c r="N1131" i="5"/>
  <c r="L1131" i="5"/>
  <c r="I1131" i="5"/>
  <c r="H1131" i="5"/>
  <c r="G1131" i="5"/>
  <c r="D1131" i="5"/>
  <c r="N1130" i="5"/>
  <c r="L1130" i="5"/>
  <c r="H1130" i="5"/>
  <c r="G1130" i="5"/>
  <c r="I1130" i="5" s="1"/>
  <c r="D1130" i="5"/>
  <c r="N1129" i="5"/>
  <c r="L1129" i="5"/>
  <c r="H1129" i="5"/>
  <c r="G1129" i="5"/>
  <c r="I1129" i="5" s="1"/>
  <c r="D1129" i="5"/>
  <c r="N1128" i="5"/>
  <c r="L1128" i="5"/>
  <c r="H1128" i="5"/>
  <c r="G1128" i="5"/>
  <c r="I1128" i="5" s="1"/>
  <c r="D1128" i="5"/>
  <c r="N1127" i="5"/>
  <c r="L1127" i="5"/>
  <c r="I1127" i="5"/>
  <c r="H1127" i="5"/>
  <c r="G1127" i="5"/>
  <c r="D1127" i="5"/>
  <c r="N1126" i="5"/>
  <c r="L1126" i="5"/>
  <c r="H1126" i="5"/>
  <c r="G1126" i="5"/>
  <c r="I1126" i="5" s="1"/>
  <c r="D1126" i="5"/>
  <c r="N1125" i="5"/>
  <c r="L1125" i="5"/>
  <c r="H1125" i="5"/>
  <c r="G1125" i="5"/>
  <c r="I1125" i="5" s="1"/>
  <c r="D1125" i="5"/>
  <c r="N1124" i="5"/>
  <c r="L1124" i="5"/>
  <c r="H1124" i="5"/>
  <c r="G1124" i="5"/>
  <c r="I1124" i="5" s="1"/>
  <c r="D1124" i="5"/>
  <c r="N1123" i="5"/>
  <c r="L1123" i="5"/>
  <c r="I1123" i="5"/>
  <c r="H1123" i="5"/>
  <c r="G1123" i="5"/>
  <c r="D1123" i="5"/>
  <c r="N1122" i="5"/>
  <c r="L1122" i="5"/>
  <c r="H1122" i="5"/>
  <c r="G1122" i="5"/>
  <c r="I1122" i="5" s="1"/>
  <c r="D1122" i="5"/>
  <c r="N1121" i="5"/>
  <c r="L1121" i="5"/>
  <c r="H1121" i="5"/>
  <c r="G1121" i="5"/>
  <c r="I1121" i="5" s="1"/>
  <c r="D1121" i="5"/>
  <c r="N1120" i="5"/>
  <c r="L1120" i="5"/>
  <c r="H1120" i="5"/>
  <c r="G1120" i="5"/>
  <c r="I1120" i="5" s="1"/>
  <c r="D1120" i="5"/>
  <c r="N1119" i="5"/>
  <c r="L1119" i="5"/>
  <c r="I1119" i="5"/>
  <c r="H1119" i="5"/>
  <c r="G1119" i="5"/>
  <c r="D1119" i="5"/>
  <c r="N1118" i="5"/>
  <c r="L1118" i="5"/>
  <c r="H1118" i="5"/>
  <c r="G1118" i="5"/>
  <c r="I1118" i="5" s="1"/>
  <c r="D1118" i="5"/>
  <c r="N1117" i="5"/>
  <c r="L1117" i="5"/>
  <c r="H1117" i="5"/>
  <c r="G1117" i="5"/>
  <c r="I1117" i="5" s="1"/>
  <c r="D1117" i="5"/>
  <c r="N1116" i="5"/>
  <c r="L1116" i="5"/>
  <c r="H1116" i="5"/>
  <c r="G1116" i="5"/>
  <c r="I1116" i="5" s="1"/>
  <c r="D1116" i="5"/>
  <c r="N1115" i="5"/>
  <c r="L1115" i="5"/>
  <c r="I1115" i="5"/>
  <c r="H1115" i="5"/>
  <c r="G1115" i="5"/>
  <c r="D1115" i="5"/>
  <c r="N1114" i="5"/>
  <c r="L1114" i="5"/>
  <c r="H1114" i="5"/>
  <c r="G1114" i="5"/>
  <c r="I1114" i="5" s="1"/>
  <c r="D1114" i="5"/>
  <c r="N1113" i="5"/>
  <c r="L1113" i="5"/>
  <c r="H1113" i="5"/>
  <c r="G1113" i="5"/>
  <c r="I1113" i="5" s="1"/>
  <c r="D1113" i="5"/>
  <c r="N1112" i="5"/>
  <c r="L1112" i="5"/>
  <c r="H1112" i="5"/>
  <c r="G1112" i="5"/>
  <c r="I1112" i="5" s="1"/>
  <c r="D1112" i="5"/>
  <c r="N1111" i="5"/>
  <c r="L1111" i="5"/>
  <c r="I1111" i="5"/>
  <c r="H1111" i="5"/>
  <c r="G1111" i="5"/>
  <c r="D1111" i="5"/>
  <c r="N1110" i="5"/>
  <c r="L1110" i="5"/>
  <c r="H1110" i="5"/>
  <c r="G1110" i="5"/>
  <c r="I1110" i="5" s="1"/>
  <c r="D1110" i="5"/>
  <c r="N1109" i="5"/>
  <c r="L1109" i="5"/>
  <c r="H1109" i="5"/>
  <c r="G1109" i="5"/>
  <c r="I1109" i="5" s="1"/>
  <c r="D1109" i="5"/>
  <c r="N1108" i="5"/>
  <c r="L1108" i="5"/>
  <c r="H1108" i="5"/>
  <c r="G1108" i="5"/>
  <c r="I1108" i="5" s="1"/>
  <c r="D1108" i="5"/>
  <c r="N1107" i="5"/>
  <c r="L1107" i="5"/>
  <c r="I1107" i="5"/>
  <c r="H1107" i="5"/>
  <c r="G1107" i="5"/>
  <c r="D1107" i="5"/>
  <c r="N1106" i="5"/>
  <c r="L1106" i="5"/>
  <c r="H1106" i="5"/>
  <c r="G1106" i="5"/>
  <c r="I1106" i="5" s="1"/>
  <c r="D1106" i="5"/>
  <c r="N1105" i="5"/>
  <c r="L1105" i="5"/>
  <c r="H1105" i="5"/>
  <c r="G1105" i="5"/>
  <c r="I1105" i="5" s="1"/>
  <c r="D1105" i="5"/>
  <c r="N1104" i="5"/>
  <c r="L1104" i="5"/>
  <c r="H1104" i="5"/>
  <c r="G1104" i="5"/>
  <c r="I1104" i="5" s="1"/>
  <c r="D1104" i="5"/>
  <c r="N1103" i="5"/>
  <c r="L1103" i="5"/>
  <c r="I1103" i="5"/>
  <c r="H1103" i="5"/>
  <c r="G1103" i="5"/>
  <c r="D1103" i="5"/>
  <c r="N1102" i="5"/>
  <c r="L1102" i="5"/>
  <c r="H1102" i="5"/>
  <c r="G1102" i="5"/>
  <c r="I1102" i="5" s="1"/>
  <c r="D1102" i="5"/>
  <c r="N1101" i="5"/>
  <c r="L1101" i="5"/>
  <c r="H1101" i="5"/>
  <c r="G1101" i="5"/>
  <c r="I1101" i="5" s="1"/>
  <c r="D1101" i="5"/>
  <c r="N1100" i="5"/>
  <c r="L1100" i="5"/>
  <c r="H1100" i="5"/>
  <c r="G1100" i="5"/>
  <c r="I1100" i="5" s="1"/>
  <c r="D1100" i="5"/>
  <c r="N1099" i="5"/>
  <c r="L1099" i="5"/>
  <c r="I1099" i="5"/>
  <c r="H1099" i="5"/>
  <c r="G1099" i="5"/>
  <c r="D1099" i="5"/>
  <c r="N1098" i="5"/>
  <c r="L1098" i="5"/>
  <c r="H1098" i="5"/>
  <c r="G1098" i="5"/>
  <c r="I1098" i="5" s="1"/>
  <c r="D1098" i="5"/>
  <c r="N1097" i="5"/>
  <c r="L1097" i="5"/>
  <c r="H1097" i="5"/>
  <c r="G1097" i="5"/>
  <c r="I1097" i="5" s="1"/>
  <c r="D1097" i="5"/>
  <c r="N1096" i="5"/>
  <c r="L1096" i="5"/>
  <c r="H1096" i="5"/>
  <c r="G1096" i="5"/>
  <c r="I1096" i="5" s="1"/>
  <c r="D1096" i="5"/>
  <c r="N1095" i="5"/>
  <c r="L1095" i="5"/>
  <c r="I1095" i="5"/>
  <c r="H1095" i="5"/>
  <c r="G1095" i="5"/>
  <c r="D1095" i="5"/>
  <c r="N1094" i="5"/>
  <c r="L1094" i="5"/>
  <c r="H1094" i="5"/>
  <c r="G1094" i="5"/>
  <c r="I1094" i="5" s="1"/>
  <c r="D1094" i="5"/>
  <c r="N1093" i="5"/>
  <c r="L1093" i="5"/>
  <c r="H1093" i="5"/>
  <c r="G1093" i="5"/>
  <c r="I1093" i="5" s="1"/>
  <c r="D1093" i="5"/>
  <c r="N1092" i="5"/>
  <c r="L1092" i="5"/>
  <c r="H1092" i="5"/>
  <c r="G1092" i="5"/>
  <c r="I1092" i="5" s="1"/>
  <c r="D1092" i="5"/>
  <c r="N1091" i="5"/>
  <c r="L1091" i="5"/>
  <c r="I1091" i="5"/>
  <c r="H1091" i="5"/>
  <c r="G1091" i="5"/>
  <c r="D1091" i="5"/>
  <c r="N1090" i="5"/>
  <c r="L1090" i="5"/>
  <c r="H1090" i="5"/>
  <c r="G1090" i="5"/>
  <c r="I1090" i="5" s="1"/>
  <c r="D1090" i="5"/>
  <c r="N1089" i="5"/>
  <c r="L1089" i="5"/>
  <c r="H1089" i="5"/>
  <c r="G1089" i="5"/>
  <c r="I1089" i="5" s="1"/>
  <c r="D1089" i="5"/>
  <c r="N1088" i="5"/>
  <c r="L1088" i="5"/>
  <c r="H1088" i="5"/>
  <c r="G1088" i="5"/>
  <c r="I1088" i="5" s="1"/>
  <c r="D1088" i="5"/>
  <c r="N1087" i="5"/>
  <c r="L1087" i="5"/>
  <c r="I1087" i="5"/>
  <c r="H1087" i="5"/>
  <c r="G1087" i="5"/>
  <c r="D1087" i="5"/>
  <c r="N1086" i="5"/>
  <c r="L1086" i="5"/>
  <c r="H1086" i="5"/>
  <c r="G1086" i="5"/>
  <c r="I1086" i="5" s="1"/>
  <c r="D1086" i="5"/>
  <c r="N1085" i="5"/>
  <c r="L1085" i="5"/>
  <c r="H1085" i="5"/>
  <c r="G1085" i="5"/>
  <c r="I1085" i="5" s="1"/>
  <c r="D1085" i="5"/>
  <c r="N1084" i="5"/>
  <c r="L1084" i="5"/>
  <c r="H1084" i="5"/>
  <c r="G1084" i="5"/>
  <c r="I1084" i="5" s="1"/>
  <c r="D1084" i="5"/>
  <c r="N1083" i="5"/>
  <c r="L1083" i="5"/>
  <c r="I1083" i="5"/>
  <c r="H1083" i="5"/>
  <c r="G1083" i="5"/>
  <c r="D1083" i="5"/>
  <c r="N1082" i="5"/>
  <c r="L1082" i="5"/>
  <c r="H1082" i="5"/>
  <c r="G1082" i="5"/>
  <c r="I1082" i="5" s="1"/>
  <c r="D1082" i="5"/>
  <c r="N1081" i="5"/>
  <c r="L1081" i="5"/>
  <c r="H1081" i="5"/>
  <c r="G1081" i="5"/>
  <c r="I1081" i="5" s="1"/>
  <c r="D1081" i="5"/>
  <c r="N1080" i="5"/>
  <c r="L1080" i="5"/>
  <c r="H1080" i="5"/>
  <c r="G1080" i="5"/>
  <c r="I1080" i="5" s="1"/>
  <c r="D1080" i="5"/>
  <c r="N1079" i="5"/>
  <c r="L1079" i="5"/>
  <c r="I1079" i="5"/>
  <c r="H1079" i="5"/>
  <c r="G1079" i="5"/>
  <c r="D1079" i="5"/>
  <c r="N1078" i="5"/>
  <c r="L1078" i="5"/>
  <c r="H1078" i="5"/>
  <c r="G1078" i="5"/>
  <c r="I1078" i="5" s="1"/>
  <c r="D1078" i="5"/>
  <c r="N1077" i="5"/>
  <c r="L1077" i="5"/>
  <c r="H1077" i="5"/>
  <c r="G1077" i="5"/>
  <c r="I1077" i="5" s="1"/>
  <c r="D1077" i="5"/>
  <c r="N1076" i="5"/>
  <c r="L1076" i="5"/>
  <c r="H1076" i="5"/>
  <c r="G1076" i="5"/>
  <c r="I1076" i="5" s="1"/>
  <c r="D1076" i="5"/>
  <c r="N1075" i="5"/>
  <c r="L1075" i="5"/>
  <c r="I1075" i="5"/>
  <c r="H1075" i="5"/>
  <c r="G1075" i="5"/>
  <c r="D1075" i="5"/>
  <c r="N1074" i="5"/>
  <c r="L1074" i="5"/>
  <c r="H1074" i="5"/>
  <c r="G1074" i="5"/>
  <c r="I1074" i="5" s="1"/>
  <c r="D1074" i="5"/>
  <c r="N1073" i="5"/>
  <c r="L1073" i="5"/>
  <c r="H1073" i="5"/>
  <c r="G1073" i="5"/>
  <c r="I1073" i="5" s="1"/>
  <c r="D1073" i="5"/>
  <c r="N1072" i="5"/>
  <c r="L1072" i="5"/>
  <c r="H1072" i="5"/>
  <c r="G1072" i="5"/>
  <c r="I1072" i="5" s="1"/>
  <c r="D1072" i="5"/>
  <c r="N1071" i="5"/>
  <c r="L1071" i="5"/>
  <c r="I1071" i="5"/>
  <c r="H1071" i="5"/>
  <c r="G1071" i="5"/>
  <c r="D1071" i="5"/>
  <c r="N1070" i="5"/>
  <c r="L1070" i="5"/>
  <c r="H1070" i="5"/>
  <c r="G1070" i="5"/>
  <c r="I1070" i="5" s="1"/>
  <c r="D1070" i="5"/>
  <c r="N1069" i="5"/>
  <c r="L1069" i="5"/>
  <c r="H1069" i="5"/>
  <c r="G1069" i="5"/>
  <c r="I1069" i="5" s="1"/>
  <c r="D1069" i="5"/>
  <c r="N1068" i="5"/>
  <c r="L1068" i="5"/>
  <c r="H1068" i="5"/>
  <c r="G1068" i="5"/>
  <c r="I1068" i="5" s="1"/>
  <c r="D1068" i="5"/>
  <c r="N1067" i="5"/>
  <c r="L1067" i="5"/>
  <c r="I1067" i="5"/>
  <c r="H1067" i="5"/>
  <c r="G1067" i="5"/>
  <c r="D1067" i="5"/>
  <c r="N1066" i="5"/>
  <c r="L1066" i="5"/>
  <c r="H1066" i="5"/>
  <c r="G1066" i="5"/>
  <c r="I1066" i="5" s="1"/>
  <c r="D1066" i="5"/>
  <c r="N1065" i="5"/>
  <c r="L1065" i="5"/>
  <c r="H1065" i="5"/>
  <c r="G1065" i="5"/>
  <c r="I1065" i="5" s="1"/>
  <c r="D1065" i="5"/>
  <c r="N1064" i="5"/>
  <c r="L1064" i="5"/>
  <c r="H1064" i="5"/>
  <c r="G1064" i="5"/>
  <c r="I1064" i="5" s="1"/>
  <c r="D1064" i="5"/>
  <c r="N1063" i="5"/>
  <c r="L1063" i="5"/>
  <c r="I1063" i="5"/>
  <c r="H1063" i="5"/>
  <c r="G1063" i="5"/>
  <c r="D1063" i="5"/>
  <c r="N1062" i="5"/>
  <c r="L1062" i="5"/>
  <c r="H1062" i="5"/>
  <c r="G1062" i="5"/>
  <c r="I1062" i="5" s="1"/>
  <c r="D1062" i="5"/>
  <c r="N1061" i="5"/>
  <c r="L1061" i="5"/>
  <c r="H1061" i="5"/>
  <c r="G1061" i="5"/>
  <c r="I1061" i="5" s="1"/>
  <c r="D1061" i="5"/>
  <c r="N1060" i="5"/>
  <c r="L1060" i="5"/>
  <c r="H1060" i="5"/>
  <c r="G1060" i="5"/>
  <c r="I1060" i="5" s="1"/>
  <c r="D1060" i="5"/>
  <c r="N1059" i="5"/>
  <c r="L1059" i="5"/>
  <c r="I1059" i="5"/>
  <c r="H1059" i="5"/>
  <c r="G1059" i="5"/>
  <c r="D1059" i="5"/>
  <c r="N1058" i="5"/>
  <c r="L1058" i="5"/>
  <c r="H1058" i="5"/>
  <c r="G1058" i="5"/>
  <c r="I1058" i="5" s="1"/>
  <c r="D1058" i="5"/>
  <c r="N1057" i="5"/>
  <c r="L1057" i="5"/>
  <c r="H1057" i="5"/>
  <c r="G1057" i="5"/>
  <c r="I1057" i="5" s="1"/>
  <c r="D1057" i="5"/>
  <c r="N1056" i="5"/>
  <c r="L1056" i="5"/>
  <c r="H1056" i="5"/>
  <c r="G1056" i="5"/>
  <c r="I1056" i="5" s="1"/>
  <c r="D1056" i="5"/>
  <c r="N1055" i="5"/>
  <c r="L1055" i="5"/>
  <c r="I1055" i="5"/>
  <c r="H1055" i="5"/>
  <c r="G1055" i="5"/>
  <c r="D1055" i="5"/>
  <c r="N1054" i="5"/>
  <c r="L1054" i="5"/>
  <c r="H1054" i="5"/>
  <c r="G1054" i="5"/>
  <c r="I1054" i="5" s="1"/>
  <c r="D1054" i="5"/>
  <c r="N1053" i="5"/>
  <c r="L1053" i="5"/>
  <c r="H1053" i="5"/>
  <c r="G1053" i="5"/>
  <c r="I1053" i="5" s="1"/>
  <c r="D1053" i="5"/>
  <c r="N1052" i="5"/>
  <c r="L1052" i="5"/>
  <c r="H1052" i="5"/>
  <c r="G1052" i="5"/>
  <c r="I1052" i="5" s="1"/>
  <c r="D1052" i="5"/>
  <c r="N1051" i="5"/>
  <c r="L1051" i="5"/>
  <c r="I1051" i="5"/>
  <c r="H1051" i="5"/>
  <c r="G1051" i="5"/>
  <c r="D1051" i="5"/>
  <c r="N1050" i="5"/>
  <c r="L1050" i="5"/>
  <c r="H1050" i="5"/>
  <c r="G1050" i="5"/>
  <c r="I1050" i="5" s="1"/>
  <c r="D1050" i="5"/>
  <c r="N1049" i="5"/>
  <c r="L1049" i="5"/>
  <c r="H1049" i="5"/>
  <c r="G1049" i="5"/>
  <c r="I1049" i="5" s="1"/>
  <c r="D1049" i="5"/>
  <c r="N1048" i="5"/>
  <c r="L1048" i="5"/>
  <c r="H1048" i="5"/>
  <c r="G1048" i="5"/>
  <c r="I1048" i="5" s="1"/>
  <c r="D1048" i="5"/>
  <c r="N1047" i="5"/>
  <c r="L1047" i="5"/>
  <c r="I1047" i="5"/>
  <c r="H1047" i="5"/>
  <c r="G1047" i="5"/>
  <c r="D1047" i="5"/>
  <c r="N1046" i="5"/>
  <c r="L1046" i="5"/>
  <c r="H1046" i="5"/>
  <c r="G1046" i="5"/>
  <c r="I1046" i="5" s="1"/>
  <c r="D1046" i="5"/>
  <c r="N1045" i="5"/>
  <c r="L1045" i="5"/>
  <c r="H1045" i="5"/>
  <c r="G1045" i="5"/>
  <c r="I1045" i="5" s="1"/>
  <c r="D1045" i="5"/>
  <c r="N1044" i="5"/>
  <c r="L1044" i="5"/>
  <c r="H1044" i="5"/>
  <c r="G1044" i="5"/>
  <c r="I1044" i="5" s="1"/>
  <c r="D1044" i="5"/>
  <c r="N1043" i="5"/>
  <c r="L1043" i="5"/>
  <c r="I1043" i="5"/>
  <c r="H1043" i="5"/>
  <c r="G1043" i="5"/>
  <c r="D1043" i="5"/>
  <c r="N1042" i="5"/>
  <c r="L1042" i="5"/>
  <c r="H1042" i="5"/>
  <c r="G1042" i="5"/>
  <c r="I1042" i="5" s="1"/>
  <c r="D1042" i="5"/>
  <c r="N1041" i="5"/>
  <c r="L1041" i="5"/>
  <c r="H1041" i="5"/>
  <c r="G1041" i="5"/>
  <c r="I1041" i="5" s="1"/>
  <c r="D1041" i="5"/>
  <c r="N1040" i="5"/>
  <c r="L1040" i="5"/>
  <c r="H1040" i="5"/>
  <c r="G1040" i="5"/>
  <c r="I1040" i="5" s="1"/>
  <c r="D1040" i="5"/>
  <c r="N1039" i="5"/>
  <c r="L1039" i="5"/>
  <c r="I1039" i="5"/>
  <c r="H1039" i="5"/>
  <c r="G1039" i="5"/>
  <c r="D1039" i="5"/>
  <c r="N1038" i="5"/>
  <c r="L1038" i="5"/>
  <c r="H1038" i="5"/>
  <c r="G1038" i="5"/>
  <c r="I1038" i="5" s="1"/>
  <c r="D1038" i="5"/>
  <c r="N1037" i="5"/>
  <c r="L1037" i="5"/>
  <c r="H1037" i="5"/>
  <c r="G1037" i="5"/>
  <c r="I1037" i="5" s="1"/>
  <c r="D1037" i="5"/>
  <c r="N1036" i="5"/>
  <c r="L1036" i="5"/>
  <c r="H1036" i="5"/>
  <c r="G1036" i="5"/>
  <c r="I1036" i="5" s="1"/>
  <c r="D1036" i="5"/>
  <c r="N1035" i="5"/>
  <c r="L1035" i="5"/>
  <c r="I1035" i="5"/>
  <c r="H1035" i="5"/>
  <c r="G1035" i="5"/>
  <c r="D1035" i="5"/>
  <c r="N1034" i="5"/>
  <c r="L1034" i="5"/>
  <c r="H1034" i="5"/>
  <c r="G1034" i="5"/>
  <c r="I1034" i="5" s="1"/>
  <c r="D1034" i="5"/>
  <c r="N1033" i="5"/>
  <c r="L1033" i="5"/>
  <c r="H1033" i="5"/>
  <c r="G1033" i="5"/>
  <c r="I1033" i="5" s="1"/>
  <c r="D1033" i="5"/>
  <c r="N1032" i="5"/>
  <c r="L1032" i="5"/>
  <c r="H1032" i="5"/>
  <c r="G1032" i="5"/>
  <c r="I1032" i="5" s="1"/>
  <c r="D1032" i="5"/>
  <c r="N1031" i="5"/>
  <c r="L1031" i="5"/>
  <c r="I1031" i="5"/>
  <c r="H1031" i="5"/>
  <c r="G1031" i="5"/>
  <c r="D1031" i="5"/>
  <c r="N1030" i="5"/>
  <c r="L1030" i="5"/>
  <c r="H1030" i="5"/>
  <c r="G1030" i="5"/>
  <c r="I1030" i="5" s="1"/>
  <c r="D1030" i="5"/>
  <c r="N1029" i="5"/>
  <c r="L1029" i="5"/>
  <c r="H1029" i="5"/>
  <c r="G1029" i="5"/>
  <c r="I1029" i="5" s="1"/>
  <c r="D1029" i="5"/>
  <c r="N1028" i="5"/>
  <c r="L1028" i="5"/>
  <c r="H1028" i="5"/>
  <c r="G1028" i="5"/>
  <c r="I1028" i="5" s="1"/>
  <c r="D1028" i="5"/>
  <c r="N1027" i="5"/>
  <c r="L1027" i="5"/>
  <c r="I1027" i="5"/>
  <c r="H1027" i="5"/>
  <c r="G1027" i="5"/>
  <c r="D1027" i="5"/>
  <c r="N1026" i="5"/>
  <c r="L1026" i="5"/>
  <c r="H1026" i="5"/>
  <c r="G1026" i="5"/>
  <c r="I1026" i="5" s="1"/>
  <c r="D1026" i="5"/>
  <c r="N1025" i="5"/>
  <c r="L1025" i="5"/>
  <c r="H1025" i="5"/>
  <c r="G1025" i="5"/>
  <c r="I1025" i="5" s="1"/>
  <c r="D1025" i="5"/>
  <c r="N1024" i="5"/>
  <c r="L1024" i="5"/>
  <c r="H1024" i="5"/>
  <c r="G1024" i="5"/>
  <c r="I1024" i="5" s="1"/>
  <c r="D1024" i="5"/>
  <c r="N1023" i="5"/>
  <c r="L1023" i="5"/>
  <c r="I1023" i="5"/>
  <c r="H1023" i="5"/>
  <c r="G1023" i="5"/>
  <c r="D1023" i="5"/>
  <c r="N1022" i="5"/>
  <c r="L1022" i="5"/>
  <c r="H1022" i="5"/>
  <c r="G1022" i="5"/>
  <c r="I1022" i="5" s="1"/>
  <c r="D1022" i="5"/>
  <c r="N1021" i="5"/>
  <c r="L1021" i="5"/>
  <c r="H1021" i="5"/>
  <c r="G1021" i="5"/>
  <c r="I1021" i="5" s="1"/>
  <c r="D1021" i="5"/>
  <c r="N1020" i="5"/>
  <c r="L1020" i="5"/>
  <c r="H1020" i="5"/>
  <c r="G1020" i="5"/>
  <c r="I1020" i="5" s="1"/>
  <c r="D1020" i="5"/>
  <c r="N1019" i="5"/>
  <c r="L1019" i="5"/>
  <c r="I1019" i="5"/>
  <c r="H1019" i="5"/>
  <c r="G1019" i="5"/>
  <c r="D1019" i="5"/>
  <c r="N1018" i="5"/>
  <c r="L1018" i="5"/>
  <c r="H1018" i="5"/>
  <c r="G1018" i="5"/>
  <c r="I1018" i="5" s="1"/>
  <c r="D1018" i="5"/>
  <c r="N1017" i="5"/>
  <c r="L1017" i="5"/>
  <c r="H1017" i="5"/>
  <c r="G1017" i="5"/>
  <c r="I1017" i="5" s="1"/>
  <c r="D1017" i="5"/>
  <c r="N1016" i="5"/>
  <c r="L1016" i="5"/>
  <c r="H1016" i="5"/>
  <c r="G1016" i="5"/>
  <c r="I1016" i="5" s="1"/>
  <c r="D1016" i="5"/>
  <c r="N1015" i="5"/>
  <c r="L1015" i="5"/>
  <c r="I1015" i="5"/>
  <c r="H1015" i="5"/>
  <c r="G1015" i="5"/>
  <c r="D1015" i="5"/>
  <c r="N1014" i="5"/>
  <c r="L1014" i="5"/>
  <c r="H1014" i="5"/>
  <c r="G1014" i="5"/>
  <c r="I1014" i="5" s="1"/>
  <c r="D1014" i="5"/>
  <c r="N1013" i="5"/>
  <c r="L1013" i="5"/>
  <c r="H1013" i="5"/>
  <c r="G1013" i="5"/>
  <c r="I1013" i="5" s="1"/>
  <c r="D1013" i="5"/>
  <c r="N1012" i="5"/>
  <c r="L1012" i="5"/>
  <c r="H1012" i="5"/>
  <c r="G1012" i="5"/>
  <c r="I1012" i="5" s="1"/>
  <c r="D1012" i="5"/>
  <c r="N1011" i="5"/>
  <c r="L1011" i="5"/>
  <c r="I1011" i="5"/>
  <c r="H1011" i="5"/>
  <c r="G1011" i="5"/>
  <c r="D1011" i="5"/>
  <c r="N1010" i="5"/>
  <c r="L1010" i="5"/>
  <c r="H1010" i="5"/>
  <c r="G1010" i="5"/>
  <c r="I1010" i="5" s="1"/>
  <c r="D1010" i="5"/>
  <c r="N1009" i="5"/>
  <c r="L1009" i="5"/>
  <c r="H1009" i="5"/>
  <c r="G1009" i="5"/>
  <c r="I1009" i="5" s="1"/>
  <c r="D1009" i="5"/>
  <c r="N1008" i="5"/>
  <c r="L1008" i="5"/>
  <c r="H1008" i="5"/>
  <c r="G1008" i="5"/>
  <c r="I1008" i="5" s="1"/>
  <c r="D1008" i="5"/>
  <c r="N1007" i="5"/>
  <c r="L1007" i="5"/>
  <c r="I1007" i="5"/>
  <c r="H1007" i="5"/>
  <c r="G1007" i="5"/>
  <c r="D1007" i="5"/>
  <c r="N1006" i="5"/>
  <c r="L1006" i="5"/>
  <c r="H1006" i="5"/>
  <c r="G1006" i="5"/>
  <c r="I1006" i="5" s="1"/>
  <c r="D1006" i="5"/>
  <c r="N1005" i="5"/>
  <c r="L1005" i="5"/>
  <c r="H1005" i="5"/>
  <c r="G1005" i="5"/>
  <c r="I1005" i="5" s="1"/>
  <c r="D1005" i="5"/>
  <c r="N1004" i="5"/>
  <c r="L1004" i="5"/>
  <c r="H1004" i="5"/>
  <c r="G1004" i="5"/>
  <c r="I1004" i="5" s="1"/>
  <c r="D1004" i="5"/>
  <c r="N1003" i="5"/>
  <c r="L1003" i="5"/>
  <c r="I1003" i="5"/>
  <c r="H1003" i="5"/>
  <c r="G1003" i="5"/>
  <c r="D1003" i="5"/>
  <c r="N1002" i="5"/>
  <c r="L1002" i="5"/>
  <c r="H1002" i="5"/>
  <c r="G1002" i="5"/>
  <c r="I1002" i="5" s="1"/>
  <c r="D1002" i="5"/>
  <c r="N1001" i="5"/>
  <c r="L1001" i="5"/>
  <c r="H1001" i="5"/>
  <c r="G1001" i="5"/>
  <c r="I1001" i="5" s="1"/>
  <c r="D1001" i="5"/>
  <c r="N1000" i="5"/>
  <c r="L1000" i="5"/>
  <c r="H1000" i="5"/>
  <c r="G1000" i="5"/>
  <c r="I1000" i="5" s="1"/>
  <c r="D1000" i="5"/>
  <c r="N999" i="5"/>
  <c r="L999" i="5"/>
  <c r="I999" i="5"/>
  <c r="H999" i="5"/>
  <c r="G999" i="5"/>
  <c r="D999" i="5"/>
  <c r="N998" i="5"/>
  <c r="L998" i="5"/>
  <c r="H998" i="5"/>
  <c r="G998" i="5"/>
  <c r="I998" i="5" s="1"/>
  <c r="D998" i="5"/>
  <c r="N997" i="5"/>
  <c r="L997" i="5"/>
  <c r="H997" i="5"/>
  <c r="G997" i="5"/>
  <c r="I997" i="5" s="1"/>
  <c r="D997" i="5"/>
  <c r="N996" i="5"/>
  <c r="L996" i="5"/>
  <c r="H996" i="5"/>
  <c r="G996" i="5"/>
  <c r="I996" i="5" s="1"/>
  <c r="D996" i="5"/>
  <c r="N995" i="5"/>
  <c r="L995" i="5"/>
  <c r="I995" i="5"/>
  <c r="H995" i="5"/>
  <c r="G995" i="5"/>
  <c r="D995" i="5"/>
  <c r="N994" i="5"/>
  <c r="L994" i="5"/>
  <c r="H994" i="5"/>
  <c r="G994" i="5"/>
  <c r="I994" i="5" s="1"/>
  <c r="D994" i="5"/>
  <c r="N993" i="5"/>
  <c r="L993" i="5"/>
  <c r="H993" i="5"/>
  <c r="G993" i="5"/>
  <c r="I993" i="5" s="1"/>
  <c r="D993" i="5"/>
  <c r="N992" i="5"/>
  <c r="L992" i="5"/>
  <c r="H992" i="5"/>
  <c r="G992" i="5"/>
  <c r="I992" i="5" s="1"/>
  <c r="D992" i="5"/>
  <c r="N991" i="5"/>
  <c r="L991" i="5"/>
  <c r="I991" i="5"/>
  <c r="H991" i="5"/>
  <c r="G991" i="5"/>
  <c r="D991" i="5"/>
  <c r="N990" i="5"/>
  <c r="L990" i="5"/>
  <c r="H990" i="5"/>
  <c r="G990" i="5"/>
  <c r="I990" i="5" s="1"/>
  <c r="D990" i="5"/>
  <c r="N989" i="5"/>
  <c r="L989" i="5"/>
  <c r="H989" i="5"/>
  <c r="G989" i="5"/>
  <c r="I989" i="5" s="1"/>
  <c r="D989" i="5"/>
  <c r="N988" i="5"/>
  <c r="L988" i="5"/>
  <c r="H988" i="5"/>
  <c r="G988" i="5"/>
  <c r="I988" i="5" s="1"/>
  <c r="D988" i="5"/>
  <c r="N987" i="5"/>
  <c r="L987" i="5"/>
  <c r="I987" i="5"/>
  <c r="H987" i="5"/>
  <c r="G987" i="5"/>
  <c r="D987" i="5"/>
  <c r="N986" i="5"/>
  <c r="L986" i="5"/>
  <c r="H986" i="5"/>
  <c r="G986" i="5"/>
  <c r="I986" i="5" s="1"/>
  <c r="D986" i="5"/>
  <c r="N985" i="5"/>
  <c r="L985" i="5"/>
  <c r="H985" i="5"/>
  <c r="G985" i="5"/>
  <c r="I985" i="5" s="1"/>
  <c r="D985" i="5"/>
  <c r="N984" i="5"/>
  <c r="L984" i="5"/>
  <c r="H984" i="5"/>
  <c r="G984" i="5"/>
  <c r="I984" i="5" s="1"/>
  <c r="D984" i="5"/>
  <c r="N983" i="5"/>
  <c r="L983" i="5"/>
  <c r="I983" i="5"/>
  <c r="H983" i="5"/>
  <c r="G983" i="5"/>
  <c r="D983" i="5"/>
  <c r="N982" i="5"/>
  <c r="L982" i="5"/>
  <c r="H982" i="5"/>
  <c r="G982" i="5"/>
  <c r="I982" i="5" s="1"/>
  <c r="D982" i="5"/>
  <c r="N981" i="5"/>
  <c r="L981" i="5"/>
  <c r="H981" i="5"/>
  <c r="G981" i="5"/>
  <c r="I981" i="5" s="1"/>
  <c r="D981" i="5"/>
  <c r="N980" i="5"/>
  <c r="L980" i="5"/>
  <c r="H980" i="5"/>
  <c r="G980" i="5"/>
  <c r="I980" i="5" s="1"/>
  <c r="D980" i="5"/>
  <c r="N979" i="5"/>
  <c r="L979" i="5"/>
  <c r="I979" i="5"/>
  <c r="H979" i="5"/>
  <c r="G979" i="5"/>
  <c r="D979" i="5"/>
  <c r="N978" i="5"/>
  <c r="L978" i="5"/>
  <c r="H978" i="5"/>
  <c r="G978" i="5"/>
  <c r="I978" i="5" s="1"/>
  <c r="D978" i="5"/>
  <c r="N977" i="5"/>
  <c r="L977" i="5"/>
  <c r="H977" i="5"/>
  <c r="G977" i="5"/>
  <c r="I977" i="5" s="1"/>
  <c r="D977" i="5"/>
  <c r="N976" i="5"/>
  <c r="L976" i="5"/>
  <c r="H976" i="5"/>
  <c r="G976" i="5"/>
  <c r="I976" i="5" s="1"/>
  <c r="D976" i="5"/>
  <c r="N975" i="5"/>
  <c r="L975" i="5"/>
  <c r="I975" i="5"/>
  <c r="H975" i="5"/>
  <c r="G975" i="5"/>
  <c r="D975" i="5"/>
  <c r="N974" i="5"/>
  <c r="L974" i="5"/>
  <c r="H974" i="5"/>
  <c r="G974" i="5"/>
  <c r="I974" i="5" s="1"/>
  <c r="D974" i="5"/>
  <c r="N973" i="5"/>
  <c r="L973" i="5"/>
  <c r="H973" i="5"/>
  <c r="G973" i="5"/>
  <c r="I973" i="5" s="1"/>
  <c r="D973" i="5"/>
  <c r="N972" i="5"/>
  <c r="L972" i="5"/>
  <c r="H972" i="5"/>
  <c r="G972" i="5"/>
  <c r="I972" i="5" s="1"/>
  <c r="D972" i="5"/>
  <c r="N971" i="5"/>
  <c r="L971" i="5"/>
  <c r="I971" i="5"/>
  <c r="H971" i="5"/>
  <c r="G971" i="5"/>
  <c r="D971" i="5"/>
  <c r="N970" i="5"/>
  <c r="L970" i="5"/>
  <c r="H970" i="5"/>
  <c r="G970" i="5"/>
  <c r="I970" i="5" s="1"/>
  <c r="D970" i="5"/>
  <c r="N969" i="5"/>
  <c r="L969" i="5"/>
  <c r="H969" i="5"/>
  <c r="G969" i="5"/>
  <c r="I969" i="5" s="1"/>
  <c r="D969" i="5"/>
  <c r="N968" i="5"/>
  <c r="L968" i="5"/>
  <c r="H968" i="5"/>
  <c r="G968" i="5"/>
  <c r="I968" i="5" s="1"/>
  <c r="D968" i="5"/>
  <c r="N967" i="5"/>
  <c r="L967" i="5"/>
  <c r="I967" i="5"/>
  <c r="H967" i="5"/>
  <c r="G967" i="5"/>
  <c r="D967" i="5"/>
  <c r="N966" i="5"/>
  <c r="L966" i="5"/>
  <c r="H966" i="5"/>
  <c r="G966" i="5"/>
  <c r="I966" i="5" s="1"/>
  <c r="D966" i="5"/>
  <c r="N965" i="5"/>
  <c r="L965" i="5"/>
  <c r="H965" i="5"/>
  <c r="G965" i="5"/>
  <c r="I965" i="5" s="1"/>
  <c r="D965" i="5"/>
  <c r="N964" i="5"/>
  <c r="L964" i="5"/>
  <c r="H964" i="5"/>
  <c r="G964" i="5"/>
  <c r="I964" i="5" s="1"/>
  <c r="D964" i="5"/>
  <c r="N963" i="5"/>
  <c r="L963" i="5"/>
  <c r="I963" i="5"/>
  <c r="H963" i="5"/>
  <c r="G963" i="5"/>
  <c r="D963" i="5"/>
  <c r="N962" i="5"/>
  <c r="L962" i="5"/>
  <c r="H962" i="5"/>
  <c r="G962" i="5"/>
  <c r="I962" i="5" s="1"/>
  <c r="D962" i="5"/>
  <c r="N961" i="5"/>
  <c r="L961" i="5"/>
  <c r="H961" i="5"/>
  <c r="G961" i="5"/>
  <c r="I961" i="5" s="1"/>
  <c r="D961" i="5"/>
  <c r="N960" i="5"/>
  <c r="L960" i="5"/>
  <c r="H960" i="5"/>
  <c r="G960" i="5"/>
  <c r="I960" i="5" s="1"/>
  <c r="D960" i="5"/>
  <c r="N959" i="5"/>
  <c r="L959" i="5"/>
  <c r="I959" i="5"/>
  <c r="H959" i="5"/>
  <c r="G959" i="5"/>
  <c r="D959" i="5"/>
  <c r="N958" i="5"/>
  <c r="L958" i="5"/>
  <c r="H958" i="5"/>
  <c r="G958" i="5"/>
  <c r="I958" i="5" s="1"/>
  <c r="D958" i="5"/>
  <c r="N957" i="5"/>
  <c r="L957" i="5"/>
  <c r="H957" i="5"/>
  <c r="G957" i="5"/>
  <c r="I957" i="5" s="1"/>
  <c r="D957" i="5"/>
  <c r="N956" i="5"/>
  <c r="L956" i="5"/>
  <c r="H956" i="5"/>
  <c r="G956" i="5"/>
  <c r="I956" i="5" s="1"/>
  <c r="D956" i="5"/>
  <c r="N955" i="5"/>
  <c r="L955" i="5"/>
  <c r="I955" i="5"/>
  <c r="H955" i="5"/>
  <c r="G955" i="5"/>
  <c r="D955" i="5"/>
  <c r="N954" i="5"/>
  <c r="L954" i="5"/>
  <c r="H954" i="5"/>
  <c r="G954" i="5"/>
  <c r="I954" i="5" s="1"/>
  <c r="D954" i="5"/>
  <c r="N953" i="5"/>
  <c r="L953" i="5"/>
  <c r="H953" i="5"/>
  <c r="G953" i="5"/>
  <c r="I953" i="5" s="1"/>
  <c r="D953" i="5"/>
  <c r="N952" i="5"/>
  <c r="L952" i="5"/>
  <c r="H952" i="5"/>
  <c r="G952" i="5"/>
  <c r="I952" i="5" s="1"/>
  <c r="D952" i="5"/>
  <c r="N951" i="5"/>
  <c r="L951" i="5"/>
  <c r="I951" i="5"/>
  <c r="H951" i="5"/>
  <c r="G951" i="5"/>
  <c r="D951" i="5"/>
  <c r="N950" i="5"/>
  <c r="L950" i="5"/>
  <c r="H950" i="5"/>
  <c r="G950" i="5"/>
  <c r="I950" i="5" s="1"/>
  <c r="D950" i="5"/>
  <c r="N949" i="5"/>
  <c r="L949" i="5"/>
  <c r="H949" i="5"/>
  <c r="G949" i="5"/>
  <c r="I949" i="5" s="1"/>
  <c r="D949" i="5"/>
  <c r="N948" i="5"/>
  <c r="L948" i="5"/>
  <c r="H948" i="5"/>
  <c r="G948" i="5"/>
  <c r="I948" i="5" s="1"/>
  <c r="D948" i="5"/>
  <c r="N947" i="5"/>
  <c r="L947" i="5"/>
  <c r="I947" i="5"/>
  <c r="H947" i="5"/>
  <c r="G947" i="5"/>
  <c r="D947" i="5"/>
  <c r="N946" i="5"/>
  <c r="L946" i="5"/>
  <c r="H946" i="5"/>
  <c r="G946" i="5"/>
  <c r="I946" i="5" s="1"/>
  <c r="D946" i="5"/>
  <c r="N945" i="5"/>
  <c r="L945" i="5"/>
  <c r="H945" i="5"/>
  <c r="G945" i="5"/>
  <c r="I945" i="5" s="1"/>
  <c r="D945" i="5"/>
  <c r="N944" i="5"/>
  <c r="L944" i="5"/>
  <c r="H944" i="5"/>
  <c r="G944" i="5"/>
  <c r="I944" i="5" s="1"/>
  <c r="D944" i="5"/>
  <c r="N943" i="5"/>
  <c r="L943" i="5"/>
  <c r="I943" i="5"/>
  <c r="H943" i="5"/>
  <c r="G943" i="5"/>
  <c r="D943" i="5"/>
  <c r="N942" i="5"/>
  <c r="L942" i="5"/>
  <c r="H942" i="5"/>
  <c r="G942" i="5"/>
  <c r="I942" i="5" s="1"/>
  <c r="D942" i="5"/>
  <c r="N941" i="5"/>
  <c r="L941" i="5"/>
  <c r="H941" i="5"/>
  <c r="G941" i="5"/>
  <c r="I941" i="5" s="1"/>
  <c r="D941" i="5"/>
  <c r="N940" i="5"/>
  <c r="L940" i="5"/>
  <c r="H940" i="5"/>
  <c r="G940" i="5"/>
  <c r="I940" i="5" s="1"/>
  <c r="D940" i="5"/>
  <c r="N939" i="5"/>
  <c r="L939" i="5"/>
  <c r="I939" i="5"/>
  <c r="H939" i="5"/>
  <c r="G939" i="5"/>
  <c r="D939" i="5"/>
  <c r="N938" i="5"/>
  <c r="L938" i="5"/>
  <c r="H938" i="5"/>
  <c r="G938" i="5"/>
  <c r="I938" i="5" s="1"/>
  <c r="D938" i="5"/>
  <c r="N937" i="5"/>
  <c r="L937" i="5"/>
  <c r="H937" i="5"/>
  <c r="G937" i="5"/>
  <c r="I937" i="5" s="1"/>
  <c r="D937" i="5"/>
  <c r="N936" i="5"/>
  <c r="L936" i="5"/>
  <c r="H936" i="5"/>
  <c r="G936" i="5"/>
  <c r="I936" i="5" s="1"/>
  <c r="D936" i="5"/>
  <c r="N935" i="5"/>
  <c r="L935" i="5"/>
  <c r="I935" i="5"/>
  <c r="H935" i="5"/>
  <c r="G935" i="5"/>
  <c r="D935" i="5"/>
  <c r="N934" i="5"/>
  <c r="L934" i="5"/>
  <c r="H934" i="5"/>
  <c r="G934" i="5"/>
  <c r="I934" i="5" s="1"/>
  <c r="D934" i="5"/>
  <c r="N933" i="5"/>
  <c r="L933" i="5"/>
  <c r="H933" i="5"/>
  <c r="G933" i="5"/>
  <c r="I933" i="5" s="1"/>
  <c r="D933" i="5"/>
  <c r="N932" i="5"/>
  <c r="L932" i="5"/>
  <c r="H932" i="5"/>
  <c r="G932" i="5"/>
  <c r="I932" i="5" s="1"/>
  <c r="D932" i="5"/>
  <c r="N931" i="5"/>
  <c r="L931" i="5"/>
  <c r="I931" i="5"/>
  <c r="H931" i="5"/>
  <c r="G931" i="5"/>
  <c r="D931" i="5"/>
  <c r="N930" i="5"/>
  <c r="L930" i="5"/>
  <c r="I930" i="5"/>
  <c r="H930" i="5"/>
  <c r="G930" i="5"/>
  <c r="D930" i="5"/>
  <c r="N929" i="5"/>
  <c r="L929" i="5"/>
  <c r="H929" i="5"/>
  <c r="G929" i="5"/>
  <c r="I929" i="5" s="1"/>
  <c r="D929" i="5"/>
  <c r="N928" i="5"/>
  <c r="L928" i="5"/>
  <c r="H928" i="5"/>
  <c r="G928" i="5"/>
  <c r="I928" i="5" s="1"/>
  <c r="D928" i="5"/>
  <c r="N927" i="5"/>
  <c r="L927" i="5"/>
  <c r="I927" i="5"/>
  <c r="H927" i="5"/>
  <c r="G927" i="5"/>
  <c r="D927" i="5"/>
  <c r="N926" i="5"/>
  <c r="L926" i="5"/>
  <c r="H926" i="5"/>
  <c r="G926" i="5"/>
  <c r="I926" i="5" s="1"/>
  <c r="D926" i="5"/>
  <c r="N925" i="5"/>
  <c r="L925" i="5"/>
  <c r="H925" i="5"/>
  <c r="G925" i="5"/>
  <c r="I925" i="5" s="1"/>
  <c r="D925" i="5"/>
  <c r="N924" i="5"/>
  <c r="L924" i="5"/>
  <c r="H924" i="5"/>
  <c r="G924" i="5"/>
  <c r="I924" i="5" s="1"/>
  <c r="D924" i="5"/>
  <c r="N923" i="5"/>
  <c r="L923" i="5"/>
  <c r="I923" i="5"/>
  <c r="H923" i="5"/>
  <c r="G923" i="5"/>
  <c r="D923" i="5"/>
  <c r="N922" i="5"/>
  <c r="L922" i="5"/>
  <c r="H922" i="5"/>
  <c r="G922" i="5"/>
  <c r="I922" i="5" s="1"/>
  <c r="D922" i="5"/>
  <c r="N921" i="5"/>
  <c r="L921" i="5"/>
  <c r="I921" i="5"/>
  <c r="H921" i="5"/>
  <c r="G921" i="5"/>
  <c r="D921" i="5"/>
  <c r="N920" i="5"/>
  <c r="L920" i="5"/>
  <c r="H920" i="5"/>
  <c r="G920" i="5"/>
  <c r="I920" i="5" s="1"/>
  <c r="D920" i="5"/>
  <c r="N919" i="5"/>
  <c r="L919" i="5"/>
  <c r="I919" i="5"/>
  <c r="H919" i="5"/>
  <c r="G919" i="5"/>
  <c r="D919" i="5"/>
  <c r="N918" i="5"/>
  <c r="L918" i="5"/>
  <c r="H918" i="5"/>
  <c r="G918" i="5"/>
  <c r="I918" i="5" s="1"/>
  <c r="D918" i="5"/>
  <c r="N917" i="5"/>
  <c r="L917" i="5"/>
  <c r="I917" i="5"/>
  <c r="H917" i="5"/>
  <c r="G917" i="5"/>
  <c r="D917" i="5"/>
  <c r="N916" i="5"/>
  <c r="L916" i="5"/>
  <c r="H916" i="5"/>
  <c r="G916" i="5"/>
  <c r="I916" i="5" s="1"/>
  <c r="D916" i="5"/>
  <c r="N915" i="5"/>
  <c r="L915" i="5"/>
  <c r="I915" i="5"/>
  <c r="H915" i="5"/>
  <c r="G915" i="5"/>
  <c r="D915" i="5"/>
  <c r="N914" i="5"/>
  <c r="L914" i="5"/>
  <c r="I914" i="5"/>
  <c r="H914" i="5"/>
  <c r="G914" i="5"/>
  <c r="D914" i="5"/>
  <c r="N913" i="5"/>
  <c r="L913" i="5"/>
  <c r="H913" i="5"/>
  <c r="G913" i="5"/>
  <c r="I913" i="5" s="1"/>
  <c r="D913" i="5"/>
  <c r="N912" i="5"/>
  <c r="L912" i="5"/>
  <c r="H912" i="5"/>
  <c r="G912" i="5"/>
  <c r="I912" i="5" s="1"/>
  <c r="D912" i="5"/>
  <c r="N911" i="5"/>
  <c r="L911" i="5"/>
  <c r="I911" i="5"/>
  <c r="H911" i="5"/>
  <c r="G911" i="5"/>
  <c r="D911" i="5"/>
  <c r="N910" i="5"/>
  <c r="L910" i="5"/>
  <c r="I910" i="5"/>
  <c r="H910" i="5"/>
  <c r="G910" i="5"/>
  <c r="D910" i="5"/>
  <c r="N909" i="5"/>
  <c r="L909" i="5"/>
  <c r="I909" i="5"/>
  <c r="H909" i="5"/>
  <c r="G909" i="5"/>
  <c r="D909" i="5"/>
  <c r="N908" i="5"/>
  <c r="L908" i="5"/>
  <c r="H908" i="5"/>
  <c r="G908" i="5"/>
  <c r="I908" i="5" s="1"/>
  <c r="D908" i="5"/>
  <c r="N907" i="5"/>
  <c r="L907" i="5"/>
  <c r="I907" i="5"/>
  <c r="H907" i="5"/>
  <c r="G907" i="5"/>
  <c r="D907" i="5"/>
  <c r="N906" i="5"/>
  <c r="L906" i="5"/>
  <c r="H906" i="5"/>
  <c r="G906" i="5"/>
  <c r="I906" i="5" s="1"/>
  <c r="D906" i="5"/>
  <c r="N905" i="5"/>
  <c r="L905" i="5"/>
  <c r="I905" i="5"/>
  <c r="H905" i="5"/>
  <c r="G905" i="5"/>
  <c r="D905" i="5"/>
  <c r="N904" i="5"/>
  <c r="L904" i="5"/>
  <c r="H904" i="5"/>
  <c r="G904" i="5"/>
  <c r="I904" i="5" s="1"/>
  <c r="D904" i="5"/>
  <c r="N903" i="5"/>
  <c r="L903" i="5"/>
  <c r="I903" i="5"/>
  <c r="H903" i="5"/>
  <c r="G903" i="5"/>
  <c r="D903" i="5"/>
  <c r="N902" i="5"/>
  <c r="L902" i="5"/>
  <c r="H902" i="5"/>
  <c r="G902" i="5"/>
  <c r="I902" i="5" s="1"/>
  <c r="D902" i="5"/>
  <c r="N901" i="5"/>
  <c r="L901" i="5"/>
  <c r="H901" i="5"/>
  <c r="G901" i="5"/>
  <c r="I901" i="5" s="1"/>
  <c r="D901" i="5"/>
  <c r="N900" i="5"/>
  <c r="L900" i="5"/>
  <c r="H900" i="5"/>
  <c r="G900" i="5"/>
  <c r="I900" i="5" s="1"/>
  <c r="D900" i="5"/>
  <c r="N899" i="5"/>
  <c r="L899" i="5"/>
  <c r="I899" i="5"/>
  <c r="H899" i="5"/>
  <c r="G899" i="5"/>
  <c r="D899" i="5"/>
  <c r="N898" i="5"/>
  <c r="L898" i="5"/>
  <c r="I898" i="5"/>
  <c r="H898" i="5"/>
  <c r="G898" i="5"/>
  <c r="D898" i="5"/>
  <c r="N897" i="5"/>
  <c r="L897" i="5"/>
  <c r="H897" i="5"/>
  <c r="G897" i="5"/>
  <c r="I897" i="5" s="1"/>
  <c r="D897" i="5"/>
  <c r="N896" i="5"/>
  <c r="L896" i="5"/>
  <c r="H896" i="5"/>
  <c r="G896" i="5"/>
  <c r="I896" i="5" s="1"/>
  <c r="D896" i="5"/>
  <c r="N895" i="5"/>
  <c r="L895" i="5"/>
  <c r="I895" i="5"/>
  <c r="H895" i="5"/>
  <c r="G895" i="5"/>
  <c r="D895" i="5"/>
  <c r="N894" i="5"/>
  <c r="L894" i="5"/>
  <c r="H894" i="5"/>
  <c r="G894" i="5"/>
  <c r="I894" i="5" s="1"/>
  <c r="D894" i="5"/>
  <c r="N893" i="5"/>
  <c r="L893" i="5"/>
  <c r="H893" i="5"/>
  <c r="G893" i="5"/>
  <c r="I893" i="5" s="1"/>
  <c r="D893" i="5"/>
  <c r="N892" i="5"/>
  <c r="L892" i="5"/>
  <c r="H892" i="5"/>
  <c r="G892" i="5"/>
  <c r="I892" i="5" s="1"/>
  <c r="D892" i="5"/>
  <c r="N891" i="5"/>
  <c r="L891" i="5"/>
  <c r="I891" i="5"/>
  <c r="H891" i="5"/>
  <c r="G891" i="5"/>
  <c r="D891" i="5"/>
  <c r="N890" i="5"/>
  <c r="L890" i="5"/>
  <c r="H890" i="5"/>
  <c r="G890" i="5"/>
  <c r="I890" i="5" s="1"/>
  <c r="D890" i="5"/>
  <c r="N889" i="5"/>
  <c r="L889" i="5"/>
  <c r="I889" i="5"/>
  <c r="H889" i="5"/>
  <c r="G889" i="5"/>
  <c r="D889" i="5"/>
  <c r="N888" i="5"/>
  <c r="L888" i="5"/>
  <c r="H888" i="5"/>
  <c r="G888" i="5"/>
  <c r="I888" i="5" s="1"/>
  <c r="D888" i="5"/>
  <c r="N887" i="5"/>
  <c r="L887" i="5"/>
  <c r="I887" i="5"/>
  <c r="H887" i="5"/>
  <c r="G887" i="5"/>
  <c r="D887" i="5"/>
  <c r="N886" i="5"/>
  <c r="L886" i="5"/>
  <c r="H886" i="5"/>
  <c r="G886" i="5"/>
  <c r="I886" i="5" s="1"/>
  <c r="D886" i="5"/>
  <c r="N885" i="5"/>
  <c r="L885" i="5"/>
  <c r="I885" i="5"/>
  <c r="H885" i="5"/>
  <c r="G885" i="5"/>
  <c r="D885" i="5"/>
  <c r="N884" i="5"/>
  <c r="L884" i="5"/>
  <c r="H884" i="5"/>
  <c r="G884" i="5"/>
  <c r="I884" i="5" s="1"/>
  <c r="D884" i="5"/>
  <c r="N883" i="5"/>
  <c r="L883" i="5"/>
  <c r="I883" i="5"/>
  <c r="H883" i="5"/>
  <c r="G883" i="5"/>
  <c r="D883" i="5"/>
  <c r="N882" i="5"/>
  <c r="L882" i="5"/>
  <c r="I882" i="5"/>
  <c r="H882" i="5"/>
  <c r="G882" i="5"/>
  <c r="D882" i="5"/>
  <c r="N881" i="5"/>
  <c r="L881" i="5"/>
  <c r="H881" i="5"/>
  <c r="G881" i="5"/>
  <c r="I881" i="5" s="1"/>
  <c r="D881" i="5"/>
  <c r="N880" i="5"/>
  <c r="L880" i="5"/>
  <c r="H880" i="5"/>
  <c r="G880" i="5"/>
  <c r="I880" i="5" s="1"/>
  <c r="D880" i="5"/>
  <c r="N879" i="5"/>
  <c r="L879" i="5"/>
  <c r="I879" i="5"/>
  <c r="H879" i="5"/>
  <c r="G879" i="5"/>
  <c r="D879" i="5"/>
  <c r="N878" i="5"/>
  <c r="L878" i="5"/>
  <c r="I878" i="5"/>
  <c r="H878" i="5"/>
  <c r="G878" i="5"/>
  <c r="D878" i="5"/>
  <c r="N877" i="5"/>
  <c r="L877" i="5"/>
  <c r="I877" i="5"/>
  <c r="H877" i="5"/>
  <c r="G877" i="5"/>
  <c r="D877" i="5"/>
  <c r="N876" i="5"/>
  <c r="L876" i="5"/>
  <c r="H876" i="5"/>
  <c r="G876" i="5"/>
  <c r="I876" i="5" s="1"/>
  <c r="D876" i="5"/>
  <c r="N875" i="5"/>
  <c r="L875" i="5"/>
  <c r="I875" i="5"/>
  <c r="H875" i="5"/>
  <c r="G875" i="5"/>
  <c r="D875" i="5"/>
  <c r="N874" i="5"/>
  <c r="L874" i="5"/>
  <c r="H874" i="5"/>
  <c r="G874" i="5"/>
  <c r="I874" i="5" s="1"/>
  <c r="D874" i="5"/>
  <c r="N873" i="5"/>
  <c r="L873" i="5"/>
  <c r="I873" i="5"/>
  <c r="H873" i="5"/>
  <c r="G873" i="5"/>
  <c r="D873" i="5"/>
  <c r="N872" i="5"/>
  <c r="L872" i="5"/>
  <c r="H872" i="5"/>
  <c r="G872" i="5"/>
  <c r="I872" i="5" s="1"/>
  <c r="D872" i="5"/>
  <c r="N871" i="5"/>
  <c r="L871" i="5"/>
  <c r="I871" i="5"/>
  <c r="H871" i="5"/>
  <c r="G871" i="5"/>
  <c r="D871" i="5"/>
  <c r="N870" i="5"/>
  <c r="L870" i="5"/>
  <c r="H870" i="5"/>
  <c r="G870" i="5"/>
  <c r="I870" i="5" s="1"/>
  <c r="D870" i="5"/>
  <c r="N869" i="5"/>
  <c r="L869" i="5"/>
  <c r="I869" i="5"/>
  <c r="H869" i="5"/>
  <c r="G869" i="5"/>
  <c r="D869" i="5"/>
  <c r="N868" i="5"/>
  <c r="L868" i="5"/>
  <c r="H868" i="5"/>
  <c r="G868" i="5"/>
  <c r="I868" i="5" s="1"/>
  <c r="D868" i="5"/>
  <c r="N867" i="5"/>
  <c r="L867" i="5"/>
  <c r="I867" i="5"/>
  <c r="H867" i="5"/>
  <c r="G867" i="5"/>
  <c r="D867" i="5"/>
  <c r="N866" i="5"/>
  <c r="L866" i="5"/>
  <c r="H866" i="5"/>
  <c r="G866" i="5"/>
  <c r="I866" i="5" s="1"/>
  <c r="D866" i="5"/>
  <c r="N865" i="5"/>
  <c r="L865" i="5"/>
  <c r="I865" i="5"/>
  <c r="H865" i="5"/>
  <c r="G865" i="5"/>
  <c r="D865" i="5"/>
  <c r="N864" i="5"/>
  <c r="L864" i="5"/>
  <c r="H864" i="5"/>
  <c r="G864" i="5"/>
  <c r="I864" i="5" s="1"/>
  <c r="D864" i="5"/>
  <c r="N863" i="5"/>
  <c r="L863" i="5"/>
  <c r="I863" i="5"/>
  <c r="H863" i="5"/>
  <c r="G863" i="5"/>
  <c r="D863" i="5"/>
  <c r="N862" i="5"/>
  <c r="L862" i="5"/>
  <c r="H862" i="5"/>
  <c r="G862" i="5"/>
  <c r="I862" i="5" s="1"/>
  <c r="D862" i="5"/>
  <c r="N861" i="5"/>
  <c r="L861" i="5"/>
  <c r="I861" i="5"/>
  <c r="H861" i="5"/>
  <c r="G861" i="5"/>
  <c r="D861" i="5"/>
  <c r="N860" i="5"/>
  <c r="L860" i="5"/>
  <c r="H860" i="5"/>
  <c r="G860" i="5"/>
  <c r="I860" i="5" s="1"/>
  <c r="D860" i="5"/>
  <c r="N859" i="5"/>
  <c r="L859" i="5"/>
  <c r="I859" i="5"/>
  <c r="H859" i="5"/>
  <c r="G859" i="5"/>
  <c r="D859" i="5"/>
  <c r="N858" i="5"/>
  <c r="L858" i="5"/>
  <c r="H858" i="5"/>
  <c r="G858" i="5"/>
  <c r="I858" i="5" s="1"/>
  <c r="D858" i="5"/>
  <c r="N857" i="5"/>
  <c r="L857" i="5"/>
  <c r="I857" i="5"/>
  <c r="H857" i="5"/>
  <c r="G857" i="5"/>
  <c r="D857" i="5"/>
  <c r="N856" i="5"/>
  <c r="L856" i="5"/>
  <c r="H856" i="5"/>
  <c r="G856" i="5"/>
  <c r="I856" i="5" s="1"/>
  <c r="D856" i="5"/>
  <c r="N855" i="5"/>
  <c r="L855" i="5"/>
  <c r="I855" i="5"/>
  <c r="H855" i="5"/>
  <c r="G855" i="5"/>
  <c r="D855" i="5"/>
  <c r="N854" i="5"/>
  <c r="L854" i="5"/>
  <c r="H854" i="5"/>
  <c r="G854" i="5"/>
  <c r="I854" i="5" s="1"/>
  <c r="D854" i="5"/>
  <c r="N853" i="5"/>
  <c r="L853" i="5"/>
  <c r="I853" i="5"/>
  <c r="H853" i="5"/>
  <c r="G853" i="5"/>
  <c r="D853" i="5"/>
  <c r="N852" i="5"/>
  <c r="L852" i="5"/>
  <c r="H852" i="5"/>
  <c r="G852" i="5"/>
  <c r="I852" i="5" s="1"/>
  <c r="D852" i="5"/>
  <c r="N851" i="5"/>
  <c r="L851" i="5"/>
  <c r="I851" i="5"/>
  <c r="H851" i="5"/>
  <c r="G851" i="5"/>
  <c r="D851" i="5"/>
  <c r="N850" i="5"/>
  <c r="L850" i="5"/>
  <c r="H850" i="5"/>
  <c r="G850" i="5"/>
  <c r="I850" i="5" s="1"/>
  <c r="D850" i="5"/>
  <c r="N849" i="5"/>
  <c r="L849" i="5"/>
  <c r="I849" i="5"/>
  <c r="H849" i="5"/>
  <c r="G849" i="5"/>
  <c r="D849" i="5"/>
  <c r="N848" i="5"/>
  <c r="L848" i="5"/>
  <c r="H848" i="5"/>
  <c r="G848" i="5"/>
  <c r="I848" i="5" s="1"/>
  <c r="D848" i="5"/>
  <c r="N847" i="5"/>
  <c r="L847" i="5"/>
  <c r="I847" i="5"/>
  <c r="H847" i="5"/>
  <c r="G847" i="5"/>
  <c r="D847" i="5"/>
  <c r="N846" i="5"/>
  <c r="L846" i="5"/>
  <c r="H846" i="5"/>
  <c r="G846" i="5"/>
  <c r="I846" i="5" s="1"/>
  <c r="D846" i="5"/>
  <c r="N845" i="5"/>
  <c r="L845" i="5"/>
  <c r="I845" i="5"/>
  <c r="H845" i="5"/>
  <c r="G845" i="5"/>
  <c r="D845" i="5"/>
  <c r="N844" i="5"/>
  <c r="L844" i="5"/>
  <c r="H844" i="5"/>
  <c r="G844" i="5"/>
  <c r="I844" i="5" s="1"/>
  <c r="D844" i="5"/>
  <c r="N843" i="5"/>
  <c r="L843" i="5"/>
  <c r="I843" i="5"/>
  <c r="H843" i="5"/>
  <c r="G843" i="5"/>
  <c r="D843" i="5"/>
  <c r="N842" i="5"/>
  <c r="L842" i="5"/>
  <c r="H842" i="5"/>
  <c r="G842" i="5"/>
  <c r="I842" i="5" s="1"/>
  <c r="D842" i="5"/>
  <c r="N841" i="5"/>
  <c r="L841" i="5"/>
  <c r="I841" i="5"/>
  <c r="H841" i="5"/>
  <c r="G841" i="5"/>
  <c r="D841" i="5"/>
  <c r="N840" i="5"/>
  <c r="L840" i="5"/>
  <c r="H840" i="5"/>
  <c r="G840" i="5"/>
  <c r="I840" i="5" s="1"/>
  <c r="D840" i="5"/>
  <c r="N839" i="5"/>
  <c r="L839" i="5"/>
  <c r="I839" i="5"/>
  <c r="H839" i="5"/>
  <c r="G839" i="5"/>
  <c r="D839" i="5"/>
  <c r="N838" i="5"/>
  <c r="L838" i="5"/>
  <c r="H838" i="5"/>
  <c r="G838" i="5"/>
  <c r="I838" i="5" s="1"/>
  <c r="D838" i="5"/>
  <c r="N837" i="5"/>
  <c r="L837" i="5"/>
  <c r="I837" i="5"/>
  <c r="H837" i="5"/>
  <c r="G837" i="5"/>
  <c r="D837" i="5"/>
  <c r="N836" i="5"/>
  <c r="L836" i="5"/>
  <c r="H836" i="5"/>
  <c r="G836" i="5"/>
  <c r="I836" i="5" s="1"/>
  <c r="D836" i="5"/>
  <c r="N835" i="5"/>
  <c r="L835" i="5"/>
  <c r="I835" i="5"/>
  <c r="H835" i="5"/>
  <c r="G835" i="5"/>
  <c r="D835" i="5"/>
  <c r="N834" i="5"/>
  <c r="L834" i="5"/>
  <c r="H834" i="5"/>
  <c r="G834" i="5"/>
  <c r="I834" i="5" s="1"/>
  <c r="D834" i="5"/>
  <c r="N833" i="5"/>
  <c r="L833" i="5"/>
  <c r="I833" i="5"/>
  <c r="H833" i="5"/>
  <c r="G833" i="5"/>
  <c r="D833" i="5"/>
  <c r="N832" i="5"/>
  <c r="L832" i="5"/>
  <c r="H832" i="5"/>
  <c r="G832" i="5"/>
  <c r="I832" i="5" s="1"/>
  <c r="D832" i="5"/>
  <c r="N831" i="5"/>
  <c r="L831" i="5"/>
  <c r="I831" i="5"/>
  <c r="H831" i="5"/>
  <c r="G831" i="5"/>
  <c r="D831" i="5"/>
  <c r="N830" i="5"/>
  <c r="L830" i="5"/>
  <c r="H830" i="5"/>
  <c r="G830" i="5"/>
  <c r="I830" i="5" s="1"/>
  <c r="D830" i="5"/>
  <c r="N829" i="5"/>
  <c r="L829" i="5"/>
  <c r="I829" i="5"/>
  <c r="H829" i="5"/>
  <c r="G829" i="5"/>
  <c r="D829" i="5"/>
  <c r="N828" i="5"/>
  <c r="L828" i="5"/>
  <c r="H828" i="5"/>
  <c r="G828" i="5"/>
  <c r="I828" i="5" s="1"/>
  <c r="D828" i="5"/>
  <c r="N827" i="5"/>
  <c r="L827" i="5"/>
  <c r="I827" i="5"/>
  <c r="H827" i="5"/>
  <c r="G827" i="5"/>
  <c r="D827" i="5"/>
  <c r="N826" i="5"/>
  <c r="L826" i="5"/>
  <c r="H826" i="5"/>
  <c r="G826" i="5"/>
  <c r="I826" i="5" s="1"/>
  <c r="D826" i="5"/>
  <c r="N825" i="5"/>
  <c r="L825" i="5"/>
  <c r="I825" i="5"/>
  <c r="H825" i="5"/>
  <c r="G825" i="5"/>
  <c r="D825" i="5"/>
  <c r="N824" i="5"/>
  <c r="L824" i="5"/>
  <c r="H824" i="5"/>
  <c r="G824" i="5"/>
  <c r="I824" i="5" s="1"/>
  <c r="D824" i="5"/>
  <c r="N823" i="5"/>
  <c r="L823" i="5"/>
  <c r="I823" i="5"/>
  <c r="H823" i="5"/>
  <c r="G823" i="5"/>
  <c r="D823" i="5"/>
  <c r="N822" i="5"/>
  <c r="L822" i="5"/>
  <c r="H822" i="5"/>
  <c r="G822" i="5"/>
  <c r="I822" i="5" s="1"/>
  <c r="D822" i="5"/>
  <c r="N821" i="5"/>
  <c r="L821" i="5"/>
  <c r="I821" i="5"/>
  <c r="H821" i="5"/>
  <c r="G821" i="5"/>
  <c r="D821" i="5"/>
  <c r="N820" i="5"/>
  <c r="L820" i="5"/>
  <c r="H820" i="5"/>
  <c r="G820" i="5"/>
  <c r="I820" i="5" s="1"/>
  <c r="D820" i="5"/>
  <c r="N819" i="5"/>
  <c r="L819" i="5"/>
  <c r="I819" i="5"/>
  <c r="H819" i="5"/>
  <c r="G819" i="5"/>
  <c r="D819" i="5"/>
  <c r="N818" i="5"/>
  <c r="L818" i="5"/>
  <c r="H818" i="5"/>
  <c r="G818" i="5"/>
  <c r="I818" i="5" s="1"/>
  <c r="D818" i="5"/>
  <c r="N817" i="5"/>
  <c r="L817" i="5"/>
  <c r="I817" i="5"/>
  <c r="H817" i="5"/>
  <c r="G817" i="5"/>
  <c r="D817" i="5"/>
  <c r="N816" i="5"/>
  <c r="L816" i="5"/>
  <c r="H816" i="5"/>
  <c r="G816" i="5"/>
  <c r="I816" i="5" s="1"/>
  <c r="D816" i="5"/>
  <c r="N815" i="5"/>
  <c r="L815" i="5"/>
  <c r="I815" i="5"/>
  <c r="H815" i="5"/>
  <c r="G815" i="5"/>
  <c r="D815" i="5"/>
  <c r="N814" i="5"/>
  <c r="L814" i="5"/>
  <c r="H814" i="5"/>
  <c r="G814" i="5"/>
  <c r="I814" i="5" s="1"/>
  <c r="D814" i="5"/>
  <c r="N813" i="5"/>
  <c r="L813" i="5"/>
  <c r="I813" i="5"/>
  <c r="H813" i="5"/>
  <c r="G813" i="5"/>
  <c r="D813" i="5"/>
  <c r="N812" i="5"/>
  <c r="L812" i="5"/>
  <c r="H812" i="5"/>
  <c r="G812" i="5"/>
  <c r="I812" i="5" s="1"/>
  <c r="D812" i="5"/>
  <c r="N811" i="5"/>
  <c r="L811" i="5"/>
  <c r="I811" i="5"/>
  <c r="H811" i="5"/>
  <c r="G811" i="5"/>
  <c r="D811" i="5"/>
  <c r="N810" i="5"/>
  <c r="L810" i="5"/>
  <c r="H810" i="5"/>
  <c r="G810" i="5"/>
  <c r="I810" i="5" s="1"/>
  <c r="D810" i="5"/>
  <c r="N809" i="5"/>
  <c r="L809" i="5"/>
  <c r="I809" i="5"/>
  <c r="H809" i="5"/>
  <c r="G809" i="5"/>
  <c r="D809" i="5"/>
  <c r="N808" i="5"/>
  <c r="L808" i="5"/>
  <c r="H808" i="5"/>
  <c r="G808" i="5"/>
  <c r="I808" i="5" s="1"/>
  <c r="D808" i="5"/>
  <c r="N807" i="5"/>
  <c r="L807" i="5"/>
  <c r="I807" i="5"/>
  <c r="H807" i="5"/>
  <c r="G807" i="5"/>
  <c r="D807" i="5"/>
  <c r="N806" i="5"/>
  <c r="L806" i="5"/>
  <c r="H806" i="5"/>
  <c r="G806" i="5"/>
  <c r="I806" i="5" s="1"/>
  <c r="D806" i="5"/>
  <c r="N805" i="5"/>
  <c r="L805" i="5"/>
  <c r="I805" i="5"/>
  <c r="H805" i="5"/>
  <c r="G805" i="5"/>
  <c r="D805" i="5"/>
  <c r="N804" i="5"/>
  <c r="L804" i="5"/>
  <c r="H804" i="5"/>
  <c r="G804" i="5"/>
  <c r="I804" i="5" s="1"/>
  <c r="D804" i="5"/>
  <c r="N803" i="5"/>
  <c r="L803" i="5"/>
  <c r="I803" i="5"/>
  <c r="H803" i="5"/>
  <c r="G803" i="5"/>
  <c r="D803" i="5"/>
  <c r="N802" i="5"/>
  <c r="L802" i="5"/>
  <c r="H802" i="5"/>
  <c r="G802" i="5"/>
  <c r="I802" i="5" s="1"/>
  <c r="D802" i="5"/>
  <c r="N801" i="5"/>
  <c r="L801" i="5"/>
  <c r="I801" i="5"/>
  <c r="H801" i="5"/>
  <c r="G801" i="5"/>
  <c r="D801" i="5"/>
  <c r="N800" i="5"/>
  <c r="L800" i="5"/>
  <c r="H800" i="5"/>
  <c r="G800" i="5"/>
  <c r="I800" i="5" s="1"/>
  <c r="D800" i="5"/>
  <c r="N799" i="5"/>
  <c r="L799" i="5"/>
  <c r="I799" i="5"/>
  <c r="H799" i="5"/>
  <c r="G799" i="5"/>
  <c r="D799" i="5"/>
  <c r="N798" i="5"/>
  <c r="L798" i="5"/>
  <c r="H798" i="5"/>
  <c r="G798" i="5"/>
  <c r="I798" i="5" s="1"/>
  <c r="D798" i="5"/>
  <c r="N797" i="5"/>
  <c r="L797" i="5"/>
  <c r="I797" i="5"/>
  <c r="H797" i="5"/>
  <c r="G797" i="5"/>
  <c r="D797" i="5"/>
  <c r="N796" i="5"/>
  <c r="L796" i="5"/>
  <c r="H796" i="5"/>
  <c r="G796" i="5"/>
  <c r="I796" i="5" s="1"/>
  <c r="D796" i="5"/>
  <c r="N795" i="5"/>
  <c r="L795" i="5"/>
  <c r="I795" i="5"/>
  <c r="H795" i="5"/>
  <c r="G795" i="5"/>
  <c r="D795" i="5"/>
  <c r="N794" i="5"/>
  <c r="L794" i="5"/>
  <c r="H794" i="5"/>
  <c r="G794" i="5"/>
  <c r="I794" i="5" s="1"/>
  <c r="D794" i="5"/>
  <c r="N793" i="5"/>
  <c r="L793" i="5"/>
  <c r="I793" i="5"/>
  <c r="H793" i="5"/>
  <c r="G793" i="5"/>
  <c r="D793" i="5"/>
  <c r="N792" i="5"/>
  <c r="L792" i="5"/>
  <c r="H792" i="5"/>
  <c r="G792" i="5"/>
  <c r="I792" i="5" s="1"/>
  <c r="D792" i="5"/>
  <c r="N791" i="5"/>
  <c r="L791" i="5"/>
  <c r="I791" i="5"/>
  <c r="H791" i="5"/>
  <c r="G791" i="5"/>
  <c r="D791" i="5"/>
  <c r="N790" i="5"/>
  <c r="L790" i="5"/>
  <c r="H790" i="5"/>
  <c r="G790" i="5"/>
  <c r="I790" i="5" s="1"/>
  <c r="D790" i="5"/>
  <c r="N789" i="5"/>
  <c r="L789" i="5"/>
  <c r="I789" i="5"/>
  <c r="H789" i="5"/>
  <c r="G789" i="5"/>
  <c r="D789" i="5"/>
  <c r="N788" i="5"/>
  <c r="L788" i="5"/>
  <c r="H788" i="5"/>
  <c r="G788" i="5"/>
  <c r="I788" i="5" s="1"/>
  <c r="D788" i="5"/>
  <c r="N787" i="5"/>
  <c r="L787" i="5"/>
  <c r="I787" i="5"/>
  <c r="H787" i="5"/>
  <c r="G787" i="5"/>
  <c r="D787" i="5"/>
  <c r="N786" i="5"/>
  <c r="L786" i="5"/>
  <c r="H786" i="5"/>
  <c r="G786" i="5"/>
  <c r="I786" i="5" s="1"/>
  <c r="D786" i="5"/>
  <c r="N785" i="5"/>
  <c r="L785" i="5"/>
  <c r="I785" i="5"/>
  <c r="H785" i="5"/>
  <c r="G785" i="5"/>
  <c r="D785" i="5"/>
  <c r="N784" i="5"/>
  <c r="L784" i="5"/>
  <c r="H784" i="5"/>
  <c r="G784" i="5"/>
  <c r="I784" i="5" s="1"/>
  <c r="D784" i="5"/>
  <c r="N783" i="5"/>
  <c r="L783" i="5"/>
  <c r="I783" i="5"/>
  <c r="H783" i="5"/>
  <c r="G783" i="5"/>
  <c r="D783" i="5"/>
  <c r="N782" i="5"/>
  <c r="L782" i="5"/>
  <c r="H782" i="5"/>
  <c r="G782" i="5"/>
  <c r="I782" i="5" s="1"/>
  <c r="D782" i="5"/>
  <c r="N781" i="5"/>
  <c r="L781" i="5"/>
  <c r="I781" i="5"/>
  <c r="H781" i="5"/>
  <c r="G781" i="5"/>
  <c r="D781" i="5"/>
  <c r="N780" i="5"/>
  <c r="L780" i="5"/>
  <c r="H780" i="5"/>
  <c r="G780" i="5"/>
  <c r="I780" i="5" s="1"/>
  <c r="D780" i="5"/>
  <c r="N779" i="5"/>
  <c r="L779" i="5"/>
  <c r="I779" i="5"/>
  <c r="H779" i="5"/>
  <c r="G779" i="5"/>
  <c r="D779" i="5"/>
  <c r="N778" i="5"/>
  <c r="L778" i="5"/>
  <c r="H778" i="5"/>
  <c r="G778" i="5"/>
  <c r="I778" i="5" s="1"/>
  <c r="D778" i="5"/>
  <c r="N777" i="5"/>
  <c r="L777" i="5"/>
  <c r="I777" i="5"/>
  <c r="H777" i="5"/>
  <c r="G777" i="5"/>
  <c r="D777" i="5"/>
  <c r="N776" i="5"/>
  <c r="L776" i="5"/>
  <c r="H776" i="5"/>
  <c r="G776" i="5"/>
  <c r="I776" i="5" s="1"/>
  <c r="D776" i="5"/>
  <c r="N775" i="5"/>
  <c r="L775" i="5"/>
  <c r="I775" i="5"/>
  <c r="H775" i="5"/>
  <c r="G775" i="5"/>
  <c r="D775" i="5"/>
  <c r="N774" i="5"/>
  <c r="L774" i="5"/>
  <c r="H774" i="5"/>
  <c r="G774" i="5"/>
  <c r="I774" i="5" s="1"/>
  <c r="D774" i="5"/>
  <c r="N773" i="5"/>
  <c r="L773" i="5"/>
  <c r="I773" i="5"/>
  <c r="H773" i="5"/>
  <c r="G773" i="5"/>
  <c r="D773" i="5"/>
  <c r="N772" i="5"/>
  <c r="L772" i="5"/>
  <c r="H772" i="5"/>
  <c r="G772" i="5"/>
  <c r="I772" i="5" s="1"/>
  <c r="D772" i="5"/>
  <c r="N771" i="5"/>
  <c r="L771" i="5"/>
  <c r="I771" i="5"/>
  <c r="H771" i="5"/>
  <c r="G771" i="5"/>
  <c r="D771" i="5"/>
  <c r="N770" i="5"/>
  <c r="L770" i="5"/>
  <c r="H770" i="5"/>
  <c r="G770" i="5"/>
  <c r="I770" i="5" s="1"/>
  <c r="D770" i="5"/>
  <c r="N769" i="5"/>
  <c r="L769" i="5"/>
  <c r="I769" i="5"/>
  <c r="H769" i="5"/>
  <c r="G769" i="5"/>
  <c r="D769" i="5"/>
  <c r="N768" i="5"/>
  <c r="L768" i="5"/>
  <c r="H768" i="5"/>
  <c r="G768" i="5"/>
  <c r="I768" i="5" s="1"/>
  <c r="D768" i="5"/>
  <c r="N767" i="5"/>
  <c r="L767" i="5"/>
  <c r="I767" i="5"/>
  <c r="H767" i="5"/>
  <c r="G767" i="5"/>
  <c r="D767" i="5"/>
  <c r="N766" i="5"/>
  <c r="L766" i="5"/>
  <c r="H766" i="5"/>
  <c r="G766" i="5"/>
  <c r="I766" i="5" s="1"/>
  <c r="D766" i="5"/>
  <c r="N765" i="5"/>
  <c r="L765" i="5"/>
  <c r="I765" i="5"/>
  <c r="H765" i="5"/>
  <c r="G765" i="5"/>
  <c r="D765" i="5"/>
  <c r="N764" i="5"/>
  <c r="L764" i="5"/>
  <c r="H764" i="5"/>
  <c r="G764" i="5"/>
  <c r="I764" i="5" s="1"/>
  <c r="D764" i="5"/>
  <c r="N763" i="5"/>
  <c r="L763" i="5"/>
  <c r="I763" i="5"/>
  <c r="H763" i="5"/>
  <c r="G763" i="5"/>
  <c r="D763" i="5"/>
  <c r="N762" i="5"/>
  <c r="L762" i="5"/>
  <c r="H762" i="5"/>
  <c r="G762" i="5"/>
  <c r="I762" i="5" s="1"/>
  <c r="D762" i="5"/>
  <c r="N761" i="5"/>
  <c r="L761" i="5"/>
  <c r="I761" i="5"/>
  <c r="H761" i="5"/>
  <c r="G761" i="5"/>
  <c r="D761" i="5"/>
  <c r="N760" i="5"/>
  <c r="L760" i="5"/>
  <c r="H760" i="5"/>
  <c r="G760" i="5"/>
  <c r="I760" i="5" s="1"/>
  <c r="D760" i="5"/>
  <c r="N759" i="5"/>
  <c r="L759" i="5"/>
  <c r="I759" i="5"/>
  <c r="H759" i="5"/>
  <c r="G759" i="5"/>
  <c r="D759" i="5"/>
  <c r="N758" i="5"/>
  <c r="L758" i="5"/>
  <c r="H758" i="5"/>
  <c r="G758" i="5"/>
  <c r="I758" i="5" s="1"/>
  <c r="D758" i="5"/>
  <c r="N757" i="5"/>
  <c r="L757" i="5"/>
  <c r="I757" i="5"/>
  <c r="H757" i="5"/>
  <c r="G757" i="5"/>
  <c r="D757" i="5"/>
  <c r="N756" i="5"/>
  <c r="L756" i="5"/>
  <c r="H756" i="5"/>
  <c r="G756" i="5"/>
  <c r="I756" i="5" s="1"/>
  <c r="D756" i="5"/>
  <c r="N755" i="5"/>
  <c r="L755" i="5"/>
  <c r="I755" i="5"/>
  <c r="H755" i="5"/>
  <c r="G755" i="5"/>
  <c r="D755" i="5"/>
  <c r="N754" i="5"/>
  <c r="L754" i="5"/>
  <c r="H754" i="5"/>
  <c r="G754" i="5"/>
  <c r="I754" i="5" s="1"/>
  <c r="D754" i="5"/>
  <c r="N753" i="5"/>
  <c r="L753" i="5"/>
  <c r="I753" i="5"/>
  <c r="H753" i="5"/>
  <c r="G753" i="5"/>
  <c r="D753" i="5"/>
  <c r="N752" i="5"/>
  <c r="L752" i="5"/>
  <c r="H752" i="5"/>
  <c r="G752" i="5"/>
  <c r="I752" i="5" s="1"/>
  <c r="D752" i="5"/>
  <c r="N751" i="5"/>
  <c r="L751" i="5"/>
  <c r="I751" i="5"/>
  <c r="H751" i="5"/>
  <c r="G751" i="5"/>
  <c r="D751" i="5"/>
  <c r="N750" i="5"/>
  <c r="L750" i="5"/>
  <c r="H750" i="5"/>
  <c r="G750" i="5"/>
  <c r="I750" i="5" s="1"/>
  <c r="D750" i="5"/>
  <c r="N749" i="5"/>
  <c r="L749" i="5"/>
  <c r="I749" i="5"/>
  <c r="H749" i="5"/>
  <c r="G749" i="5"/>
  <c r="D749" i="5"/>
  <c r="N748" i="5"/>
  <c r="L748" i="5"/>
  <c r="H748" i="5"/>
  <c r="G748" i="5"/>
  <c r="I748" i="5" s="1"/>
  <c r="D748" i="5"/>
  <c r="N747" i="5"/>
  <c r="L747" i="5"/>
  <c r="I747" i="5"/>
  <c r="H747" i="5"/>
  <c r="G747" i="5"/>
  <c r="D747" i="5"/>
  <c r="N746" i="5"/>
  <c r="L746" i="5"/>
  <c r="H746" i="5"/>
  <c r="G746" i="5"/>
  <c r="I746" i="5" s="1"/>
  <c r="D746" i="5"/>
  <c r="N745" i="5"/>
  <c r="L745" i="5"/>
  <c r="I745" i="5"/>
  <c r="H745" i="5"/>
  <c r="G745" i="5"/>
  <c r="D745" i="5"/>
  <c r="N744" i="5"/>
  <c r="L744" i="5"/>
  <c r="H744" i="5"/>
  <c r="G744" i="5"/>
  <c r="I744" i="5" s="1"/>
  <c r="D744" i="5"/>
  <c r="N743" i="5"/>
  <c r="L743" i="5"/>
  <c r="I743" i="5"/>
  <c r="H743" i="5"/>
  <c r="G743" i="5"/>
  <c r="D743" i="5"/>
  <c r="N742" i="5"/>
  <c r="L742" i="5"/>
  <c r="H742" i="5"/>
  <c r="G742" i="5"/>
  <c r="I742" i="5" s="1"/>
  <c r="D742" i="5"/>
  <c r="N741" i="5"/>
  <c r="L741" i="5"/>
  <c r="I741" i="5"/>
  <c r="H741" i="5"/>
  <c r="G741" i="5"/>
  <c r="D741" i="5"/>
  <c r="N740" i="5"/>
  <c r="L740" i="5"/>
  <c r="H740" i="5"/>
  <c r="G740" i="5"/>
  <c r="I740" i="5" s="1"/>
  <c r="D740" i="5"/>
  <c r="N739" i="5"/>
  <c r="L739" i="5"/>
  <c r="I739" i="5"/>
  <c r="H739" i="5"/>
  <c r="G739" i="5"/>
  <c r="D739" i="5"/>
  <c r="N738" i="5"/>
  <c r="L738" i="5"/>
  <c r="H738" i="5"/>
  <c r="G738" i="5"/>
  <c r="I738" i="5" s="1"/>
  <c r="D738" i="5"/>
  <c r="N737" i="5"/>
  <c r="L737" i="5"/>
  <c r="I737" i="5"/>
  <c r="H737" i="5"/>
  <c r="G737" i="5"/>
  <c r="D737" i="5"/>
  <c r="N736" i="5"/>
  <c r="L736" i="5"/>
  <c r="H736" i="5"/>
  <c r="G736" i="5"/>
  <c r="I736" i="5" s="1"/>
  <c r="D736" i="5"/>
  <c r="N735" i="5"/>
  <c r="L735" i="5"/>
  <c r="I735" i="5"/>
  <c r="H735" i="5"/>
  <c r="G735" i="5"/>
  <c r="D735" i="5"/>
  <c r="N734" i="5"/>
  <c r="L734" i="5"/>
  <c r="H734" i="5"/>
  <c r="G734" i="5"/>
  <c r="I734" i="5" s="1"/>
  <c r="D734" i="5"/>
  <c r="N733" i="5"/>
  <c r="L733" i="5"/>
  <c r="I733" i="5"/>
  <c r="H733" i="5"/>
  <c r="G733" i="5"/>
  <c r="D733" i="5"/>
  <c r="N732" i="5"/>
  <c r="L732" i="5"/>
  <c r="H732" i="5"/>
  <c r="G732" i="5"/>
  <c r="I732" i="5" s="1"/>
  <c r="D732" i="5"/>
  <c r="N731" i="5"/>
  <c r="L731" i="5"/>
  <c r="I731" i="5"/>
  <c r="H731" i="5"/>
  <c r="G731" i="5"/>
  <c r="D731" i="5"/>
  <c r="N730" i="5"/>
  <c r="L730" i="5"/>
  <c r="H730" i="5"/>
  <c r="G730" i="5"/>
  <c r="I730" i="5" s="1"/>
  <c r="D730" i="5"/>
  <c r="N729" i="5"/>
  <c r="L729" i="5"/>
  <c r="I729" i="5"/>
  <c r="H729" i="5"/>
  <c r="G729" i="5"/>
  <c r="D729" i="5"/>
  <c r="N728" i="5"/>
  <c r="L728" i="5"/>
  <c r="H728" i="5"/>
  <c r="G728" i="5"/>
  <c r="I728" i="5" s="1"/>
  <c r="D728" i="5"/>
  <c r="N727" i="5"/>
  <c r="L727" i="5"/>
  <c r="I727" i="5"/>
  <c r="H727" i="5"/>
  <c r="G727" i="5"/>
  <c r="D727" i="5"/>
  <c r="N726" i="5"/>
  <c r="L726" i="5"/>
  <c r="H726" i="5"/>
  <c r="G726" i="5"/>
  <c r="I726" i="5" s="1"/>
  <c r="D726" i="5"/>
  <c r="N725" i="5"/>
  <c r="L725" i="5"/>
  <c r="I725" i="5"/>
  <c r="H725" i="5"/>
  <c r="G725" i="5"/>
  <c r="D725" i="5"/>
  <c r="N724" i="5"/>
  <c r="L724" i="5"/>
  <c r="H724" i="5"/>
  <c r="G724" i="5"/>
  <c r="I724" i="5" s="1"/>
  <c r="D724" i="5"/>
  <c r="N723" i="5"/>
  <c r="L723" i="5"/>
  <c r="I723" i="5"/>
  <c r="H723" i="5"/>
  <c r="G723" i="5"/>
  <c r="D723" i="5"/>
  <c r="N722" i="5"/>
  <c r="L722" i="5"/>
  <c r="H722" i="5"/>
  <c r="G722" i="5"/>
  <c r="I722" i="5" s="1"/>
  <c r="D722" i="5"/>
  <c r="N721" i="5"/>
  <c r="L721" i="5"/>
  <c r="I721" i="5"/>
  <c r="H721" i="5"/>
  <c r="G721" i="5"/>
  <c r="D721" i="5"/>
  <c r="N720" i="5"/>
  <c r="L720" i="5"/>
  <c r="H720" i="5"/>
  <c r="G720" i="5"/>
  <c r="I720" i="5" s="1"/>
  <c r="D720" i="5"/>
  <c r="N719" i="5"/>
  <c r="L719" i="5"/>
  <c r="I719" i="5"/>
  <c r="H719" i="5"/>
  <c r="G719" i="5"/>
  <c r="D719" i="5"/>
  <c r="N718" i="5"/>
  <c r="L718" i="5"/>
  <c r="H718" i="5"/>
  <c r="G718" i="5"/>
  <c r="I718" i="5" s="1"/>
  <c r="D718" i="5"/>
  <c r="N717" i="5"/>
  <c r="L717" i="5"/>
  <c r="I717" i="5"/>
  <c r="H717" i="5"/>
  <c r="G717" i="5"/>
  <c r="D717" i="5"/>
  <c r="N716" i="5"/>
  <c r="L716" i="5"/>
  <c r="H716" i="5"/>
  <c r="G716" i="5"/>
  <c r="I716" i="5" s="1"/>
  <c r="D716" i="5"/>
  <c r="N715" i="5"/>
  <c r="L715" i="5"/>
  <c r="I715" i="5"/>
  <c r="H715" i="5"/>
  <c r="G715" i="5"/>
  <c r="D715" i="5"/>
  <c r="N714" i="5"/>
  <c r="L714" i="5"/>
  <c r="H714" i="5"/>
  <c r="G714" i="5"/>
  <c r="I714" i="5" s="1"/>
  <c r="D714" i="5"/>
  <c r="N713" i="5"/>
  <c r="L713" i="5"/>
  <c r="I713" i="5"/>
  <c r="H713" i="5"/>
  <c r="G713" i="5"/>
  <c r="D713" i="5"/>
  <c r="N712" i="5"/>
  <c r="L712" i="5"/>
  <c r="H712" i="5"/>
  <c r="G712" i="5"/>
  <c r="I712" i="5" s="1"/>
  <c r="D712" i="5"/>
  <c r="N711" i="5"/>
  <c r="L711" i="5"/>
  <c r="I711" i="5"/>
  <c r="H711" i="5"/>
  <c r="G711" i="5"/>
  <c r="D711" i="5"/>
  <c r="N710" i="5"/>
  <c r="L710" i="5"/>
  <c r="H710" i="5"/>
  <c r="G710" i="5"/>
  <c r="I710" i="5" s="1"/>
  <c r="D710" i="5"/>
  <c r="N709" i="5"/>
  <c r="L709" i="5"/>
  <c r="I709" i="5"/>
  <c r="H709" i="5"/>
  <c r="G709" i="5"/>
  <c r="D709" i="5"/>
  <c r="N708" i="5"/>
  <c r="L708" i="5"/>
  <c r="H708" i="5"/>
  <c r="G708" i="5"/>
  <c r="I708" i="5" s="1"/>
  <c r="D708" i="5"/>
  <c r="N707" i="5"/>
  <c r="L707" i="5"/>
  <c r="I707" i="5"/>
  <c r="H707" i="5"/>
  <c r="G707" i="5"/>
  <c r="D707" i="5"/>
  <c r="N706" i="5"/>
  <c r="L706" i="5"/>
  <c r="H706" i="5"/>
  <c r="G706" i="5"/>
  <c r="I706" i="5" s="1"/>
  <c r="D706" i="5"/>
  <c r="N705" i="5"/>
  <c r="L705" i="5"/>
  <c r="I705" i="5"/>
  <c r="H705" i="5"/>
  <c r="G705" i="5"/>
  <c r="D705" i="5"/>
  <c r="N704" i="5"/>
  <c r="L704" i="5"/>
  <c r="H704" i="5"/>
  <c r="G704" i="5"/>
  <c r="I704" i="5" s="1"/>
  <c r="D704" i="5"/>
  <c r="N703" i="5"/>
  <c r="L703" i="5"/>
  <c r="I703" i="5"/>
  <c r="H703" i="5"/>
  <c r="G703" i="5"/>
  <c r="D703" i="5"/>
  <c r="N702" i="5"/>
  <c r="L702" i="5"/>
  <c r="H702" i="5"/>
  <c r="G702" i="5"/>
  <c r="I702" i="5" s="1"/>
  <c r="D702" i="5"/>
  <c r="N701" i="5"/>
  <c r="L701" i="5"/>
  <c r="I701" i="5"/>
  <c r="H701" i="5"/>
  <c r="G701" i="5"/>
  <c r="D701" i="5"/>
  <c r="N700" i="5"/>
  <c r="L700" i="5"/>
  <c r="H700" i="5"/>
  <c r="G700" i="5"/>
  <c r="I700" i="5" s="1"/>
  <c r="D700" i="5"/>
  <c r="N699" i="5"/>
  <c r="L699" i="5"/>
  <c r="I699" i="5"/>
  <c r="H699" i="5"/>
  <c r="G699" i="5"/>
  <c r="D699" i="5"/>
  <c r="N698" i="5"/>
  <c r="L698" i="5"/>
  <c r="H698" i="5"/>
  <c r="G698" i="5"/>
  <c r="I698" i="5" s="1"/>
  <c r="D698" i="5"/>
  <c r="N697" i="5"/>
  <c r="L697" i="5"/>
  <c r="I697" i="5"/>
  <c r="H697" i="5"/>
  <c r="G697" i="5"/>
  <c r="D697" i="5"/>
  <c r="N696" i="5"/>
  <c r="L696" i="5"/>
  <c r="H696" i="5"/>
  <c r="G696" i="5"/>
  <c r="I696" i="5" s="1"/>
  <c r="D696" i="5"/>
  <c r="N695" i="5"/>
  <c r="L695" i="5"/>
  <c r="I695" i="5"/>
  <c r="H695" i="5"/>
  <c r="G695" i="5"/>
  <c r="D695" i="5"/>
  <c r="N694" i="5"/>
  <c r="L694" i="5"/>
  <c r="H694" i="5"/>
  <c r="G694" i="5"/>
  <c r="I694" i="5" s="1"/>
  <c r="D694" i="5"/>
  <c r="N693" i="5"/>
  <c r="L693" i="5"/>
  <c r="I693" i="5"/>
  <c r="H693" i="5"/>
  <c r="G693" i="5"/>
  <c r="D693" i="5"/>
  <c r="N692" i="5"/>
  <c r="L692" i="5"/>
  <c r="H692" i="5"/>
  <c r="G692" i="5"/>
  <c r="I692" i="5" s="1"/>
  <c r="D692" i="5"/>
  <c r="N691" i="5"/>
  <c r="L691" i="5"/>
  <c r="I691" i="5"/>
  <c r="H691" i="5"/>
  <c r="G691" i="5"/>
  <c r="D691" i="5"/>
  <c r="N690" i="5"/>
  <c r="L690" i="5"/>
  <c r="H690" i="5"/>
  <c r="G690" i="5"/>
  <c r="I690" i="5" s="1"/>
  <c r="D690" i="5"/>
  <c r="N689" i="5"/>
  <c r="L689" i="5"/>
  <c r="I689" i="5"/>
  <c r="H689" i="5"/>
  <c r="G689" i="5"/>
  <c r="D689" i="5"/>
  <c r="N688" i="5"/>
  <c r="L688" i="5"/>
  <c r="H688" i="5"/>
  <c r="G688" i="5"/>
  <c r="I688" i="5" s="1"/>
  <c r="D688" i="5"/>
  <c r="N687" i="5"/>
  <c r="L687" i="5"/>
  <c r="I687" i="5"/>
  <c r="H687" i="5"/>
  <c r="G687" i="5"/>
  <c r="D687" i="5"/>
  <c r="N686" i="5"/>
  <c r="L686" i="5"/>
  <c r="H686" i="5"/>
  <c r="G686" i="5"/>
  <c r="I686" i="5" s="1"/>
  <c r="D686" i="5"/>
  <c r="N685" i="5"/>
  <c r="L685" i="5"/>
  <c r="I685" i="5"/>
  <c r="H685" i="5"/>
  <c r="G685" i="5"/>
  <c r="D685" i="5"/>
  <c r="N684" i="5"/>
  <c r="L684" i="5"/>
  <c r="H684" i="5"/>
  <c r="G684" i="5"/>
  <c r="I684" i="5" s="1"/>
  <c r="D684" i="5"/>
  <c r="N683" i="5"/>
  <c r="L683" i="5"/>
  <c r="I683" i="5"/>
  <c r="H683" i="5"/>
  <c r="G683" i="5"/>
  <c r="D683" i="5"/>
  <c r="N682" i="5"/>
  <c r="L682" i="5"/>
  <c r="H682" i="5"/>
  <c r="G682" i="5"/>
  <c r="I682" i="5" s="1"/>
  <c r="D682" i="5"/>
  <c r="N681" i="5"/>
  <c r="L681" i="5"/>
  <c r="I681" i="5"/>
  <c r="H681" i="5"/>
  <c r="G681" i="5"/>
  <c r="D681" i="5"/>
  <c r="N680" i="5"/>
  <c r="L680" i="5"/>
  <c r="H680" i="5"/>
  <c r="G680" i="5"/>
  <c r="I680" i="5" s="1"/>
  <c r="D680" i="5"/>
  <c r="N679" i="5"/>
  <c r="L679" i="5"/>
  <c r="I679" i="5"/>
  <c r="H679" i="5"/>
  <c r="G679" i="5"/>
  <c r="D679" i="5"/>
  <c r="N678" i="5"/>
  <c r="L678" i="5"/>
  <c r="H678" i="5"/>
  <c r="G678" i="5"/>
  <c r="I678" i="5" s="1"/>
  <c r="D678" i="5"/>
  <c r="N677" i="5"/>
  <c r="L677" i="5"/>
  <c r="I677" i="5"/>
  <c r="H677" i="5"/>
  <c r="G677" i="5"/>
  <c r="D677" i="5"/>
  <c r="N676" i="5"/>
  <c r="L676" i="5"/>
  <c r="H676" i="5"/>
  <c r="G676" i="5"/>
  <c r="I676" i="5" s="1"/>
  <c r="D676" i="5"/>
  <c r="N675" i="5"/>
  <c r="L675" i="5"/>
  <c r="I675" i="5"/>
  <c r="H675" i="5"/>
  <c r="G675" i="5"/>
  <c r="D675" i="5"/>
  <c r="N674" i="5"/>
  <c r="L674" i="5"/>
  <c r="H674" i="5"/>
  <c r="G674" i="5"/>
  <c r="I674" i="5" s="1"/>
  <c r="D674" i="5"/>
  <c r="N673" i="5"/>
  <c r="L673" i="5"/>
  <c r="I673" i="5"/>
  <c r="H673" i="5"/>
  <c r="G673" i="5"/>
  <c r="D673" i="5"/>
  <c r="N672" i="5"/>
  <c r="L672" i="5"/>
  <c r="H672" i="5"/>
  <c r="G672" i="5"/>
  <c r="I672" i="5" s="1"/>
  <c r="D672" i="5"/>
  <c r="N671" i="5"/>
  <c r="L671" i="5"/>
  <c r="I671" i="5"/>
  <c r="H671" i="5"/>
  <c r="G671" i="5"/>
  <c r="D671" i="5"/>
  <c r="N670" i="5"/>
  <c r="L670" i="5"/>
  <c r="H670" i="5"/>
  <c r="G670" i="5"/>
  <c r="I670" i="5" s="1"/>
  <c r="D670" i="5"/>
  <c r="N669" i="5"/>
  <c r="L669" i="5"/>
  <c r="I669" i="5"/>
  <c r="H669" i="5"/>
  <c r="G669" i="5"/>
  <c r="D669" i="5"/>
  <c r="N668" i="5"/>
  <c r="L668" i="5"/>
  <c r="H668" i="5"/>
  <c r="G668" i="5"/>
  <c r="I668" i="5" s="1"/>
  <c r="D668" i="5"/>
  <c r="N667" i="5"/>
  <c r="L667" i="5"/>
  <c r="I667" i="5"/>
  <c r="H667" i="5"/>
  <c r="G667" i="5"/>
  <c r="D667" i="5"/>
  <c r="N666" i="5"/>
  <c r="L666" i="5"/>
  <c r="H666" i="5"/>
  <c r="G666" i="5"/>
  <c r="I666" i="5" s="1"/>
  <c r="D666" i="5"/>
  <c r="N665" i="5"/>
  <c r="L665" i="5"/>
  <c r="I665" i="5"/>
  <c r="H665" i="5"/>
  <c r="G665" i="5"/>
  <c r="D665" i="5"/>
  <c r="N664" i="5"/>
  <c r="L664" i="5"/>
  <c r="H664" i="5"/>
  <c r="G664" i="5"/>
  <c r="I664" i="5" s="1"/>
  <c r="D664" i="5"/>
  <c r="N663" i="5"/>
  <c r="L663" i="5"/>
  <c r="I663" i="5"/>
  <c r="H663" i="5"/>
  <c r="G663" i="5"/>
  <c r="D663" i="5"/>
  <c r="N662" i="5"/>
  <c r="L662" i="5"/>
  <c r="H662" i="5"/>
  <c r="G662" i="5"/>
  <c r="I662" i="5" s="1"/>
  <c r="D662" i="5"/>
  <c r="N661" i="5"/>
  <c r="L661" i="5"/>
  <c r="I661" i="5"/>
  <c r="H661" i="5"/>
  <c r="G661" i="5"/>
  <c r="D661" i="5"/>
  <c r="N660" i="5"/>
  <c r="L660" i="5"/>
  <c r="H660" i="5"/>
  <c r="G660" i="5"/>
  <c r="I660" i="5" s="1"/>
  <c r="D660" i="5"/>
  <c r="N659" i="5"/>
  <c r="L659" i="5"/>
  <c r="I659" i="5"/>
  <c r="H659" i="5"/>
  <c r="G659" i="5"/>
  <c r="D659" i="5"/>
  <c r="N658" i="5"/>
  <c r="L658" i="5"/>
  <c r="H658" i="5"/>
  <c r="G658" i="5"/>
  <c r="I658" i="5" s="1"/>
  <c r="D658" i="5"/>
  <c r="N657" i="5"/>
  <c r="L657" i="5"/>
  <c r="I657" i="5"/>
  <c r="H657" i="5"/>
  <c r="G657" i="5"/>
  <c r="D657" i="5"/>
  <c r="N656" i="5"/>
  <c r="L656" i="5"/>
  <c r="H656" i="5"/>
  <c r="G656" i="5"/>
  <c r="I656" i="5" s="1"/>
  <c r="D656" i="5"/>
  <c r="N655" i="5"/>
  <c r="L655" i="5"/>
  <c r="I655" i="5"/>
  <c r="H655" i="5"/>
  <c r="G655" i="5"/>
  <c r="D655" i="5"/>
  <c r="N654" i="5"/>
  <c r="L654" i="5"/>
  <c r="H654" i="5"/>
  <c r="G654" i="5"/>
  <c r="I654" i="5" s="1"/>
  <c r="D654" i="5"/>
  <c r="N653" i="5"/>
  <c r="L653" i="5"/>
  <c r="I653" i="5"/>
  <c r="H653" i="5"/>
  <c r="G653" i="5"/>
  <c r="D653" i="5"/>
  <c r="N652" i="5"/>
  <c r="L652" i="5"/>
  <c r="H652" i="5"/>
  <c r="G652" i="5"/>
  <c r="I652" i="5" s="1"/>
  <c r="D652" i="5"/>
  <c r="N651" i="5"/>
  <c r="L651" i="5"/>
  <c r="I651" i="5"/>
  <c r="H651" i="5"/>
  <c r="G651" i="5"/>
  <c r="D651" i="5"/>
  <c r="N650" i="5"/>
  <c r="L650" i="5"/>
  <c r="H650" i="5"/>
  <c r="G650" i="5"/>
  <c r="I650" i="5" s="1"/>
  <c r="D650" i="5"/>
  <c r="N649" i="5"/>
  <c r="L649" i="5"/>
  <c r="I649" i="5"/>
  <c r="H649" i="5"/>
  <c r="G649" i="5"/>
  <c r="D649" i="5"/>
  <c r="N648" i="5"/>
  <c r="L648" i="5"/>
  <c r="H648" i="5"/>
  <c r="G648" i="5"/>
  <c r="I648" i="5" s="1"/>
  <c r="D648" i="5"/>
  <c r="N647" i="5"/>
  <c r="L647" i="5"/>
  <c r="I647" i="5"/>
  <c r="H647" i="5"/>
  <c r="G647" i="5"/>
  <c r="D647" i="5"/>
  <c r="N646" i="5"/>
  <c r="L646" i="5"/>
  <c r="H646" i="5"/>
  <c r="G646" i="5"/>
  <c r="I646" i="5" s="1"/>
  <c r="D646" i="5"/>
  <c r="N645" i="5"/>
  <c r="L645" i="5"/>
  <c r="I645" i="5"/>
  <c r="H645" i="5"/>
  <c r="G645" i="5"/>
  <c r="D645" i="5"/>
  <c r="N644" i="5"/>
  <c r="L644" i="5"/>
  <c r="H644" i="5"/>
  <c r="G644" i="5"/>
  <c r="I644" i="5" s="1"/>
  <c r="D644" i="5"/>
  <c r="N643" i="5"/>
  <c r="L643" i="5"/>
  <c r="I643" i="5"/>
  <c r="H643" i="5"/>
  <c r="G643" i="5"/>
  <c r="D643" i="5"/>
  <c r="N642" i="5"/>
  <c r="L642" i="5"/>
  <c r="H642" i="5"/>
  <c r="G642" i="5"/>
  <c r="I642" i="5" s="1"/>
  <c r="D642" i="5"/>
  <c r="N641" i="5"/>
  <c r="L641" i="5"/>
  <c r="I641" i="5"/>
  <c r="H641" i="5"/>
  <c r="G641" i="5"/>
  <c r="D641" i="5"/>
  <c r="N640" i="5"/>
  <c r="L640" i="5"/>
  <c r="H640" i="5"/>
  <c r="G640" i="5"/>
  <c r="I640" i="5" s="1"/>
  <c r="D640" i="5"/>
  <c r="N639" i="5"/>
  <c r="L639" i="5"/>
  <c r="I639" i="5"/>
  <c r="H639" i="5"/>
  <c r="G639" i="5"/>
  <c r="D639" i="5"/>
  <c r="N638" i="5"/>
  <c r="L638" i="5"/>
  <c r="H638" i="5"/>
  <c r="G638" i="5"/>
  <c r="I638" i="5" s="1"/>
  <c r="D638" i="5"/>
  <c r="N637" i="5"/>
  <c r="L637" i="5"/>
  <c r="I637" i="5"/>
  <c r="H637" i="5"/>
  <c r="G637" i="5"/>
  <c r="D637" i="5"/>
  <c r="N636" i="5"/>
  <c r="L636" i="5"/>
  <c r="H636" i="5"/>
  <c r="G636" i="5"/>
  <c r="I636" i="5" s="1"/>
  <c r="D636" i="5"/>
  <c r="N635" i="5"/>
  <c r="L635" i="5"/>
  <c r="I635" i="5"/>
  <c r="H635" i="5"/>
  <c r="G635" i="5"/>
  <c r="D635" i="5"/>
  <c r="N634" i="5"/>
  <c r="L634" i="5"/>
  <c r="H634" i="5"/>
  <c r="G634" i="5"/>
  <c r="I634" i="5" s="1"/>
  <c r="D634" i="5"/>
  <c r="N633" i="5"/>
  <c r="L633" i="5"/>
  <c r="I633" i="5"/>
  <c r="H633" i="5"/>
  <c r="G633" i="5"/>
  <c r="D633" i="5"/>
  <c r="N632" i="5"/>
  <c r="L632" i="5"/>
  <c r="H632" i="5"/>
  <c r="G632" i="5"/>
  <c r="I632" i="5" s="1"/>
  <c r="D632" i="5"/>
  <c r="N631" i="5"/>
  <c r="L631" i="5"/>
  <c r="I631" i="5"/>
  <c r="H631" i="5"/>
  <c r="G631" i="5"/>
  <c r="D631" i="5"/>
  <c r="N630" i="5"/>
  <c r="L630" i="5"/>
  <c r="H630" i="5"/>
  <c r="G630" i="5"/>
  <c r="I630" i="5" s="1"/>
  <c r="D630" i="5"/>
  <c r="N629" i="5"/>
  <c r="L629" i="5"/>
  <c r="I629" i="5"/>
  <c r="H629" i="5"/>
  <c r="G629" i="5"/>
  <c r="D629" i="5"/>
  <c r="N628" i="5"/>
  <c r="L628" i="5"/>
  <c r="H628" i="5"/>
  <c r="G628" i="5"/>
  <c r="I628" i="5" s="1"/>
  <c r="D628" i="5"/>
  <c r="N627" i="5"/>
  <c r="L627" i="5"/>
  <c r="I627" i="5"/>
  <c r="H627" i="5"/>
  <c r="G627" i="5"/>
  <c r="D627" i="5"/>
  <c r="N626" i="5"/>
  <c r="L626" i="5"/>
  <c r="H626" i="5"/>
  <c r="G626" i="5"/>
  <c r="I626" i="5" s="1"/>
  <c r="D626" i="5"/>
  <c r="N625" i="5"/>
  <c r="L625" i="5"/>
  <c r="I625" i="5"/>
  <c r="H625" i="5"/>
  <c r="G625" i="5"/>
  <c r="D625" i="5"/>
  <c r="N624" i="5"/>
  <c r="L624" i="5"/>
  <c r="H624" i="5"/>
  <c r="G624" i="5"/>
  <c r="I624" i="5" s="1"/>
  <c r="D624" i="5"/>
  <c r="N623" i="5"/>
  <c r="L623" i="5"/>
  <c r="I623" i="5"/>
  <c r="H623" i="5"/>
  <c r="G623" i="5"/>
  <c r="D623" i="5"/>
  <c r="N622" i="5"/>
  <c r="L622" i="5"/>
  <c r="H622" i="5"/>
  <c r="G622" i="5"/>
  <c r="I622" i="5" s="1"/>
  <c r="D622" i="5"/>
  <c r="N621" i="5"/>
  <c r="L621" i="5"/>
  <c r="I621" i="5"/>
  <c r="H621" i="5"/>
  <c r="G621" i="5"/>
  <c r="D621" i="5"/>
  <c r="N620" i="5"/>
  <c r="L620" i="5"/>
  <c r="H620" i="5"/>
  <c r="G620" i="5"/>
  <c r="I620" i="5" s="1"/>
  <c r="D620" i="5"/>
  <c r="N619" i="5"/>
  <c r="L619" i="5"/>
  <c r="I619" i="5"/>
  <c r="H619" i="5"/>
  <c r="G619" i="5"/>
  <c r="D619" i="5"/>
  <c r="N618" i="5"/>
  <c r="L618" i="5"/>
  <c r="H618" i="5"/>
  <c r="G618" i="5"/>
  <c r="I618" i="5" s="1"/>
  <c r="D618" i="5"/>
  <c r="N617" i="5"/>
  <c r="L617" i="5"/>
  <c r="I617" i="5"/>
  <c r="H617" i="5"/>
  <c r="G617" i="5"/>
  <c r="D617" i="5"/>
  <c r="N616" i="5"/>
  <c r="L616" i="5"/>
  <c r="H616" i="5"/>
  <c r="G616" i="5"/>
  <c r="I616" i="5" s="1"/>
  <c r="D616" i="5"/>
  <c r="N615" i="5"/>
  <c r="L615" i="5"/>
  <c r="I615" i="5"/>
  <c r="H615" i="5"/>
  <c r="G615" i="5"/>
  <c r="D615" i="5"/>
  <c r="N614" i="5"/>
  <c r="L614" i="5"/>
  <c r="H614" i="5"/>
  <c r="G614" i="5"/>
  <c r="I614" i="5" s="1"/>
  <c r="D614" i="5"/>
  <c r="N613" i="5"/>
  <c r="L613" i="5"/>
  <c r="I613" i="5"/>
  <c r="H613" i="5"/>
  <c r="G613" i="5"/>
  <c r="D613" i="5"/>
  <c r="N612" i="5"/>
  <c r="L612" i="5"/>
  <c r="H612" i="5"/>
  <c r="G612" i="5"/>
  <c r="I612" i="5" s="1"/>
  <c r="D612" i="5"/>
  <c r="N611" i="5"/>
  <c r="L611" i="5"/>
  <c r="I611" i="5"/>
  <c r="H611" i="5"/>
  <c r="G611" i="5"/>
  <c r="D611" i="5"/>
  <c r="N610" i="5"/>
  <c r="L610" i="5"/>
  <c r="H610" i="5"/>
  <c r="G610" i="5"/>
  <c r="I610" i="5" s="1"/>
  <c r="D610" i="5"/>
  <c r="N609" i="5"/>
  <c r="L609" i="5"/>
  <c r="I609" i="5"/>
  <c r="H609" i="5"/>
  <c r="G609" i="5"/>
  <c r="D609" i="5"/>
  <c r="N608" i="5"/>
  <c r="L608" i="5"/>
  <c r="H608" i="5"/>
  <c r="G608" i="5"/>
  <c r="I608" i="5" s="1"/>
  <c r="D608" i="5"/>
  <c r="N607" i="5"/>
  <c r="L607" i="5"/>
  <c r="I607" i="5"/>
  <c r="H607" i="5"/>
  <c r="G607" i="5"/>
  <c r="D607" i="5"/>
  <c r="N606" i="5"/>
  <c r="L606" i="5"/>
  <c r="H606" i="5"/>
  <c r="G606" i="5"/>
  <c r="I606" i="5" s="1"/>
  <c r="D606" i="5"/>
  <c r="N605" i="5"/>
  <c r="L605" i="5"/>
  <c r="I605" i="5"/>
  <c r="H605" i="5"/>
  <c r="G605" i="5"/>
  <c r="D605" i="5"/>
  <c r="N604" i="5"/>
  <c r="L604" i="5"/>
  <c r="H604" i="5"/>
  <c r="G604" i="5"/>
  <c r="I604" i="5" s="1"/>
  <c r="D604" i="5"/>
  <c r="N603" i="5"/>
  <c r="L603" i="5"/>
  <c r="I603" i="5"/>
  <c r="H603" i="5"/>
  <c r="G603" i="5"/>
  <c r="D603" i="5"/>
  <c r="N602" i="5"/>
  <c r="L602" i="5"/>
  <c r="H602" i="5"/>
  <c r="G602" i="5"/>
  <c r="I602" i="5" s="1"/>
  <c r="D602" i="5"/>
  <c r="N601" i="5"/>
  <c r="L601" i="5"/>
  <c r="I601" i="5"/>
  <c r="H601" i="5"/>
  <c r="G601" i="5"/>
  <c r="D601" i="5"/>
  <c r="N600" i="5"/>
  <c r="L600" i="5"/>
  <c r="H600" i="5"/>
  <c r="G600" i="5"/>
  <c r="I600" i="5" s="1"/>
  <c r="D600" i="5"/>
  <c r="N599" i="5"/>
  <c r="L599" i="5"/>
  <c r="I599" i="5"/>
  <c r="H599" i="5"/>
  <c r="G599" i="5"/>
  <c r="D599" i="5"/>
  <c r="N598" i="5"/>
  <c r="L598" i="5"/>
  <c r="H598" i="5"/>
  <c r="G598" i="5"/>
  <c r="I598" i="5" s="1"/>
  <c r="D598" i="5"/>
  <c r="N597" i="5"/>
  <c r="L597" i="5"/>
  <c r="I597" i="5"/>
  <c r="H597" i="5"/>
  <c r="G597" i="5"/>
  <c r="D597" i="5"/>
  <c r="N596" i="5"/>
  <c r="L596" i="5"/>
  <c r="H596" i="5"/>
  <c r="G596" i="5"/>
  <c r="I596" i="5" s="1"/>
  <c r="D596" i="5"/>
  <c r="N595" i="5"/>
  <c r="L595" i="5"/>
  <c r="I595" i="5"/>
  <c r="H595" i="5"/>
  <c r="G595" i="5"/>
  <c r="D595" i="5"/>
  <c r="N594" i="5"/>
  <c r="L594" i="5"/>
  <c r="H594" i="5"/>
  <c r="G594" i="5"/>
  <c r="I594" i="5" s="1"/>
  <c r="D594" i="5"/>
  <c r="N593" i="5"/>
  <c r="L593" i="5"/>
  <c r="I593" i="5"/>
  <c r="H593" i="5"/>
  <c r="G593" i="5"/>
  <c r="D593" i="5"/>
  <c r="N592" i="5"/>
  <c r="L592" i="5"/>
  <c r="H592" i="5"/>
  <c r="G592" i="5"/>
  <c r="I592" i="5" s="1"/>
  <c r="D592" i="5"/>
  <c r="N591" i="5"/>
  <c r="L591" i="5"/>
  <c r="I591" i="5"/>
  <c r="H591" i="5"/>
  <c r="G591" i="5"/>
  <c r="D591" i="5"/>
  <c r="N590" i="5"/>
  <c r="L590" i="5"/>
  <c r="H590" i="5"/>
  <c r="G590" i="5"/>
  <c r="I590" i="5" s="1"/>
  <c r="D590" i="5"/>
  <c r="N589" i="5"/>
  <c r="L589" i="5"/>
  <c r="I589" i="5"/>
  <c r="H589" i="5"/>
  <c r="G589" i="5"/>
  <c r="D589" i="5"/>
  <c r="N588" i="5"/>
  <c r="L588" i="5"/>
  <c r="H588" i="5"/>
  <c r="G588" i="5"/>
  <c r="I588" i="5" s="1"/>
  <c r="D588" i="5"/>
  <c r="N587" i="5"/>
  <c r="L587" i="5"/>
  <c r="I587" i="5"/>
  <c r="H587" i="5"/>
  <c r="G587" i="5"/>
  <c r="D587" i="5"/>
  <c r="N586" i="5"/>
  <c r="L586" i="5"/>
  <c r="H586" i="5"/>
  <c r="G586" i="5"/>
  <c r="I586" i="5" s="1"/>
  <c r="D586" i="5"/>
  <c r="N585" i="5"/>
  <c r="L585" i="5"/>
  <c r="I585" i="5"/>
  <c r="H585" i="5"/>
  <c r="G585" i="5"/>
  <c r="D585" i="5"/>
  <c r="N584" i="5"/>
  <c r="L584" i="5"/>
  <c r="H584" i="5"/>
  <c r="G584" i="5"/>
  <c r="I584" i="5" s="1"/>
  <c r="D584" i="5"/>
  <c r="N583" i="5"/>
  <c r="L583" i="5"/>
  <c r="I583" i="5"/>
  <c r="H583" i="5"/>
  <c r="G583" i="5"/>
  <c r="D583" i="5"/>
  <c r="N582" i="5"/>
  <c r="L582" i="5"/>
  <c r="H582" i="5"/>
  <c r="G582" i="5"/>
  <c r="I582" i="5" s="1"/>
  <c r="D582" i="5"/>
  <c r="N581" i="5"/>
  <c r="L581" i="5"/>
  <c r="I581" i="5"/>
  <c r="H581" i="5"/>
  <c r="G581" i="5"/>
  <c r="D581" i="5"/>
  <c r="N580" i="5"/>
  <c r="L580" i="5"/>
  <c r="H580" i="5"/>
  <c r="G580" i="5"/>
  <c r="I580" i="5" s="1"/>
  <c r="D580" i="5"/>
  <c r="N579" i="5"/>
  <c r="L579" i="5"/>
  <c r="I579" i="5"/>
  <c r="H579" i="5"/>
  <c r="G579" i="5"/>
  <c r="D579" i="5"/>
  <c r="N578" i="5"/>
  <c r="L578" i="5"/>
  <c r="H578" i="5"/>
  <c r="G578" i="5"/>
  <c r="I578" i="5" s="1"/>
  <c r="D578" i="5"/>
  <c r="N577" i="5"/>
  <c r="L577" i="5"/>
  <c r="I577" i="5"/>
  <c r="H577" i="5"/>
  <c r="G577" i="5"/>
  <c r="D577" i="5"/>
  <c r="N576" i="5"/>
  <c r="L576" i="5"/>
  <c r="H576" i="5"/>
  <c r="G576" i="5"/>
  <c r="I576" i="5" s="1"/>
  <c r="D576" i="5"/>
  <c r="N575" i="5"/>
  <c r="L575" i="5"/>
  <c r="I575" i="5"/>
  <c r="H575" i="5"/>
  <c r="G575" i="5"/>
  <c r="D575" i="5"/>
  <c r="N574" i="5"/>
  <c r="L574" i="5"/>
  <c r="H574" i="5"/>
  <c r="G574" i="5"/>
  <c r="I574" i="5" s="1"/>
  <c r="D574" i="5"/>
  <c r="N573" i="5"/>
  <c r="L573" i="5"/>
  <c r="I573" i="5"/>
  <c r="H573" i="5"/>
  <c r="G573" i="5"/>
  <c r="D573" i="5"/>
  <c r="N572" i="5"/>
  <c r="L572" i="5"/>
  <c r="H572" i="5"/>
  <c r="G572" i="5"/>
  <c r="I572" i="5" s="1"/>
  <c r="D572" i="5"/>
  <c r="N571" i="5"/>
  <c r="L571" i="5"/>
  <c r="I571" i="5"/>
  <c r="H571" i="5"/>
  <c r="G571" i="5"/>
  <c r="D571" i="5"/>
  <c r="N570" i="5"/>
  <c r="L570" i="5"/>
  <c r="H570" i="5"/>
  <c r="G570" i="5"/>
  <c r="I570" i="5" s="1"/>
  <c r="D570" i="5"/>
  <c r="N569" i="5"/>
  <c r="L569" i="5"/>
  <c r="I569" i="5"/>
  <c r="H569" i="5"/>
  <c r="G569" i="5"/>
  <c r="D569" i="5"/>
  <c r="N568" i="5"/>
  <c r="L568" i="5"/>
  <c r="H568" i="5"/>
  <c r="G568" i="5"/>
  <c r="I568" i="5" s="1"/>
  <c r="D568" i="5"/>
  <c r="N567" i="5"/>
  <c r="L567" i="5"/>
  <c r="I567" i="5"/>
  <c r="H567" i="5"/>
  <c r="G567" i="5"/>
  <c r="D567" i="5"/>
  <c r="N566" i="5"/>
  <c r="L566" i="5"/>
  <c r="H566" i="5"/>
  <c r="G566" i="5"/>
  <c r="I566" i="5" s="1"/>
  <c r="D566" i="5"/>
  <c r="N565" i="5"/>
  <c r="L565" i="5"/>
  <c r="I565" i="5"/>
  <c r="H565" i="5"/>
  <c r="G565" i="5"/>
  <c r="D565" i="5"/>
  <c r="N564" i="5"/>
  <c r="L564" i="5"/>
  <c r="H564" i="5"/>
  <c r="G564" i="5"/>
  <c r="I564" i="5" s="1"/>
  <c r="D564" i="5"/>
  <c r="N563" i="5"/>
  <c r="L563" i="5"/>
  <c r="I563" i="5"/>
  <c r="H563" i="5"/>
  <c r="G563" i="5"/>
  <c r="D563" i="5"/>
  <c r="N562" i="5"/>
  <c r="L562" i="5"/>
  <c r="H562" i="5"/>
  <c r="G562" i="5"/>
  <c r="I562" i="5" s="1"/>
  <c r="D562" i="5"/>
  <c r="N561" i="5"/>
  <c r="L561" i="5"/>
  <c r="I561" i="5"/>
  <c r="H561" i="5"/>
  <c r="G561" i="5"/>
  <c r="D561" i="5"/>
  <c r="N560" i="5"/>
  <c r="L560" i="5"/>
  <c r="H560" i="5"/>
  <c r="G560" i="5"/>
  <c r="I560" i="5" s="1"/>
  <c r="D560" i="5"/>
  <c r="N559" i="5"/>
  <c r="L559" i="5"/>
  <c r="I559" i="5"/>
  <c r="H559" i="5"/>
  <c r="G559" i="5"/>
  <c r="D559" i="5"/>
  <c r="N558" i="5"/>
  <c r="L558" i="5"/>
  <c r="H558" i="5"/>
  <c r="G558" i="5"/>
  <c r="I558" i="5" s="1"/>
  <c r="D558" i="5"/>
  <c r="N557" i="5"/>
  <c r="L557" i="5"/>
  <c r="I557" i="5"/>
  <c r="H557" i="5"/>
  <c r="G557" i="5"/>
  <c r="D557" i="5"/>
  <c r="N556" i="5"/>
  <c r="L556" i="5"/>
  <c r="H556" i="5"/>
  <c r="G556" i="5"/>
  <c r="I556" i="5" s="1"/>
  <c r="D556" i="5"/>
  <c r="N555" i="5"/>
  <c r="L555" i="5"/>
  <c r="I555" i="5"/>
  <c r="H555" i="5"/>
  <c r="G555" i="5"/>
  <c r="D555" i="5"/>
  <c r="N554" i="5"/>
  <c r="L554" i="5"/>
  <c r="H554" i="5"/>
  <c r="G554" i="5"/>
  <c r="I554" i="5" s="1"/>
  <c r="D554" i="5"/>
  <c r="N553" i="5"/>
  <c r="L553" i="5"/>
  <c r="I553" i="5"/>
  <c r="H553" i="5"/>
  <c r="G553" i="5"/>
  <c r="D553" i="5"/>
  <c r="N552" i="5"/>
  <c r="L552" i="5"/>
  <c r="H552" i="5"/>
  <c r="G552" i="5"/>
  <c r="I552" i="5" s="1"/>
  <c r="D552" i="5"/>
  <c r="N551" i="5"/>
  <c r="L551" i="5"/>
  <c r="I551" i="5"/>
  <c r="H551" i="5"/>
  <c r="G551" i="5"/>
  <c r="D551" i="5"/>
  <c r="N550" i="5"/>
  <c r="L550" i="5"/>
  <c r="H550" i="5"/>
  <c r="G550" i="5"/>
  <c r="I550" i="5" s="1"/>
  <c r="D550" i="5"/>
  <c r="N549" i="5"/>
  <c r="L549" i="5"/>
  <c r="I549" i="5"/>
  <c r="H549" i="5"/>
  <c r="G549" i="5"/>
  <c r="D549" i="5"/>
  <c r="N548" i="5"/>
  <c r="L548" i="5"/>
  <c r="H548" i="5"/>
  <c r="G548" i="5"/>
  <c r="I548" i="5" s="1"/>
  <c r="D548" i="5"/>
  <c r="N547" i="5"/>
  <c r="L547" i="5"/>
  <c r="I547" i="5"/>
  <c r="H547" i="5"/>
  <c r="G547" i="5"/>
  <c r="D547" i="5"/>
  <c r="N546" i="5"/>
  <c r="L546" i="5"/>
  <c r="H546" i="5"/>
  <c r="G546" i="5"/>
  <c r="I546" i="5" s="1"/>
  <c r="D546" i="5"/>
  <c r="N545" i="5"/>
  <c r="L545" i="5"/>
  <c r="I545" i="5"/>
  <c r="H545" i="5"/>
  <c r="G545" i="5"/>
  <c r="D545" i="5"/>
  <c r="N544" i="5"/>
  <c r="L544" i="5"/>
  <c r="I544" i="5"/>
  <c r="H544" i="5"/>
  <c r="G544" i="5"/>
  <c r="D544" i="5"/>
  <c r="N543" i="5"/>
  <c r="L543" i="5"/>
  <c r="H543" i="5"/>
  <c r="G543" i="5"/>
  <c r="I543" i="5" s="1"/>
  <c r="D543" i="5"/>
  <c r="N542" i="5"/>
  <c r="L542" i="5"/>
  <c r="H542" i="5"/>
  <c r="G542" i="5"/>
  <c r="I542" i="5" s="1"/>
  <c r="D542" i="5"/>
  <c r="N541" i="5"/>
  <c r="L541" i="5"/>
  <c r="I541" i="5"/>
  <c r="H541" i="5"/>
  <c r="G541" i="5"/>
  <c r="D541" i="5"/>
  <c r="N540" i="5"/>
  <c r="L540" i="5"/>
  <c r="I540" i="5"/>
  <c r="H540" i="5"/>
  <c r="G540" i="5"/>
  <c r="D540" i="5"/>
  <c r="N539" i="5"/>
  <c r="L539" i="5"/>
  <c r="I539" i="5"/>
  <c r="H539" i="5"/>
  <c r="G539" i="5"/>
  <c r="D539" i="5"/>
  <c r="N538" i="5"/>
  <c r="L538" i="5"/>
  <c r="H538" i="5"/>
  <c r="G538" i="5"/>
  <c r="I538" i="5" s="1"/>
  <c r="D538" i="5"/>
  <c r="N537" i="5"/>
  <c r="L537" i="5"/>
  <c r="I537" i="5"/>
  <c r="H537" i="5"/>
  <c r="G537" i="5"/>
  <c r="D537" i="5"/>
  <c r="N536" i="5"/>
  <c r="L536" i="5"/>
  <c r="H536" i="5"/>
  <c r="G536" i="5"/>
  <c r="I536" i="5" s="1"/>
  <c r="D536" i="5"/>
  <c r="N535" i="5"/>
  <c r="L535" i="5"/>
  <c r="H535" i="5"/>
  <c r="G535" i="5"/>
  <c r="I535" i="5" s="1"/>
  <c r="D535" i="5"/>
  <c r="N534" i="5"/>
  <c r="L534" i="5"/>
  <c r="H534" i="5"/>
  <c r="G534" i="5"/>
  <c r="I534" i="5" s="1"/>
  <c r="D534" i="5"/>
  <c r="N533" i="5"/>
  <c r="L533" i="5"/>
  <c r="I533" i="5"/>
  <c r="H533" i="5"/>
  <c r="G533" i="5"/>
  <c r="D533" i="5"/>
  <c r="N532" i="5"/>
  <c r="L532" i="5"/>
  <c r="I532" i="5"/>
  <c r="H532" i="5"/>
  <c r="G532" i="5"/>
  <c r="D532" i="5"/>
  <c r="N531" i="5"/>
  <c r="L531" i="5"/>
  <c r="H531" i="5"/>
  <c r="G531" i="5"/>
  <c r="I531" i="5" s="1"/>
  <c r="D531" i="5"/>
  <c r="N530" i="5"/>
  <c r="L530" i="5"/>
  <c r="H530" i="5"/>
  <c r="G530" i="5"/>
  <c r="I530" i="5" s="1"/>
  <c r="D530" i="5"/>
  <c r="N529" i="5"/>
  <c r="L529" i="5"/>
  <c r="I529" i="5"/>
  <c r="H529" i="5"/>
  <c r="G529" i="5"/>
  <c r="D529" i="5"/>
  <c r="N528" i="5"/>
  <c r="L528" i="5"/>
  <c r="H528" i="5"/>
  <c r="G528" i="5"/>
  <c r="I528" i="5" s="1"/>
  <c r="D528" i="5"/>
  <c r="N527" i="5"/>
  <c r="L527" i="5"/>
  <c r="I527" i="5"/>
  <c r="H527" i="5"/>
  <c r="G527" i="5"/>
  <c r="D527" i="5"/>
  <c r="N526" i="5"/>
  <c r="L526" i="5"/>
  <c r="H526" i="5"/>
  <c r="G526" i="5"/>
  <c r="I526" i="5" s="1"/>
  <c r="D526" i="5"/>
  <c r="N525" i="5"/>
  <c r="L525" i="5"/>
  <c r="I525" i="5"/>
  <c r="H525" i="5"/>
  <c r="G525" i="5"/>
  <c r="D525" i="5"/>
  <c r="N524" i="5"/>
  <c r="L524" i="5"/>
  <c r="H524" i="5"/>
  <c r="G524" i="5"/>
  <c r="I524" i="5" s="1"/>
  <c r="D524" i="5"/>
  <c r="N523" i="5"/>
  <c r="L523" i="5"/>
  <c r="H523" i="5"/>
  <c r="G523" i="5"/>
  <c r="I523" i="5" s="1"/>
  <c r="D523" i="5"/>
  <c r="N522" i="5"/>
  <c r="L522" i="5"/>
  <c r="H522" i="5"/>
  <c r="G522" i="5"/>
  <c r="I522" i="5" s="1"/>
  <c r="D522" i="5"/>
  <c r="N521" i="5"/>
  <c r="L521" i="5"/>
  <c r="I521" i="5"/>
  <c r="H521" i="5"/>
  <c r="G521" i="5"/>
  <c r="D521" i="5"/>
  <c r="N520" i="5"/>
  <c r="L520" i="5"/>
  <c r="I520" i="5"/>
  <c r="H520" i="5"/>
  <c r="G520" i="5"/>
  <c r="D520" i="5"/>
  <c r="N519" i="5"/>
  <c r="L519" i="5"/>
  <c r="I519" i="5"/>
  <c r="H519" i="5"/>
  <c r="G519" i="5"/>
  <c r="D519" i="5"/>
  <c r="N518" i="5"/>
  <c r="L518" i="5"/>
  <c r="H518" i="5"/>
  <c r="G518" i="5"/>
  <c r="I518" i="5" s="1"/>
  <c r="D518" i="5"/>
  <c r="N517" i="5"/>
  <c r="L517" i="5"/>
  <c r="H517" i="5"/>
  <c r="G517" i="5"/>
  <c r="I517" i="5" s="1"/>
  <c r="D517" i="5"/>
  <c r="N516" i="5"/>
  <c r="L516" i="5"/>
  <c r="I516" i="5"/>
  <c r="H516" i="5"/>
  <c r="G516" i="5"/>
  <c r="D516" i="5"/>
  <c r="N515" i="5"/>
  <c r="L515" i="5"/>
  <c r="I515" i="5"/>
  <c r="H515" i="5"/>
  <c r="G515" i="5"/>
  <c r="D515" i="5"/>
  <c r="N514" i="5"/>
  <c r="L514" i="5"/>
  <c r="H514" i="5"/>
  <c r="G514" i="5"/>
  <c r="I514" i="5" s="1"/>
  <c r="D514" i="5"/>
  <c r="N513" i="5"/>
  <c r="L513" i="5"/>
  <c r="H513" i="5"/>
  <c r="G513" i="5"/>
  <c r="I513" i="5" s="1"/>
  <c r="D513" i="5"/>
  <c r="N512" i="5"/>
  <c r="L512" i="5"/>
  <c r="I512" i="5"/>
  <c r="H512" i="5"/>
  <c r="G512" i="5"/>
  <c r="D512" i="5"/>
  <c r="N511" i="5"/>
  <c r="L511" i="5"/>
  <c r="I511" i="5"/>
  <c r="H511" i="5"/>
  <c r="G511" i="5"/>
  <c r="D511" i="5"/>
  <c r="N510" i="5"/>
  <c r="L510" i="5"/>
  <c r="H510" i="5"/>
  <c r="G510" i="5"/>
  <c r="I510" i="5" s="1"/>
  <c r="D510" i="5"/>
  <c r="N509" i="5"/>
  <c r="L509" i="5"/>
  <c r="H509" i="5"/>
  <c r="G509" i="5"/>
  <c r="I509" i="5" s="1"/>
  <c r="D509" i="5"/>
  <c r="N508" i="5"/>
  <c r="L508" i="5"/>
  <c r="I508" i="5"/>
  <c r="H508" i="5"/>
  <c r="G508" i="5"/>
  <c r="D508" i="5"/>
  <c r="N507" i="5"/>
  <c r="L507" i="5"/>
  <c r="I507" i="5"/>
  <c r="H507" i="5"/>
  <c r="G507" i="5"/>
  <c r="D507" i="5"/>
  <c r="N506" i="5"/>
  <c r="L506" i="5"/>
  <c r="H506" i="5"/>
  <c r="G506" i="5"/>
  <c r="I506" i="5" s="1"/>
  <c r="D506" i="5"/>
  <c r="N505" i="5"/>
  <c r="L505" i="5"/>
  <c r="H505" i="5"/>
  <c r="G505" i="5"/>
  <c r="I505" i="5" s="1"/>
  <c r="D505" i="5"/>
  <c r="N504" i="5"/>
  <c r="L504" i="5"/>
  <c r="I504" i="5"/>
  <c r="H504" i="5"/>
  <c r="G504" i="5"/>
  <c r="D504" i="5"/>
  <c r="N503" i="5"/>
  <c r="L503" i="5"/>
  <c r="I503" i="5"/>
  <c r="H503" i="5"/>
  <c r="G503" i="5"/>
  <c r="D503" i="5"/>
  <c r="N502" i="5"/>
  <c r="L502" i="5"/>
  <c r="H502" i="5"/>
  <c r="G502" i="5"/>
  <c r="I502" i="5" s="1"/>
  <c r="D502" i="5"/>
  <c r="N501" i="5"/>
  <c r="L501" i="5"/>
  <c r="H501" i="5"/>
  <c r="G501" i="5"/>
  <c r="I501" i="5" s="1"/>
  <c r="D501" i="5"/>
  <c r="N500" i="5"/>
  <c r="L500" i="5"/>
  <c r="I500" i="5"/>
  <c r="H500" i="5"/>
  <c r="G500" i="5"/>
  <c r="D500" i="5"/>
  <c r="N499" i="5"/>
  <c r="L499" i="5"/>
  <c r="I499" i="5"/>
  <c r="H499" i="5"/>
  <c r="G499" i="5"/>
  <c r="D499" i="5"/>
  <c r="N498" i="5"/>
  <c r="L498" i="5"/>
  <c r="H498" i="5"/>
  <c r="G498" i="5"/>
  <c r="I498" i="5" s="1"/>
  <c r="D498" i="5"/>
  <c r="N497" i="5"/>
  <c r="L497" i="5"/>
  <c r="H497" i="5"/>
  <c r="G497" i="5"/>
  <c r="I497" i="5" s="1"/>
  <c r="D497" i="5"/>
  <c r="N496" i="5"/>
  <c r="L496" i="5"/>
  <c r="I496" i="5"/>
  <c r="H496" i="5"/>
  <c r="G496" i="5"/>
  <c r="D496" i="5"/>
  <c r="N495" i="5"/>
  <c r="L495" i="5"/>
  <c r="I495" i="5"/>
  <c r="H495" i="5"/>
  <c r="G495" i="5"/>
  <c r="D495" i="5"/>
  <c r="N494" i="5"/>
  <c r="L494" i="5"/>
  <c r="H494" i="5"/>
  <c r="G494" i="5"/>
  <c r="I494" i="5" s="1"/>
  <c r="D494" i="5"/>
  <c r="N493" i="5"/>
  <c r="L493" i="5"/>
  <c r="H493" i="5"/>
  <c r="G493" i="5"/>
  <c r="I493" i="5" s="1"/>
  <c r="D493" i="5"/>
  <c r="N492" i="5"/>
  <c r="L492" i="5"/>
  <c r="I492" i="5"/>
  <c r="H492" i="5"/>
  <c r="G492" i="5"/>
  <c r="D492" i="5"/>
  <c r="N491" i="5"/>
  <c r="L491" i="5"/>
  <c r="I491" i="5"/>
  <c r="H491" i="5"/>
  <c r="G491" i="5"/>
  <c r="D491" i="5"/>
  <c r="N490" i="5"/>
  <c r="L490" i="5"/>
  <c r="H490" i="5"/>
  <c r="G490" i="5"/>
  <c r="I490" i="5" s="1"/>
  <c r="D490" i="5"/>
  <c r="N489" i="5"/>
  <c r="L489" i="5"/>
  <c r="H489" i="5"/>
  <c r="G489" i="5"/>
  <c r="I489" i="5" s="1"/>
  <c r="D489" i="5"/>
  <c r="N488" i="5"/>
  <c r="L488" i="5"/>
  <c r="I488" i="5"/>
  <c r="H488" i="5"/>
  <c r="G488" i="5"/>
  <c r="D488" i="5"/>
  <c r="N487" i="5"/>
  <c r="L487" i="5"/>
  <c r="I487" i="5"/>
  <c r="H487" i="5"/>
  <c r="G487" i="5"/>
  <c r="D487" i="5"/>
  <c r="N486" i="5"/>
  <c r="L486" i="5"/>
  <c r="H486" i="5"/>
  <c r="G486" i="5"/>
  <c r="I486" i="5" s="1"/>
  <c r="D486" i="5"/>
  <c r="N485" i="5"/>
  <c r="L485" i="5"/>
  <c r="H485" i="5"/>
  <c r="G485" i="5"/>
  <c r="I485" i="5" s="1"/>
  <c r="D485" i="5"/>
  <c r="N484" i="5"/>
  <c r="L484" i="5"/>
  <c r="I484" i="5"/>
  <c r="H484" i="5"/>
  <c r="G484" i="5"/>
  <c r="D484" i="5"/>
  <c r="N483" i="5"/>
  <c r="L483" i="5"/>
  <c r="I483" i="5"/>
  <c r="H483" i="5"/>
  <c r="G483" i="5"/>
  <c r="D483" i="5"/>
  <c r="N482" i="5"/>
  <c r="L482" i="5"/>
  <c r="H482" i="5"/>
  <c r="G482" i="5"/>
  <c r="I482" i="5" s="1"/>
  <c r="D482" i="5"/>
  <c r="N481" i="5"/>
  <c r="L481" i="5"/>
  <c r="H481" i="5"/>
  <c r="G481" i="5"/>
  <c r="I481" i="5" s="1"/>
  <c r="D481" i="5"/>
  <c r="N480" i="5"/>
  <c r="L480" i="5"/>
  <c r="I480" i="5"/>
  <c r="H480" i="5"/>
  <c r="G480" i="5"/>
  <c r="D480" i="5"/>
  <c r="N479" i="5"/>
  <c r="L479" i="5"/>
  <c r="I479" i="5"/>
  <c r="H479" i="5"/>
  <c r="G479" i="5"/>
  <c r="D479" i="5"/>
  <c r="N478" i="5"/>
  <c r="L478" i="5"/>
  <c r="H478" i="5"/>
  <c r="G478" i="5"/>
  <c r="I478" i="5" s="1"/>
  <c r="D478" i="5"/>
  <c r="N477" i="5"/>
  <c r="L477" i="5"/>
  <c r="H477" i="5"/>
  <c r="G477" i="5"/>
  <c r="I477" i="5" s="1"/>
  <c r="D477" i="5"/>
  <c r="N476" i="5"/>
  <c r="L476" i="5"/>
  <c r="I476" i="5"/>
  <c r="H476" i="5"/>
  <c r="G476" i="5"/>
  <c r="D476" i="5"/>
  <c r="N475" i="5"/>
  <c r="L475" i="5"/>
  <c r="I475" i="5"/>
  <c r="H475" i="5"/>
  <c r="G475" i="5"/>
  <c r="D475" i="5"/>
  <c r="N474" i="5"/>
  <c r="L474" i="5"/>
  <c r="H474" i="5"/>
  <c r="G474" i="5"/>
  <c r="I474" i="5" s="1"/>
  <c r="D474" i="5"/>
  <c r="N473" i="5"/>
  <c r="L473" i="5"/>
  <c r="H473" i="5"/>
  <c r="G473" i="5"/>
  <c r="I473" i="5" s="1"/>
  <c r="D473" i="5"/>
  <c r="N472" i="5"/>
  <c r="L472" i="5"/>
  <c r="I472" i="5"/>
  <c r="H472" i="5"/>
  <c r="G472" i="5"/>
  <c r="D472" i="5"/>
  <c r="N471" i="5"/>
  <c r="L471" i="5"/>
  <c r="I471" i="5"/>
  <c r="H471" i="5"/>
  <c r="G471" i="5"/>
  <c r="D471" i="5"/>
  <c r="N470" i="5"/>
  <c r="L470" i="5"/>
  <c r="H470" i="5"/>
  <c r="G470" i="5"/>
  <c r="I470" i="5" s="1"/>
  <c r="D470" i="5"/>
  <c r="N469" i="5"/>
  <c r="L469" i="5"/>
  <c r="H469" i="5"/>
  <c r="G469" i="5"/>
  <c r="I469" i="5" s="1"/>
  <c r="D469" i="5"/>
  <c r="N468" i="5"/>
  <c r="L468" i="5"/>
  <c r="I468" i="5"/>
  <c r="H468" i="5"/>
  <c r="G468" i="5"/>
  <c r="D468" i="5"/>
  <c r="N467" i="5"/>
  <c r="L467" i="5"/>
  <c r="I467" i="5"/>
  <c r="H467" i="5"/>
  <c r="G467" i="5"/>
  <c r="D467" i="5"/>
  <c r="N466" i="5"/>
  <c r="L466" i="5"/>
  <c r="H466" i="5"/>
  <c r="G466" i="5"/>
  <c r="I466" i="5" s="1"/>
  <c r="D466" i="5"/>
  <c r="N465" i="5"/>
  <c r="L465" i="5"/>
  <c r="H465" i="5"/>
  <c r="G465" i="5"/>
  <c r="I465" i="5" s="1"/>
  <c r="D465" i="5"/>
  <c r="N464" i="5"/>
  <c r="L464" i="5"/>
  <c r="I464" i="5"/>
  <c r="H464" i="5"/>
  <c r="G464" i="5"/>
  <c r="D464" i="5"/>
  <c r="N463" i="5"/>
  <c r="L463" i="5"/>
  <c r="I463" i="5"/>
  <c r="H463" i="5"/>
  <c r="G463" i="5"/>
  <c r="D463" i="5"/>
  <c r="N462" i="5"/>
  <c r="L462" i="5"/>
  <c r="H462" i="5"/>
  <c r="G462" i="5"/>
  <c r="I462" i="5" s="1"/>
  <c r="D462" i="5"/>
  <c r="N461" i="5"/>
  <c r="L461" i="5"/>
  <c r="H461" i="5"/>
  <c r="G461" i="5"/>
  <c r="I461" i="5" s="1"/>
  <c r="D461" i="5"/>
  <c r="N460" i="5"/>
  <c r="L460" i="5"/>
  <c r="I460" i="5"/>
  <c r="H460" i="5"/>
  <c r="G460" i="5"/>
  <c r="D460" i="5"/>
  <c r="N459" i="5"/>
  <c r="L459" i="5"/>
  <c r="I459" i="5"/>
  <c r="H459" i="5"/>
  <c r="G459" i="5"/>
  <c r="D459" i="5"/>
  <c r="N458" i="5"/>
  <c r="L458" i="5"/>
  <c r="H458" i="5"/>
  <c r="G458" i="5"/>
  <c r="I458" i="5" s="1"/>
  <c r="D458" i="5"/>
  <c r="N457" i="5"/>
  <c r="L457" i="5"/>
  <c r="H457" i="5"/>
  <c r="G457" i="5"/>
  <c r="I457" i="5" s="1"/>
  <c r="D457" i="5"/>
  <c r="N456" i="5"/>
  <c r="L456" i="5"/>
  <c r="I456" i="5"/>
  <c r="H456" i="5"/>
  <c r="G456" i="5"/>
  <c r="D456" i="5"/>
  <c r="N455" i="5"/>
  <c r="L455" i="5"/>
  <c r="I455" i="5"/>
  <c r="H455" i="5"/>
  <c r="G455" i="5"/>
  <c r="D455" i="5"/>
  <c r="N454" i="5"/>
  <c r="L454" i="5"/>
  <c r="H454" i="5"/>
  <c r="G454" i="5"/>
  <c r="I454" i="5" s="1"/>
  <c r="D454" i="5"/>
  <c r="N453" i="5"/>
  <c r="L453" i="5"/>
  <c r="H453" i="5"/>
  <c r="G453" i="5"/>
  <c r="I453" i="5" s="1"/>
  <c r="D453" i="5"/>
  <c r="N452" i="5"/>
  <c r="L452" i="5"/>
  <c r="I452" i="5"/>
  <c r="H452" i="5"/>
  <c r="G452" i="5"/>
  <c r="D452" i="5"/>
  <c r="N451" i="5"/>
  <c r="L451" i="5"/>
  <c r="I451" i="5"/>
  <c r="H451" i="5"/>
  <c r="G451" i="5"/>
  <c r="D451" i="5"/>
  <c r="N450" i="5"/>
  <c r="L450" i="5"/>
  <c r="H450" i="5"/>
  <c r="G450" i="5"/>
  <c r="I450" i="5" s="1"/>
  <c r="D450" i="5"/>
  <c r="N449" i="5"/>
  <c r="L449" i="5"/>
  <c r="H449" i="5"/>
  <c r="G449" i="5"/>
  <c r="I449" i="5" s="1"/>
  <c r="D449" i="5"/>
  <c r="N448" i="5"/>
  <c r="L448" i="5"/>
  <c r="I448" i="5"/>
  <c r="H448" i="5"/>
  <c r="G448" i="5"/>
  <c r="D448" i="5"/>
  <c r="N447" i="5"/>
  <c r="L447" i="5"/>
  <c r="I447" i="5"/>
  <c r="H447" i="5"/>
  <c r="G447" i="5"/>
  <c r="D447" i="5"/>
  <c r="N446" i="5"/>
  <c r="L446" i="5"/>
  <c r="H446" i="5"/>
  <c r="G446" i="5"/>
  <c r="I446" i="5" s="1"/>
  <c r="D446" i="5"/>
  <c r="N445" i="5"/>
  <c r="L445" i="5"/>
  <c r="H445" i="5"/>
  <c r="G445" i="5"/>
  <c r="I445" i="5" s="1"/>
  <c r="D445" i="5"/>
  <c r="N444" i="5"/>
  <c r="L444" i="5"/>
  <c r="I444" i="5"/>
  <c r="H444" i="5"/>
  <c r="G444" i="5"/>
  <c r="D444" i="5"/>
  <c r="N443" i="5"/>
  <c r="L443" i="5"/>
  <c r="I443" i="5"/>
  <c r="H443" i="5"/>
  <c r="G443" i="5"/>
  <c r="D443" i="5"/>
  <c r="N442" i="5"/>
  <c r="L442" i="5"/>
  <c r="H442" i="5"/>
  <c r="G442" i="5"/>
  <c r="I442" i="5" s="1"/>
  <c r="D442" i="5"/>
  <c r="N441" i="5"/>
  <c r="L441" i="5"/>
  <c r="H441" i="5"/>
  <c r="G441" i="5"/>
  <c r="I441" i="5" s="1"/>
  <c r="D441" i="5"/>
  <c r="N440" i="5"/>
  <c r="L440" i="5"/>
  <c r="I440" i="5"/>
  <c r="H440" i="5"/>
  <c r="G440" i="5"/>
  <c r="D440" i="5"/>
  <c r="N439" i="5"/>
  <c r="L439" i="5"/>
  <c r="I439" i="5"/>
  <c r="H439" i="5"/>
  <c r="G439" i="5"/>
  <c r="D439" i="5"/>
  <c r="N438" i="5"/>
  <c r="L438" i="5"/>
  <c r="H438" i="5"/>
  <c r="G438" i="5"/>
  <c r="I438" i="5" s="1"/>
  <c r="D438" i="5"/>
  <c r="N437" i="5"/>
  <c r="L437" i="5"/>
  <c r="H437" i="5"/>
  <c r="G437" i="5"/>
  <c r="I437" i="5" s="1"/>
  <c r="D437" i="5"/>
  <c r="N436" i="5"/>
  <c r="L436" i="5"/>
  <c r="I436" i="5"/>
  <c r="H436" i="5"/>
  <c r="G436" i="5"/>
  <c r="D436" i="5"/>
  <c r="N435" i="5"/>
  <c r="L435" i="5"/>
  <c r="I435" i="5"/>
  <c r="H435" i="5"/>
  <c r="G435" i="5"/>
  <c r="D435" i="5"/>
  <c r="N434" i="5"/>
  <c r="L434" i="5"/>
  <c r="H434" i="5"/>
  <c r="G434" i="5"/>
  <c r="I434" i="5" s="1"/>
  <c r="D434" i="5"/>
  <c r="N433" i="5"/>
  <c r="L433" i="5"/>
  <c r="H433" i="5"/>
  <c r="G433" i="5"/>
  <c r="I433" i="5" s="1"/>
  <c r="D433" i="5"/>
  <c r="N432" i="5"/>
  <c r="L432" i="5"/>
  <c r="I432" i="5"/>
  <c r="H432" i="5"/>
  <c r="G432" i="5"/>
  <c r="D432" i="5"/>
  <c r="N431" i="5"/>
  <c r="L431" i="5"/>
  <c r="I431" i="5"/>
  <c r="H431" i="5"/>
  <c r="G431" i="5"/>
  <c r="D431" i="5"/>
  <c r="N430" i="5"/>
  <c r="L430" i="5"/>
  <c r="H430" i="5"/>
  <c r="G430" i="5"/>
  <c r="I430" i="5" s="1"/>
  <c r="D430" i="5"/>
  <c r="N429" i="5"/>
  <c r="L429" i="5"/>
  <c r="H429" i="5"/>
  <c r="G429" i="5"/>
  <c r="I429" i="5" s="1"/>
  <c r="D429" i="5"/>
  <c r="N428" i="5"/>
  <c r="L428" i="5"/>
  <c r="I428" i="5"/>
  <c r="H428" i="5"/>
  <c r="G428" i="5"/>
  <c r="D428" i="5"/>
  <c r="N427" i="5"/>
  <c r="L427" i="5"/>
  <c r="I427" i="5"/>
  <c r="H427" i="5"/>
  <c r="G427" i="5"/>
  <c r="D427" i="5"/>
  <c r="N426" i="5"/>
  <c r="L426" i="5"/>
  <c r="H426" i="5"/>
  <c r="G426" i="5"/>
  <c r="I426" i="5" s="1"/>
  <c r="D426" i="5"/>
  <c r="N425" i="5"/>
  <c r="L425" i="5"/>
  <c r="H425" i="5"/>
  <c r="G425" i="5"/>
  <c r="I425" i="5" s="1"/>
  <c r="D425" i="5"/>
  <c r="N424" i="5"/>
  <c r="L424" i="5"/>
  <c r="I424" i="5"/>
  <c r="H424" i="5"/>
  <c r="G424" i="5"/>
  <c r="D424" i="5"/>
  <c r="N423" i="5"/>
  <c r="L423" i="5"/>
  <c r="I423" i="5"/>
  <c r="H423" i="5"/>
  <c r="G423" i="5"/>
  <c r="D423" i="5"/>
  <c r="N422" i="5"/>
  <c r="L422" i="5"/>
  <c r="H422" i="5"/>
  <c r="G422" i="5"/>
  <c r="I422" i="5" s="1"/>
  <c r="D422" i="5"/>
  <c r="N421" i="5"/>
  <c r="L421" i="5"/>
  <c r="H421" i="5"/>
  <c r="G421" i="5"/>
  <c r="I421" i="5" s="1"/>
  <c r="D421" i="5"/>
  <c r="N420" i="5"/>
  <c r="L420" i="5"/>
  <c r="I420" i="5"/>
  <c r="H420" i="5"/>
  <c r="G420" i="5"/>
  <c r="D420" i="5"/>
  <c r="N419" i="5"/>
  <c r="L419" i="5"/>
  <c r="I419" i="5"/>
  <c r="H419" i="5"/>
  <c r="G419" i="5"/>
  <c r="D419" i="5"/>
  <c r="N418" i="5"/>
  <c r="L418" i="5"/>
  <c r="H418" i="5"/>
  <c r="G418" i="5"/>
  <c r="I418" i="5" s="1"/>
  <c r="D418" i="5"/>
  <c r="N417" i="5"/>
  <c r="L417" i="5"/>
  <c r="H417" i="5"/>
  <c r="G417" i="5"/>
  <c r="I417" i="5" s="1"/>
  <c r="D417" i="5"/>
  <c r="N416" i="5"/>
  <c r="L416" i="5"/>
  <c r="I416" i="5"/>
  <c r="H416" i="5"/>
  <c r="G416" i="5"/>
  <c r="D416" i="5"/>
  <c r="N415" i="5"/>
  <c r="L415" i="5"/>
  <c r="I415" i="5"/>
  <c r="H415" i="5"/>
  <c r="G415" i="5"/>
  <c r="D415" i="5"/>
  <c r="N414" i="5"/>
  <c r="L414" i="5"/>
  <c r="H414" i="5"/>
  <c r="G414" i="5"/>
  <c r="I414" i="5" s="1"/>
  <c r="D414" i="5"/>
  <c r="N413" i="5"/>
  <c r="L413" i="5"/>
  <c r="H413" i="5"/>
  <c r="G413" i="5"/>
  <c r="I413" i="5" s="1"/>
  <c r="D413" i="5"/>
  <c r="N412" i="5"/>
  <c r="L412" i="5"/>
  <c r="I412" i="5"/>
  <c r="H412" i="5"/>
  <c r="G412" i="5"/>
  <c r="D412" i="5"/>
  <c r="N411" i="5"/>
  <c r="L411" i="5"/>
  <c r="I411" i="5"/>
  <c r="H411" i="5"/>
  <c r="G411" i="5"/>
  <c r="D411" i="5"/>
  <c r="N410" i="5"/>
  <c r="L410" i="5"/>
  <c r="H410" i="5"/>
  <c r="G410" i="5"/>
  <c r="I410" i="5" s="1"/>
  <c r="D410" i="5"/>
  <c r="N409" i="5"/>
  <c r="L409" i="5"/>
  <c r="H409" i="5"/>
  <c r="G409" i="5"/>
  <c r="I409" i="5" s="1"/>
  <c r="D409" i="5"/>
  <c r="N408" i="5"/>
  <c r="L408" i="5"/>
  <c r="I408" i="5"/>
  <c r="H408" i="5"/>
  <c r="G408" i="5"/>
  <c r="D408" i="5"/>
  <c r="N407" i="5"/>
  <c r="L407" i="5"/>
  <c r="I407" i="5"/>
  <c r="H407" i="5"/>
  <c r="G407" i="5"/>
  <c r="D407" i="5"/>
  <c r="N406" i="5"/>
  <c r="L406" i="5"/>
  <c r="H406" i="5"/>
  <c r="G406" i="5"/>
  <c r="I406" i="5" s="1"/>
  <c r="D406" i="5"/>
  <c r="N405" i="5"/>
  <c r="L405" i="5"/>
  <c r="H405" i="5"/>
  <c r="G405" i="5"/>
  <c r="I405" i="5" s="1"/>
  <c r="D405" i="5"/>
  <c r="N404" i="5"/>
  <c r="L404" i="5"/>
  <c r="I404" i="5"/>
  <c r="H404" i="5"/>
  <c r="G404" i="5"/>
  <c r="D404" i="5"/>
  <c r="N403" i="5"/>
  <c r="L403" i="5"/>
  <c r="I403" i="5"/>
  <c r="H403" i="5"/>
  <c r="G403" i="5"/>
  <c r="D403" i="5"/>
  <c r="N402" i="5"/>
  <c r="L402" i="5"/>
  <c r="H402" i="5"/>
  <c r="G402" i="5"/>
  <c r="I402" i="5" s="1"/>
  <c r="D402" i="5"/>
  <c r="N401" i="5"/>
  <c r="L401" i="5"/>
  <c r="H401" i="5"/>
  <c r="G401" i="5"/>
  <c r="I401" i="5" s="1"/>
  <c r="D401" i="5"/>
  <c r="N400" i="5"/>
  <c r="L400" i="5"/>
  <c r="I400" i="5"/>
  <c r="H400" i="5"/>
  <c r="G400" i="5"/>
  <c r="D400" i="5"/>
  <c r="N399" i="5"/>
  <c r="L399" i="5"/>
  <c r="I399" i="5"/>
  <c r="H399" i="5"/>
  <c r="G399" i="5"/>
  <c r="D399" i="5"/>
  <c r="N398" i="5"/>
  <c r="L398" i="5"/>
  <c r="H398" i="5"/>
  <c r="G398" i="5"/>
  <c r="I398" i="5" s="1"/>
  <c r="D398" i="5"/>
  <c r="N397" i="5"/>
  <c r="L397" i="5"/>
  <c r="H397" i="5"/>
  <c r="G397" i="5"/>
  <c r="I397" i="5" s="1"/>
  <c r="D397" i="5"/>
  <c r="N396" i="5"/>
  <c r="L396" i="5"/>
  <c r="I396" i="5"/>
  <c r="H396" i="5"/>
  <c r="G396" i="5"/>
  <c r="D396" i="5"/>
  <c r="N395" i="5"/>
  <c r="L395" i="5"/>
  <c r="I395" i="5"/>
  <c r="H395" i="5"/>
  <c r="G395" i="5"/>
  <c r="D395" i="5"/>
  <c r="N394" i="5"/>
  <c r="L394" i="5"/>
  <c r="H394" i="5"/>
  <c r="G394" i="5"/>
  <c r="I394" i="5" s="1"/>
  <c r="D394" i="5"/>
  <c r="N393" i="5"/>
  <c r="L393" i="5"/>
  <c r="H393" i="5"/>
  <c r="G393" i="5"/>
  <c r="I393" i="5" s="1"/>
  <c r="D393" i="5"/>
  <c r="N392" i="5"/>
  <c r="L392" i="5"/>
  <c r="I392" i="5"/>
  <c r="H392" i="5"/>
  <c r="G392" i="5"/>
  <c r="D392" i="5"/>
  <c r="N391" i="5"/>
  <c r="L391" i="5"/>
  <c r="I391" i="5"/>
  <c r="H391" i="5"/>
  <c r="G391" i="5"/>
  <c r="D391" i="5"/>
  <c r="N390" i="5"/>
  <c r="L390" i="5"/>
  <c r="H390" i="5"/>
  <c r="G390" i="5"/>
  <c r="I390" i="5" s="1"/>
  <c r="D390" i="5"/>
  <c r="N389" i="5"/>
  <c r="L389" i="5"/>
  <c r="H389" i="5"/>
  <c r="G389" i="5"/>
  <c r="I389" i="5" s="1"/>
  <c r="D389" i="5"/>
  <c r="N388" i="5"/>
  <c r="L388" i="5"/>
  <c r="I388" i="5"/>
  <c r="H388" i="5"/>
  <c r="G388" i="5"/>
  <c r="D388" i="5"/>
  <c r="N387" i="5"/>
  <c r="L387" i="5"/>
  <c r="I387" i="5"/>
  <c r="H387" i="5"/>
  <c r="G387" i="5"/>
  <c r="D387" i="5"/>
  <c r="N386" i="5"/>
  <c r="L386" i="5"/>
  <c r="H386" i="5"/>
  <c r="G386" i="5"/>
  <c r="I386" i="5" s="1"/>
  <c r="D386" i="5"/>
  <c r="N385" i="5"/>
  <c r="L385" i="5"/>
  <c r="H385" i="5"/>
  <c r="G385" i="5"/>
  <c r="I385" i="5" s="1"/>
  <c r="D385" i="5"/>
  <c r="N384" i="5"/>
  <c r="L384" i="5"/>
  <c r="I384" i="5"/>
  <c r="H384" i="5"/>
  <c r="G384" i="5"/>
  <c r="D384" i="5"/>
  <c r="N383" i="5"/>
  <c r="L383" i="5"/>
  <c r="I383" i="5"/>
  <c r="H383" i="5"/>
  <c r="G383" i="5"/>
  <c r="D383" i="5"/>
  <c r="N382" i="5"/>
  <c r="L382" i="5"/>
  <c r="H382" i="5"/>
  <c r="G382" i="5"/>
  <c r="I382" i="5" s="1"/>
  <c r="D382" i="5"/>
  <c r="N381" i="5"/>
  <c r="L381" i="5"/>
  <c r="H381" i="5"/>
  <c r="G381" i="5"/>
  <c r="I381" i="5" s="1"/>
  <c r="D381" i="5"/>
  <c r="N380" i="5"/>
  <c r="L380" i="5"/>
  <c r="I380" i="5"/>
  <c r="H380" i="5"/>
  <c r="G380" i="5"/>
  <c r="D380" i="5"/>
  <c r="N379" i="5"/>
  <c r="L379" i="5"/>
  <c r="I379" i="5"/>
  <c r="H379" i="5"/>
  <c r="G379" i="5"/>
  <c r="D379" i="5"/>
  <c r="N378" i="5"/>
  <c r="L378" i="5"/>
  <c r="H378" i="5"/>
  <c r="G378" i="5"/>
  <c r="I378" i="5" s="1"/>
  <c r="D378" i="5"/>
  <c r="N377" i="5"/>
  <c r="L377" i="5"/>
  <c r="H377" i="5"/>
  <c r="G377" i="5"/>
  <c r="I377" i="5" s="1"/>
  <c r="D377" i="5"/>
  <c r="N376" i="5"/>
  <c r="L376" i="5"/>
  <c r="I376" i="5"/>
  <c r="H376" i="5"/>
  <c r="G376" i="5"/>
  <c r="D376" i="5"/>
  <c r="N375" i="5"/>
  <c r="L375" i="5"/>
  <c r="I375" i="5"/>
  <c r="H375" i="5"/>
  <c r="G375" i="5"/>
  <c r="D375" i="5"/>
  <c r="N374" i="5"/>
  <c r="L374" i="5"/>
  <c r="H374" i="5"/>
  <c r="G374" i="5"/>
  <c r="I374" i="5" s="1"/>
  <c r="D374" i="5"/>
  <c r="N373" i="5"/>
  <c r="L373" i="5"/>
  <c r="H373" i="5"/>
  <c r="G373" i="5"/>
  <c r="I373" i="5" s="1"/>
  <c r="D373" i="5"/>
  <c r="N372" i="5"/>
  <c r="L372" i="5"/>
  <c r="I372" i="5"/>
  <c r="H372" i="5"/>
  <c r="G372" i="5"/>
  <c r="D372" i="5"/>
  <c r="N371" i="5"/>
  <c r="L371" i="5"/>
  <c r="I371" i="5"/>
  <c r="H371" i="5"/>
  <c r="G371" i="5"/>
  <c r="D371" i="5"/>
  <c r="N370" i="5"/>
  <c r="L370" i="5"/>
  <c r="H370" i="5"/>
  <c r="G370" i="5"/>
  <c r="I370" i="5" s="1"/>
  <c r="D370" i="5"/>
  <c r="N369" i="5"/>
  <c r="L369" i="5"/>
  <c r="H369" i="5"/>
  <c r="G369" i="5"/>
  <c r="I369" i="5" s="1"/>
  <c r="D369" i="5"/>
  <c r="N368" i="5"/>
  <c r="L368" i="5"/>
  <c r="I368" i="5"/>
  <c r="H368" i="5"/>
  <c r="G368" i="5"/>
  <c r="D368" i="5"/>
  <c r="N367" i="5"/>
  <c r="L367" i="5"/>
  <c r="I367" i="5"/>
  <c r="H367" i="5"/>
  <c r="G367" i="5"/>
  <c r="D367" i="5"/>
  <c r="N366" i="5"/>
  <c r="L366" i="5"/>
  <c r="H366" i="5"/>
  <c r="G366" i="5"/>
  <c r="I366" i="5" s="1"/>
  <c r="D366" i="5"/>
  <c r="N365" i="5"/>
  <c r="L365" i="5"/>
  <c r="H365" i="5"/>
  <c r="G365" i="5"/>
  <c r="I365" i="5" s="1"/>
  <c r="D365" i="5"/>
  <c r="N364" i="5"/>
  <c r="L364" i="5"/>
  <c r="I364" i="5"/>
  <c r="H364" i="5"/>
  <c r="G364" i="5"/>
  <c r="D364" i="5"/>
  <c r="N363" i="5"/>
  <c r="L363" i="5"/>
  <c r="I363" i="5"/>
  <c r="H363" i="5"/>
  <c r="G363" i="5"/>
  <c r="D363" i="5"/>
  <c r="N362" i="5"/>
  <c r="L362" i="5"/>
  <c r="H362" i="5"/>
  <c r="G362" i="5"/>
  <c r="I362" i="5" s="1"/>
  <c r="D362" i="5"/>
  <c r="N361" i="5"/>
  <c r="L361" i="5"/>
  <c r="H361" i="5"/>
  <c r="G361" i="5"/>
  <c r="I361" i="5" s="1"/>
  <c r="D361" i="5"/>
  <c r="N360" i="5"/>
  <c r="L360" i="5"/>
  <c r="I360" i="5"/>
  <c r="H360" i="5"/>
  <c r="G360" i="5"/>
  <c r="D360" i="5"/>
  <c r="N359" i="5"/>
  <c r="L359" i="5"/>
  <c r="I359" i="5"/>
  <c r="H359" i="5"/>
  <c r="G359" i="5"/>
  <c r="D359" i="5"/>
  <c r="N358" i="5"/>
  <c r="L358" i="5"/>
  <c r="H358" i="5"/>
  <c r="G358" i="5"/>
  <c r="I358" i="5" s="1"/>
  <c r="D358" i="5"/>
  <c r="N357" i="5"/>
  <c r="L357" i="5"/>
  <c r="H357" i="5"/>
  <c r="G357" i="5"/>
  <c r="I357" i="5" s="1"/>
  <c r="D357" i="5"/>
  <c r="N356" i="5"/>
  <c r="L356" i="5"/>
  <c r="I356" i="5"/>
  <c r="H356" i="5"/>
  <c r="G356" i="5"/>
  <c r="D356" i="5"/>
  <c r="N355" i="5"/>
  <c r="L355" i="5"/>
  <c r="I355" i="5"/>
  <c r="H355" i="5"/>
  <c r="G355" i="5"/>
  <c r="D355" i="5"/>
  <c r="N354" i="5"/>
  <c r="L354" i="5"/>
  <c r="H354" i="5"/>
  <c r="G354" i="5"/>
  <c r="I354" i="5" s="1"/>
  <c r="D354" i="5"/>
  <c r="N353" i="5"/>
  <c r="L353" i="5"/>
  <c r="H353" i="5"/>
  <c r="G353" i="5"/>
  <c r="I353" i="5" s="1"/>
  <c r="D353" i="5"/>
  <c r="N352" i="5"/>
  <c r="L352" i="5"/>
  <c r="I352" i="5"/>
  <c r="H352" i="5"/>
  <c r="G352" i="5"/>
  <c r="D352" i="5"/>
  <c r="N351" i="5"/>
  <c r="L351" i="5"/>
  <c r="I351" i="5"/>
  <c r="H351" i="5"/>
  <c r="G351" i="5"/>
  <c r="D351" i="5"/>
  <c r="N350" i="5"/>
  <c r="L350" i="5"/>
  <c r="H350" i="5"/>
  <c r="G350" i="5"/>
  <c r="I350" i="5" s="1"/>
  <c r="D350" i="5"/>
  <c r="N349" i="5"/>
  <c r="L349" i="5"/>
  <c r="H349" i="5"/>
  <c r="G349" i="5"/>
  <c r="I349" i="5" s="1"/>
  <c r="D349" i="5"/>
  <c r="N348" i="5"/>
  <c r="L348" i="5"/>
  <c r="I348" i="5"/>
  <c r="H348" i="5"/>
  <c r="G348" i="5"/>
  <c r="D348" i="5"/>
  <c r="N347" i="5"/>
  <c r="L347" i="5"/>
  <c r="I347" i="5"/>
  <c r="H347" i="5"/>
  <c r="G347" i="5"/>
  <c r="D347" i="5"/>
  <c r="N346" i="5"/>
  <c r="L346" i="5"/>
  <c r="H346" i="5"/>
  <c r="G346" i="5"/>
  <c r="I346" i="5" s="1"/>
  <c r="D346" i="5"/>
  <c r="N345" i="5"/>
  <c r="L345" i="5"/>
  <c r="H345" i="5"/>
  <c r="G345" i="5"/>
  <c r="I345" i="5" s="1"/>
  <c r="D345" i="5"/>
  <c r="N344" i="5"/>
  <c r="L344" i="5"/>
  <c r="I344" i="5"/>
  <c r="H344" i="5"/>
  <c r="G344" i="5"/>
  <c r="D344" i="5"/>
  <c r="N343" i="5"/>
  <c r="L343" i="5"/>
  <c r="I343" i="5"/>
  <c r="H343" i="5"/>
  <c r="G343" i="5"/>
  <c r="D343" i="5"/>
  <c r="N342" i="5"/>
  <c r="L342" i="5"/>
  <c r="H342" i="5"/>
  <c r="G342" i="5"/>
  <c r="I342" i="5" s="1"/>
  <c r="D342" i="5"/>
  <c r="N341" i="5"/>
  <c r="L341" i="5"/>
  <c r="H341" i="5"/>
  <c r="G341" i="5"/>
  <c r="I341" i="5" s="1"/>
  <c r="D341" i="5"/>
  <c r="N340" i="5"/>
  <c r="L340" i="5"/>
  <c r="I340" i="5"/>
  <c r="H340" i="5"/>
  <c r="G340" i="5"/>
  <c r="D340" i="5"/>
  <c r="N339" i="5"/>
  <c r="L339" i="5"/>
  <c r="I339" i="5"/>
  <c r="H339" i="5"/>
  <c r="G339" i="5"/>
  <c r="D339" i="5"/>
  <c r="N338" i="5"/>
  <c r="L338" i="5"/>
  <c r="H338" i="5"/>
  <c r="G338" i="5"/>
  <c r="I338" i="5" s="1"/>
  <c r="D338" i="5"/>
  <c r="N337" i="5"/>
  <c r="L337" i="5"/>
  <c r="H337" i="5"/>
  <c r="G337" i="5"/>
  <c r="I337" i="5" s="1"/>
  <c r="D337" i="5"/>
  <c r="N336" i="5"/>
  <c r="L336" i="5"/>
  <c r="I336" i="5"/>
  <c r="H336" i="5"/>
  <c r="G336" i="5"/>
  <c r="D336" i="5"/>
  <c r="N335" i="5"/>
  <c r="L335" i="5"/>
  <c r="I335" i="5"/>
  <c r="H335" i="5"/>
  <c r="G335" i="5"/>
  <c r="D335" i="5"/>
  <c r="N334" i="5"/>
  <c r="L334" i="5"/>
  <c r="H334" i="5"/>
  <c r="G334" i="5"/>
  <c r="I334" i="5" s="1"/>
  <c r="D334" i="5"/>
  <c r="N333" i="5"/>
  <c r="L333" i="5"/>
  <c r="H333" i="5"/>
  <c r="G333" i="5"/>
  <c r="I333" i="5" s="1"/>
  <c r="D333" i="5"/>
  <c r="N332" i="5"/>
  <c r="L332" i="5"/>
  <c r="I332" i="5"/>
  <c r="H332" i="5"/>
  <c r="G332" i="5"/>
  <c r="D332" i="5"/>
  <c r="N331" i="5"/>
  <c r="L331" i="5"/>
  <c r="I331" i="5"/>
  <c r="H331" i="5"/>
  <c r="G331" i="5"/>
  <c r="D331" i="5"/>
  <c r="N330" i="5"/>
  <c r="L330" i="5"/>
  <c r="H330" i="5"/>
  <c r="G330" i="5"/>
  <c r="I330" i="5" s="1"/>
  <c r="D330" i="5"/>
  <c r="N329" i="5"/>
  <c r="L329" i="5"/>
  <c r="H329" i="5"/>
  <c r="G329" i="5"/>
  <c r="I329" i="5" s="1"/>
  <c r="D329" i="5"/>
  <c r="N328" i="5"/>
  <c r="L328" i="5"/>
  <c r="I328" i="5"/>
  <c r="H328" i="5"/>
  <c r="G328" i="5"/>
  <c r="D328" i="5"/>
  <c r="N327" i="5"/>
  <c r="L327" i="5"/>
  <c r="I327" i="5"/>
  <c r="H327" i="5"/>
  <c r="G327" i="5"/>
  <c r="D327" i="5"/>
  <c r="N326" i="5"/>
  <c r="L326" i="5"/>
  <c r="H326" i="5"/>
  <c r="G326" i="5"/>
  <c r="I326" i="5" s="1"/>
  <c r="D326" i="5"/>
  <c r="N325" i="5"/>
  <c r="L325" i="5"/>
  <c r="H325" i="5"/>
  <c r="G325" i="5"/>
  <c r="I325" i="5" s="1"/>
  <c r="D325" i="5"/>
  <c r="N324" i="5"/>
  <c r="L324" i="5"/>
  <c r="I324" i="5"/>
  <c r="H324" i="5"/>
  <c r="G324" i="5"/>
  <c r="D324" i="5"/>
  <c r="N323" i="5"/>
  <c r="L323" i="5"/>
  <c r="I323" i="5"/>
  <c r="H323" i="5"/>
  <c r="G323" i="5"/>
  <c r="D323" i="5"/>
  <c r="N322" i="5"/>
  <c r="L322" i="5"/>
  <c r="H322" i="5"/>
  <c r="G322" i="5"/>
  <c r="I322" i="5" s="1"/>
  <c r="D322" i="5"/>
  <c r="N321" i="5"/>
  <c r="L321" i="5"/>
  <c r="H321" i="5"/>
  <c r="G321" i="5"/>
  <c r="I321" i="5" s="1"/>
  <c r="D321" i="5"/>
  <c r="N320" i="5"/>
  <c r="L320" i="5"/>
  <c r="I320" i="5"/>
  <c r="H320" i="5"/>
  <c r="G320" i="5"/>
  <c r="D320" i="5"/>
  <c r="N319" i="5"/>
  <c r="L319" i="5"/>
  <c r="I319" i="5"/>
  <c r="H319" i="5"/>
  <c r="G319" i="5"/>
  <c r="D319" i="5"/>
  <c r="N318" i="5"/>
  <c r="L318" i="5"/>
  <c r="H318" i="5"/>
  <c r="G318" i="5"/>
  <c r="I318" i="5" s="1"/>
  <c r="D318" i="5"/>
  <c r="N317" i="5"/>
  <c r="L317" i="5"/>
  <c r="H317" i="5"/>
  <c r="G317" i="5"/>
  <c r="I317" i="5" s="1"/>
  <c r="D317" i="5"/>
  <c r="N316" i="5"/>
  <c r="L316" i="5"/>
  <c r="I316" i="5"/>
  <c r="H316" i="5"/>
  <c r="G316" i="5"/>
  <c r="D316" i="5"/>
  <c r="N315" i="5"/>
  <c r="L315" i="5"/>
  <c r="I315" i="5"/>
  <c r="H315" i="5"/>
  <c r="G315" i="5"/>
  <c r="D315" i="5"/>
  <c r="N314" i="5"/>
  <c r="L314" i="5"/>
  <c r="H314" i="5"/>
  <c r="G314" i="5"/>
  <c r="I314" i="5" s="1"/>
  <c r="D314" i="5"/>
  <c r="N313" i="5"/>
  <c r="L313" i="5"/>
  <c r="H313" i="5"/>
  <c r="G313" i="5"/>
  <c r="I313" i="5" s="1"/>
  <c r="D313" i="5"/>
  <c r="N312" i="5"/>
  <c r="L312" i="5"/>
  <c r="I312" i="5"/>
  <c r="H312" i="5"/>
  <c r="G312" i="5"/>
  <c r="D312" i="5"/>
  <c r="N311" i="5"/>
  <c r="L311" i="5"/>
  <c r="I311" i="5"/>
  <c r="H311" i="5"/>
  <c r="G311" i="5"/>
  <c r="D311" i="5"/>
  <c r="N310" i="5"/>
  <c r="L310" i="5"/>
  <c r="H310" i="5"/>
  <c r="G310" i="5"/>
  <c r="I310" i="5" s="1"/>
  <c r="D310" i="5"/>
  <c r="N309" i="5"/>
  <c r="L309" i="5"/>
  <c r="H309" i="5"/>
  <c r="G309" i="5"/>
  <c r="I309" i="5" s="1"/>
  <c r="D309" i="5"/>
  <c r="N308" i="5"/>
  <c r="L308" i="5"/>
  <c r="I308" i="5"/>
  <c r="H308" i="5"/>
  <c r="G308" i="5"/>
  <c r="D308" i="5"/>
  <c r="N307" i="5"/>
  <c r="L307" i="5"/>
  <c r="I307" i="5"/>
  <c r="H307" i="5"/>
  <c r="G307" i="5"/>
  <c r="D307" i="5"/>
  <c r="N306" i="5"/>
  <c r="L306" i="5"/>
  <c r="H306" i="5"/>
  <c r="G306" i="5"/>
  <c r="I306" i="5" s="1"/>
  <c r="D306" i="5"/>
  <c r="N305" i="5"/>
  <c r="L305" i="5"/>
  <c r="H305" i="5"/>
  <c r="G305" i="5"/>
  <c r="I305" i="5" s="1"/>
  <c r="D305" i="5"/>
  <c r="N304" i="5"/>
  <c r="L304" i="5"/>
  <c r="I304" i="5"/>
  <c r="H304" i="5"/>
  <c r="G304" i="5"/>
  <c r="D304" i="5"/>
  <c r="N303" i="5"/>
  <c r="L303" i="5"/>
  <c r="I303" i="5"/>
  <c r="H303" i="5"/>
  <c r="G303" i="5"/>
  <c r="D303" i="5"/>
  <c r="N302" i="5"/>
  <c r="L302" i="5"/>
  <c r="H302" i="5"/>
  <c r="G302" i="5"/>
  <c r="I302" i="5" s="1"/>
  <c r="D302" i="5"/>
  <c r="N301" i="5"/>
  <c r="L301" i="5"/>
  <c r="H301" i="5"/>
  <c r="G301" i="5"/>
  <c r="I301" i="5" s="1"/>
  <c r="D301" i="5"/>
  <c r="N300" i="5"/>
  <c r="L300" i="5"/>
  <c r="I300" i="5"/>
  <c r="H300" i="5"/>
  <c r="G300" i="5"/>
  <c r="D300" i="5"/>
  <c r="N299" i="5"/>
  <c r="L299" i="5"/>
  <c r="I299" i="5"/>
  <c r="H299" i="5"/>
  <c r="G299" i="5"/>
  <c r="D299" i="5"/>
  <c r="N298" i="5"/>
  <c r="L298" i="5"/>
  <c r="H298" i="5"/>
  <c r="G298" i="5"/>
  <c r="I298" i="5" s="1"/>
  <c r="D298" i="5"/>
  <c r="N297" i="5"/>
  <c r="L297" i="5"/>
  <c r="H297" i="5"/>
  <c r="G297" i="5"/>
  <c r="I297" i="5" s="1"/>
  <c r="D297" i="5"/>
  <c r="N296" i="5"/>
  <c r="L296" i="5"/>
  <c r="I296" i="5"/>
  <c r="H296" i="5"/>
  <c r="G296" i="5"/>
  <c r="D296" i="5"/>
  <c r="N295" i="5"/>
  <c r="L295" i="5"/>
  <c r="I295" i="5"/>
  <c r="H295" i="5"/>
  <c r="G295" i="5"/>
  <c r="D295" i="5"/>
  <c r="N294" i="5"/>
  <c r="L294" i="5"/>
  <c r="H294" i="5"/>
  <c r="G294" i="5"/>
  <c r="I294" i="5" s="1"/>
  <c r="D294" i="5"/>
  <c r="N293" i="5"/>
  <c r="L293" i="5"/>
  <c r="H293" i="5"/>
  <c r="G293" i="5"/>
  <c r="I293" i="5" s="1"/>
  <c r="D293" i="5"/>
  <c r="N292" i="5"/>
  <c r="L292" i="5"/>
  <c r="I292" i="5"/>
  <c r="H292" i="5"/>
  <c r="G292" i="5"/>
  <c r="D292" i="5"/>
  <c r="N291" i="5"/>
  <c r="L291" i="5"/>
  <c r="I291" i="5"/>
  <c r="H291" i="5"/>
  <c r="G291" i="5"/>
  <c r="D291" i="5"/>
  <c r="N290" i="5"/>
  <c r="L290" i="5"/>
  <c r="H290" i="5"/>
  <c r="G290" i="5"/>
  <c r="I290" i="5" s="1"/>
  <c r="D290" i="5"/>
  <c r="N289" i="5"/>
  <c r="L289" i="5"/>
  <c r="H289" i="5"/>
  <c r="G289" i="5"/>
  <c r="I289" i="5" s="1"/>
  <c r="D289" i="5"/>
  <c r="N288" i="5"/>
  <c r="L288" i="5"/>
  <c r="I288" i="5"/>
  <c r="H288" i="5"/>
  <c r="G288" i="5"/>
  <c r="D288" i="5"/>
  <c r="N287" i="5"/>
  <c r="L287" i="5"/>
  <c r="I287" i="5"/>
  <c r="H287" i="5"/>
  <c r="G287" i="5"/>
  <c r="D287" i="5"/>
  <c r="N286" i="5"/>
  <c r="L286" i="5"/>
  <c r="H286" i="5"/>
  <c r="G286" i="5"/>
  <c r="I286" i="5" s="1"/>
  <c r="D286" i="5"/>
  <c r="N285" i="5"/>
  <c r="L285" i="5"/>
  <c r="H285" i="5"/>
  <c r="G285" i="5"/>
  <c r="I285" i="5" s="1"/>
  <c r="D285" i="5"/>
  <c r="N284" i="5"/>
  <c r="L284" i="5"/>
  <c r="I284" i="5"/>
  <c r="H284" i="5"/>
  <c r="G284" i="5"/>
  <c r="D284" i="5"/>
  <c r="N283" i="5"/>
  <c r="L283" i="5"/>
  <c r="I283" i="5"/>
  <c r="H283" i="5"/>
  <c r="G283" i="5"/>
  <c r="D283" i="5"/>
  <c r="N282" i="5"/>
  <c r="L282" i="5"/>
  <c r="H282" i="5"/>
  <c r="G282" i="5"/>
  <c r="I282" i="5" s="1"/>
  <c r="D282" i="5"/>
  <c r="N281" i="5"/>
  <c r="L281" i="5"/>
  <c r="H281" i="5"/>
  <c r="G281" i="5"/>
  <c r="I281" i="5" s="1"/>
  <c r="D281" i="5"/>
  <c r="N280" i="5"/>
  <c r="L280" i="5"/>
  <c r="I280" i="5"/>
  <c r="H280" i="5"/>
  <c r="G280" i="5"/>
  <c r="D280" i="5"/>
  <c r="N279" i="5"/>
  <c r="L279" i="5"/>
  <c r="I279" i="5"/>
  <c r="H279" i="5"/>
  <c r="G279" i="5"/>
  <c r="D279" i="5"/>
  <c r="N278" i="5"/>
  <c r="L278" i="5"/>
  <c r="H278" i="5"/>
  <c r="G278" i="5"/>
  <c r="I278" i="5" s="1"/>
  <c r="D278" i="5"/>
  <c r="N277" i="5"/>
  <c r="L277" i="5"/>
  <c r="H277" i="5"/>
  <c r="G277" i="5"/>
  <c r="I277" i="5" s="1"/>
  <c r="D277" i="5"/>
  <c r="N276" i="5"/>
  <c r="L276" i="5"/>
  <c r="I276" i="5"/>
  <c r="H276" i="5"/>
  <c r="G276" i="5"/>
  <c r="D276" i="5"/>
  <c r="N275" i="5"/>
  <c r="L275" i="5"/>
  <c r="I275" i="5"/>
  <c r="H275" i="5"/>
  <c r="G275" i="5"/>
  <c r="D275" i="5"/>
  <c r="N274" i="5"/>
  <c r="L274" i="5"/>
  <c r="H274" i="5"/>
  <c r="G274" i="5"/>
  <c r="I274" i="5" s="1"/>
  <c r="D274" i="5"/>
  <c r="N273" i="5"/>
  <c r="L273" i="5"/>
  <c r="H273" i="5"/>
  <c r="G273" i="5"/>
  <c r="I273" i="5" s="1"/>
  <c r="D273" i="5"/>
  <c r="N272" i="5"/>
  <c r="L272" i="5"/>
  <c r="I272" i="5"/>
  <c r="H272" i="5"/>
  <c r="G272" i="5"/>
  <c r="D272" i="5"/>
  <c r="N271" i="5"/>
  <c r="L271" i="5"/>
  <c r="I271" i="5"/>
  <c r="H271" i="5"/>
  <c r="G271" i="5"/>
  <c r="D271" i="5"/>
  <c r="N270" i="5"/>
  <c r="L270" i="5"/>
  <c r="H270" i="5"/>
  <c r="G270" i="5"/>
  <c r="I270" i="5" s="1"/>
  <c r="D270" i="5"/>
  <c r="N269" i="5"/>
  <c r="L269" i="5"/>
  <c r="H269" i="5"/>
  <c r="G269" i="5"/>
  <c r="I269" i="5" s="1"/>
  <c r="D269" i="5"/>
  <c r="N268" i="5"/>
  <c r="L268" i="5"/>
  <c r="I268" i="5"/>
  <c r="H268" i="5"/>
  <c r="G268" i="5"/>
  <c r="D268" i="5"/>
  <c r="N267" i="5"/>
  <c r="L267" i="5"/>
  <c r="I267" i="5"/>
  <c r="H267" i="5"/>
  <c r="G267" i="5"/>
  <c r="D267" i="5"/>
  <c r="N266" i="5"/>
  <c r="L266" i="5"/>
  <c r="H266" i="5"/>
  <c r="G266" i="5"/>
  <c r="I266" i="5" s="1"/>
  <c r="D266" i="5"/>
  <c r="N265" i="5"/>
  <c r="L265" i="5"/>
  <c r="H265" i="5"/>
  <c r="G265" i="5"/>
  <c r="I265" i="5" s="1"/>
  <c r="D265" i="5"/>
  <c r="N264" i="5"/>
  <c r="L264" i="5"/>
  <c r="I264" i="5"/>
  <c r="H264" i="5"/>
  <c r="G264" i="5"/>
  <c r="D264" i="5"/>
  <c r="N263" i="5"/>
  <c r="L263" i="5"/>
  <c r="I263" i="5"/>
  <c r="H263" i="5"/>
  <c r="G263" i="5"/>
  <c r="D263" i="5"/>
  <c r="N262" i="5"/>
  <c r="L262" i="5"/>
  <c r="H262" i="5"/>
  <c r="G262" i="5"/>
  <c r="I262" i="5" s="1"/>
  <c r="D262" i="5"/>
  <c r="N261" i="5"/>
  <c r="L261" i="5"/>
  <c r="H261" i="5"/>
  <c r="G261" i="5"/>
  <c r="I261" i="5" s="1"/>
  <c r="D261" i="5"/>
  <c r="N260" i="5"/>
  <c r="L260" i="5"/>
  <c r="I260" i="5"/>
  <c r="H260" i="5"/>
  <c r="G260" i="5"/>
  <c r="D260" i="5"/>
  <c r="N259" i="5"/>
  <c r="L259" i="5"/>
  <c r="I259" i="5"/>
  <c r="H259" i="5"/>
  <c r="G259" i="5"/>
  <c r="D259" i="5"/>
  <c r="N258" i="5"/>
  <c r="L258" i="5"/>
  <c r="H258" i="5"/>
  <c r="G258" i="5"/>
  <c r="I258" i="5" s="1"/>
  <c r="D258" i="5"/>
  <c r="N257" i="5"/>
  <c r="L257" i="5"/>
  <c r="H257" i="5"/>
  <c r="G257" i="5"/>
  <c r="I257" i="5" s="1"/>
  <c r="D257" i="5"/>
  <c r="N256" i="5"/>
  <c r="L256" i="5"/>
  <c r="I256" i="5"/>
  <c r="H256" i="5"/>
  <c r="G256" i="5"/>
  <c r="D256" i="5"/>
  <c r="N255" i="5"/>
  <c r="L255" i="5"/>
  <c r="I255" i="5"/>
  <c r="H255" i="5"/>
  <c r="G255" i="5"/>
  <c r="D255" i="5"/>
  <c r="N254" i="5"/>
  <c r="L254" i="5"/>
  <c r="H254" i="5"/>
  <c r="G254" i="5"/>
  <c r="I254" i="5" s="1"/>
  <c r="D254" i="5"/>
  <c r="N253" i="5"/>
  <c r="L253" i="5"/>
  <c r="H253" i="5"/>
  <c r="G253" i="5"/>
  <c r="I253" i="5" s="1"/>
  <c r="D253" i="5"/>
  <c r="N252" i="5"/>
  <c r="L252" i="5"/>
  <c r="I252" i="5"/>
  <c r="H252" i="5"/>
  <c r="G252" i="5"/>
  <c r="D252" i="5"/>
  <c r="N251" i="5"/>
  <c r="L251" i="5"/>
  <c r="I251" i="5"/>
  <c r="H251" i="5"/>
  <c r="G251" i="5"/>
  <c r="D251" i="5"/>
  <c r="N250" i="5"/>
  <c r="L250" i="5"/>
  <c r="H250" i="5"/>
  <c r="G250" i="5"/>
  <c r="I250" i="5" s="1"/>
  <c r="D250" i="5"/>
  <c r="N249" i="5"/>
  <c r="L249" i="5"/>
  <c r="H249" i="5"/>
  <c r="G249" i="5"/>
  <c r="I249" i="5" s="1"/>
  <c r="D249" i="5"/>
  <c r="N248" i="5"/>
  <c r="L248" i="5"/>
  <c r="I248" i="5"/>
  <c r="H248" i="5"/>
  <c r="G248" i="5"/>
  <c r="D248" i="5"/>
  <c r="N247" i="5"/>
  <c r="L247" i="5"/>
  <c r="I247" i="5"/>
  <c r="H247" i="5"/>
  <c r="G247" i="5"/>
  <c r="D247" i="5"/>
  <c r="N246" i="5"/>
  <c r="L246" i="5"/>
  <c r="H246" i="5"/>
  <c r="G246" i="5"/>
  <c r="I246" i="5" s="1"/>
  <c r="D246" i="5"/>
  <c r="N245" i="5"/>
  <c r="L245" i="5"/>
  <c r="H245" i="5"/>
  <c r="G245" i="5"/>
  <c r="I245" i="5" s="1"/>
  <c r="D245" i="5"/>
  <c r="N244" i="5"/>
  <c r="L244" i="5"/>
  <c r="I244" i="5"/>
  <c r="H244" i="5"/>
  <c r="G244" i="5"/>
  <c r="D244" i="5"/>
  <c r="N243" i="5"/>
  <c r="L243" i="5"/>
  <c r="I243" i="5"/>
  <c r="H243" i="5"/>
  <c r="G243" i="5"/>
  <c r="D243" i="5"/>
  <c r="N242" i="5"/>
  <c r="L242" i="5"/>
  <c r="H242" i="5"/>
  <c r="G242" i="5"/>
  <c r="I242" i="5" s="1"/>
  <c r="D242" i="5"/>
  <c r="N241" i="5"/>
  <c r="L241" i="5"/>
  <c r="H241" i="5"/>
  <c r="G241" i="5"/>
  <c r="I241" i="5" s="1"/>
  <c r="D241" i="5"/>
  <c r="N240" i="5"/>
  <c r="L240" i="5"/>
  <c r="I240" i="5"/>
  <c r="H240" i="5"/>
  <c r="G240" i="5"/>
  <c r="D240" i="5"/>
  <c r="N239" i="5"/>
  <c r="L239" i="5"/>
  <c r="I239" i="5"/>
  <c r="H239" i="5"/>
  <c r="G239" i="5"/>
  <c r="D239" i="5"/>
  <c r="N238" i="5"/>
  <c r="L238" i="5"/>
  <c r="H238" i="5"/>
  <c r="G238" i="5"/>
  <c r="I238" i="5" s="1"/>
  <c r="D238" i="5"/>
  <c r="N237" i="5"/>
  <c r="L237" i="5"/>
  <c r="H237" i="5"/>
  <c r="G237" i="5"/>
  <c r="I237" i="5" s="1"/>
  <c r="D237" i="5"/>
  <c r="N236" i="5"/>
  <c r="L236" i="5"/>
  <c r="I236" i="5"/>
  <c r="H236" i="5"/>
  <c r="G236" i="5"/>
  <c r="D236" i="5"/>
  <c r="N235" i="5"/>
  <c r="L235" i="5"/>
  <c r="I235" i="5"/>
  <c r="H235" i="5"/>
  <c r="G235" i="5"/>
  <c r="D235" i="5"/>
  <c r="N234" i="5"/>
  <c r="L234" i="5"/>
  <c r="H234" i="5"/>
  <c r="G234" i="5"/>
  <c r="I234" i="5" s="1"/>
  <c r="D234" i="5"/>
  <c r="N233" i="5"/>
  <c r="L233" i="5"/>
  <c r="H233" i="5"/>
  <c r="G233" i="5"/>
  <c r="I233" i="5" s="1"/>
  <c r="D233" i="5"/>
  <c r="N232" i="5"/>
  <c r="L232" i="5"/>
  <c r="I232" i="5"/>
  <c r="H232" i="5"/>
  <c r="G232" i="5"/>
  <c r="D232" i="5"/>
  <c r="N231" i="5"/>
  <c r="L231" i="5"/>
  <c r="I231" i="5"/>
  <c r="H231" i="5"/>
  <c r="G231" i="5"/>
  <c r="D231" i="5"/>
  <c r="N230" i="5"/>
  <c r="L230" i="5"/>
  <c r="H230" i="5"/>
  <c r="G230" i="5"/>
  <c r="I230" i="5" s="1"/>
  <c r="D230" i="5"/>
  <c r="N229" i="5"/>
  <c r="L229" i="5"/>
  <c r="H229" i="5"/>
  <c r="G229" i="5"/>
  <c r="I229" i="5" s="1"/>
  <c r="D229" i="5"/>
  <c r="N228" i="5"/>
  <c r="L228" i="5"/>
  <c r="I228" i="5"/>
  <c r="H228" i="5"/>
  <c r="G228" i="5"/>
  <c r="D228" i="5"/>
  <c r="N227" i="5"/>
  <c r="L227" i="5"/>
  <c r="I227" i="5"/>
  <c r="H227" i="5"/>
  <c r="G227" i="5"/>
  <c r="D227" i="5"/>
  <c r="N226" i="5"/>
  <c r="L226" i="5"/>
  <c r="H226" i="5"/>
  <c r="G226" i="5"/>
  <c r="I226" i="5" s="1"/>
  <c r="D226" i="5"/>
  <c r="N225" i="5"/>
  <c r="L225" i="5"/>
  <c r="H225" i="5"/>
  <c r="G225" i="5"/>
  <c r="I225" i="5" s="1"/>
  <c r="D225" i="5"/>
  <c r="N224" i="5"/>
  <c r="L224" i="5"/>
  <c r="I224" i="5"/>
  <c r="H224" i="5"/>
  <c r="G224" i="5"/>
  <c r="D224" i="5"/>
  <c r="N223" i="5"/>
  <c r="L223" i="5"/>
  <c r="I223" i="5"/>
  <c r="H223" i="5"/>
  <c r="G223" i="5"/>
  <c r="D223" i="5"/>
  <c r="N222" i="5"/>
  <c r="L222" i="5"/>
  <c r="H222" i="5"/>
  <c r="G222" i="5"/>
  <c r="I222" i="5" s="1"/>
  <c r="D222" i="5"/>
  <c r="N221" i="5"/>
  <c r="L221" i="5"/>
  <c r="H221" i="5"/>
  <c r="G221" i="5"/>
  <c r="I221" i="5" s="1"/>
  <c r="D221" i="5"/>
  <c r="N220" i="5"/>
  <c r="L220" i="5"/>
  <c r="I220" i="5"/>
  <c r="H220" i="5"/>
  <c r="G220" i="5"/>
  <c r="D220" i="5"/>
  <c r="N219" i="5"/>
  <c r="L219" i="5"/>
  <c r="I219" i="5"/>
  <c r="H219" i="5"/>
  <c r="G219" i="5"/>
  <c r="D219" i="5"/>
  <c r="N218" i="5"/>
  <c r="L218" i="5"/>
  <c r="H218" i="5"/>
  <c r="G218" i="5"/>
  <c r="I218" i="5" s="1"/>
  <c r="D218" i="5"/>
  <c r="N217" i="5"/>
  <c r="L217" i="5"/>
  <c r="H217" i="5"/>
  <c r="G217" i="5"/>
  <c r="I217" i="5" s="1"/>
  <c r="D217" i="5"/>
  <c r="N216" i="5"/>
  <c r="L216" i="5"/>
  <c r="I216" i="5"/>
  <c r="H216" i="5"/>
  <c r="G216" i="5"/>
  <c r="D216" i="5"/>
  <c r="N215" i="5"/>
  <c r="L215" i="5"/>
  <c r="I215" i="5"/>
  <c r="H215" i="5"/>
  <c r="G215" i="5"/>
  <c r="D215" i="5"/>
  <c r="N214" i="5"/>
  <c r="L214" i="5"/>
  <c r="H214" i="5"/>
  <c r="G214" i="5"/>
  <c r="I214" i="5" s="1"/>
  <c r="D214" i="5"/>
  <c r="N213" i="5"/>
  <c r="L213" i="5"/>
  <c r="H213" i="5"/>
  <c r="G213" i="5"/>
  <c r="I213" i="5" s="1"/>
  <c r="D213" i="5"/>
  <c r="N212" i="5"/>
  <c r="L212" i="5"/>
  <c r="I212" i="5"/>
  <c r="H212" i="5"/>
  <c r="G212" i="5"/>
  <c r="D212" i="5"/>
  <c r="N211" i="5"/>
  <c r="L211" i="5"/>
  <c r="I211" i="5"/>
  <c r="H211" i="5"/>
  <c r="G211" i="5"/>
  <c r="D211" i="5"/>
  <c r="N210" i="5"/>
  <c r="L210" i="5"/>
  <c r="H210" i="5"/>
  <c r="G210" i="5"/>
  <c r="I210" i="5" s="1"/>
  <c r="D210" i="5"/>
  <c r="N209" i="5"/>
  <c r="L209" i="5"/>
  <c r="H209" i="5"/>
  <c r="G209" i="5"/>
  <c r="I209" i="5" s="1"/>
  <c r="D209" i="5"/>
  <c r="N208" i="5"/>
  <c r="L208" i="5"/>
  <c r="I208" i="5"/>
  <c r="H208" i="5"/>
  <c r="G208" i="5"/>
  <c r="D208" i="5"/>
  <c r="N207" i="5"/>
  <c r="L207" i="5"/>
  <c r="I207" i="5"/>
  <c r="H207" i="5"/>
  <c r="G207" i="5"/>
  <c r="D207" i="5"/>
  <c r="N206" i="5"/>
  <c r="L206" i="5"/>
  <c r="H206" i="5"/>
  <c r="G206" i="5"/>
  <c r="I206" i="5" s="1"/>
  <c r="D206" i="5"/>
  <c r="N205" i="5"/>
  <c r="L205" i="5"/>
  <c r="H205" i="5"/>
  <c r="G205" i="5"/>
  <c r="I205" i="5" s="1"/>
  <c r="D205" i="5"/>
  <c r="N204" i="5"/>
  <c r="L204" i="5"/>
  <c r="I204" i="5"/>
  <c r="H204" i="5"/>
  <c r="G204" i="5"/>
  <c r="D204" i="5"/>
  <c r="N203" i="5"/>
  <c r="L203" i="5"/>
  <c r="I203" i="5"/>
  <c r="H203" i="5"/>
  <c r="G203" i="5"/>
  <c r="D203" i="5"/>
  <c r="N202" i="5"/>
  <c r="L202" i="5"/>
  <c r="H202" i="5"/>
  <c r="G202" i="5"/>
  <c r="I202" i="5" s="1"/>
  <c r="D202" i="5"/>
  <c r="N201" i="5"/>
  <c r="L201" i="5"/>
  <c r="H201" i="5"/>
  <c r="G201" i="5"/>
  <c r="I201" i="5" s="1"/>
  <c r="D201" i="5"/>
  <c r="N200" i="5"/>
  <c r="L200" i="5"/>
  <c r="I200" i="5"/>
  <c r="H200" i="5"/>
  <c r="G200" i="5"/>
  <c r="D200" i="5"/>
  <c r="N199" i="5"/>
  <c r="L199" i="5"/>
  <c r="I199" i="5"/>
  <c r="H199" i="5"/>
  <c r="G199" i="5"/>
  <c r="D199" i="5"/>
  <c r="N198" i="5"/>
  <c r="L198" i="5"/>
  <c r="H198" i="5"/>
  <c r="G198" i="5"/>
  <c r="I198" i="5" s="1"/>
  <c r="D198" i="5"/>
  <c r="N197" i="5"/>
  <c r="L197" i="5"/>
  <c r="H197" i="5"/>
  <c r="G197" i="5"/>
  <c r="I197" i="5" s="1"/>
  <c r="D197" i="5"/>
  <c r="N196" i="5"/>
  <c r="L196" i="5"/>
  <c r="I196" i="5"/>
  <c r="H196" i="5"/>
  <c r="G196" i="5"/>
  <c r="D196" i="5"/>
  <c r="N195" i="5"/>
  <c r="L195" i="5"/>
  <c r="I195" i="5"/>
  <c r="H195" i="5"/>
  <c r="G195" i="5"/>
  <c r="D195" i="5"/>
  <c r="N194" i="5"/>
  <c r="L194" i="5"/>
  <c r="H194" i="5"/>
  <c r="G194" i="5"/>
  <c r="I194" i="5" s="1"/>
  <c r="D194" i="5"/>
  <c r="N193" i="5"/>
  <c r="L193" i="5"/>
  <c r="H193" i="5"/>
  <c r="G193" i="5"/>
  <c r="I193" i="5" s="1"/>
  <c r="D193" i="5"/>
  <c r="N192" i="5"/>
  <c r="L192" i="5"/>
  <c r="I192" i="5"/>
  <c r="H192" i="5"/>
  <c r="G192" i="5"/>
  <c r="D192" i="5"/>
  <c r="N191" i="5"/>
  <c r="L191" i="5"/>
  <c r="I191" i="5"/>
  <c r="H191" i="5"/>
  <c r="G191" i="5"/>
  <c r="D191" i="5"/>
  <c r="N190" i="5"/>
  <c r="L190" i="5"/>
  <c r="H190" i="5"/>
  <c r="G190" i="5"/>
  <c r="I190" i="5" s="1"/>
  <c r="D190" i="5"/>
  <c r="N189" i="5"/>
  <c r="L189" i="5"/>
  <c r="H189" i="5"/>
  <c r="G189" i="5"/>
  <c r="I189" i="5" s="1"/>
  <c r="D189" i="5"/>
  <c r="N188" i="5"/>
  <c r="L188" i="5"/>
  <c r="I188" i="5"/>
  <c r="H188" i="5"/>
  <c r="G188" i="5"/>
  <c r="D188" i="5"/>
  <c r="N187" i="5"/>
  <c r="L187" i="5"/>
  <c r="I187" i="5"/>
  <c r="H187" i="5"/>
  <c r="G187" i="5"/>
  <c r="D187" i="5"/>
  <c r="N186" i="5"/>
  <c r="L186" i="5"/>
  <c r="H186" i="5"/>
  <c r="G186" i="5"/>
  <c r="I186" i="5" s="1"/>
  <c r="D186" i="5"/>
  <c r="N185" i="5"/>
  <c r="L185" i="5"/>
  <c r="H185" i="5"/>
  <c r="G185" i="5"/>
  <c r="I185" i="5" s="1"/>
  <c r="D185" i="5"/>
  <c r="N184" i="5"/>
  <c r="L184" i="5"/>
  <c r="I184" i="5"/>
  <c r="H184" i="5"/>
  <c r="G184" i="5"/>
  <c r="D184" i="5"/>
  <c r="N183" i="5"/>
  <c r="L183" i="5"/>
  <c r="I183" i="5"/>
  <c r="H183" i="5"/>
  <c r="G183" i="5"/>
  <c r="D183" i="5"/>
  <c r="N182" i="5"/>
  <c r="L182" i="5"/>
  <c r="H182" i="5"/>
  <c r="G182" i="5"/>
  <c r="I182" i="5" s="1"/>
  <c r="D182" i="5"/>
  <c r="N181" i="5"/>
  <c r="L181" i="5"/>
  <c r="H181" i="5"/>
  <c r="G181" i="5"/>
  <c r="I181" i="5" s="1"/>
  <c r="D181" i="5"/>
  <c r="N180" i="5"/>
  <c r="L180" i="5"/>
  <c r="I180" i="5"/>
  <c r="H180" i="5"/>
  <c r="G180" i="5"/>
  <c r="D180" i="5"/>
  <c r="N179" i="5"/>
  <c r="L179" i="5"/>
  <c r="I179" i="5"/>
  <c r="H179" i="5"/>
  <c r="G179" i="5"/>
  <c r="D179" i="5"/>
  <c r="N178" i="5"/>
  <c r="L178" i="5"/>
  <c r="H178" i="5"/>
  <c r="G178" i="5"/>
  <c r="I178" i="5" s="1"/>
  <c r="D178" i="5"/>
  <c r="N177" i="5"/>
  <c r="L177" i="5"/>
  <c r="H177" i="5"/>
  <c r="G177" i="5"/>
  <c r="I177" i="5" s="1"/>
  <c r="D177" i="5"/>
  <c r="N176" i="5"/>
  <c r="L176" i="5"/>
  <c r="I176" i="5"/>
  <c r="H176" i="5"/>
  <c r="G176" i="5"/>
  <c r="D176" i="5"/>
  <c r="N175" i="5"/>
  <c r="L175" i="5"/>
  <c r="I175" i="5"/>
  <c r="H175" i="5"/>
  <c r="G175" i="5"/>
  <c r="D175" i="5"/>
  <c r="N174" i="5"/>
  <c r="L174" i="5"/>
  <c r="H174" i="5"/>
  <c r="G174" i="5"/>
  <c r="I174" i="5" s="1"/>
  <c r="D174" i="5"/>
  <c r="N173" i="5"/>
  <c r="L173" i="5"/>
  <c r="H173" i="5"/>
  <c r="G173" i="5"/>
  <c r="I173" i="5" s="1"/>
  <c r="D173" i="5"/>
  <c r="N172" i="5"/>
  <c r="L172" i="5"/>
  <c r="I172" i="5"/>
  <c r="H172" i="5"/>
  <c r="G172" i="5"/>
  <c r="D172" i="5"/>
  <c r="N171" i="5"/>
  <c r="L171" i="5"/>
  <c r="I171" i="5"/>
  <c r="H171" i="5"/>
  <c r="G171" i="5"/>
  <c r="D171" i="5"/>
  <c r="N170" i="5"/>
  <c r="L170" i="5"/>
  <c r="H170" i="5"/>
  <c r="G170" i="5"/>
  <c r="I170" i="5" s="1"/>
  <c r="D170" i="5"/>
  <c r="N169" i="5"/>
  <c r="L169" i="5"/>
  <c r="H169" i="5"/>
  <c r="G169" i="5"/>
  <c r="I169" i="5" s="1"/>
  <c r="D169" i="5"/>
  <c r="N168" i="5"/>
  <c r="L168" i="5"/>
  <c r="I168" i="5"/>
  <c r="H168" i="5"/>
  <c r="G168" i="5"/>
  <c r="D168" i="5"/>
  <c r="N167" i="5"/>
  <c r="L167" i="5"/>
  <c r="I167" i="5"/>
  <c r="H167" i="5"/>
  <c r="G167" i="5"/>
  <c r="D167" i="5"/>
  <c r="N166" i="5"/>
  <c r="L166" i="5"/>
  <c r="H166" i="5"/>
  <c r="G166" i="5"/>
  <c r="I166" i="5" s="1"/>
  <c r="D166" i="5"/>
  <c r="N165" i="5"/>
  <c r="L165" i="5"/>
  <c r="H165" i="5"/>
  <c r="G165" i="5"/>
  <c r="I165" i="5" s="1"/>
  <c r="D165" i="5"/>
  <c r="N164" i="5"/>
  <c r="L164" i="5"/>
  <c r="I164" i="5"/>
  <c r="H164" i="5"/>
  <c r="G164" i="5"/>
  <c r="D164" i="5"/>
  <c r="N163" i="5"/>
  <c r="L163" i="5"/>
  <c r="I163" i="5"/>
  <c r="H163" i="5"/>
  <c r="G163" i="5"/>
  <c r="D163" i="5"/>
  <c r="N162" i="5"/>
  <c r="L162" i="5"/>
  <c r="H162" i="5"/>
  <c r="G162" i="5"/>
  <c r="I162" i="5" s="1"/>
  <c r="D162" i="5"/>
  <c r="N161" i="5"/>
  <c r="L161" i="5"/>
  <c r="H161" i="5"/>
  <c r="G161" i="5"/>
  <c r="I161" i="5" s="1"/>
  <c r="D161" i="5"/>
  <c r="N160" i="5"/>
  <c r="L160" i="5"/>
  <c r="I160" i="5"/>
  <c r="H160" i="5"/>
  <c r="G160" i="5"/>
  <c r="D160" i="5"/>
  <c r="N159" i="5"/>
  <c r="L159" i="5"/>
  <c r="I159" i="5"/>
  <c r="H159" i="5"/>
  <c r="G159" i="5"/>
  <c r="D159" i="5"/>
  <c r="N158" i="5"/>
  <c r="L158" i="5"/>
  <c r="H158" i="5"/>
  <c r="G158" i="5"/>
  <c r="I158" i="5" s="1"/>
  <c r="D158" i="5"/>
  <c r="N157" i="5"/>
  <c r="L157" i="5"/>
  <c r="H157" i="5"/>
  <c r="G157" i="5"/>
  <c r="I157" i="5" s="1"/>
  <c r="D157" i="5"/>
  <c r="N156" i="5"/>
  <c r="L156" i="5"/>
  <c r="I156" i="5"/>
  <c r="H156" i="5"/>
  <c r="G156" i="5"/>
  <c r="D156" i="5"/>
  <c r="N155" i="5"/>
  <c r="L155" i="5"/>
  <c r="I155" i="5"/>
  <c r="H155" i="5"/>
  <c r="G155" i="5"/>
  <c r="D155" i="5"/>
  <c r="N154" i="5"/>
  <c r="L154" i="5"/>
  <c r="H154" i="5"/>
  <c r="G154" i="5"/>
  <c r="I154" i="5" s="1"/>
  <c r="D154" i="5"/>
  <c r="N153" i="5"/>
  <c r="L153" i="5"/>
  <c r="H153" i="5"/>
  <c r="G153" i="5"/>
  <c r="I153" i="5" s="1"/>
  <c r="D153" i="5"/>
  <c r="N152" i="5"/>
  <c r="L152" i="5"/>
  <c r="I152" i="5"/>
  <c r="H152" i="5"/>
  <c r="G152" i="5"/>
  <c r="D152" i="5"/>
  <c r="N151" i="5"/>
  <c r="L151" i="5"/>
  <c r="I151" i="5"/>
  <c r="H151" i="5"/>
  <c r="G151" i="5"/>
  <c r="D151" i="5"/>
  <c r="N150" i="5"/>
  <c r="L150" i="5"/>
  <c r="H150" i="5"/>
  <c r="G150" i="5"/>
  <c r="I150" i="5" s="1"/>
  <c r="D150" i="5"/>
  <c r="N149" i="5"/>
  <c r="L149" i="5"/>
  <c r="H149" i="5"/>
  <c r="G149" i="5"/>
  <c r="I149" i="5" s="1"/>
  <c r="D149" i="5"/>
  <c r="N148" i="5"/>
  <c r="L148" i="5"/>
  <c r="I148" i="5"/>
  <c r="H148" i="5"/>
  <c r="G148" i="5"/>
  <c r="D148" i="5"/>
  <c r="N147" i="5"/>
  <c r="L147" i="5"/>
  <c r="I147" i="5"/>
  <c r="H147" i="5"/>
  <c r="G147" i="5"/>
  <c r="D147" i="5"/>
  <c r="N146" i="5"/>
  <c r="L146" i="5"/>
  <c r="H146" i="5"/>
  <c r="G146" i="5"/>
  <c r="I146" i="5" s="1"/>
  <c r="D146" i="5"/>
  <c r="N145" i="5"/>
  <c r="L145" i="5"/>
  <c r="H145" i="5"/>
  <c r="G145" i="5"/>
  <c r="I145" i="5" s="1"/>
  <c r="D145" i="5"/>
  <c r="N144" i="5"/>
  <c r="L144" i="5"/>
  <c r="I144" i="5"/>
  <c r="H144" i="5"/>
  <c r="G144" i="5"/>
  <c r="D144" i="5"/>
  <c r="N143" i="5"/>
  <c r="L143" i="5"/>
  <c r="I143" i="5"/>
  <c r="H143" i="5"/>
  <c r="G143" i="5"/>
  <c r="D143" i="5"/>
  <c r="N142" i="5"/>
  <c r="L142" i="5"/>
  <c r="H142" i="5"/>
  <c r="G142" i="5"/>
  <c r="I142" i="5" s="1"/>
  <c r="D142" i="5"/>
  <c r="N141" i="5"/>
  <c r="L141" i="5"/>
  <c r="H141" i="5"/>
  <c r="G141" i="5"/>
  <c r="I141" i="5" s="1"/>
  <c r="D141" i="5"/>
  <c r="N140" i="5"/>
  <c r="L140" i="5"/>
  <c r="I140" i="5"/>
  <c r="H140" i="5"/>
  <c r="G140" i="5"/>
  <c r="D140" i="5"/>
  <c r="N139" i="5"/>
  <c r="L139" i="5"/>
  <c r="I139" i="5"/>
  <c r="H139" i="5"/>
  <c r="G139" i="5"/>
  <c r="D139" i="5"/>
  <c r="N138" i="5"/>
  <c r="L138" i="5"/>
  <c r="H138" i="5"/>
  <c r="G138" i="5"/>
  <c r="I138" i="5" s="1"/>
  <c r="D138" i="5"/>
  <c r="N137" i="5"/>
  <c r="L137" i="5"/>
  <c r="H137" i="5"/>
  <c r="G137" i="5"/>
  <c r="I137" i="5" s="1"/>
  <c r="D137" i="5"/>
  <c r="N136" i="5"/>
  <c r="L136" i="5"/>
  <c r="I136" i="5"/>
  <c r="H136" i="5"/>
  <c r="G136" i="5"/>
  <c r="D136" i="5"/>
  <c r="N135" i="5"/>
  <c r="L135" i="5"/>
  <c r="I135" i="5"/>
  <c r="H135" i="5"/>
  <c r="G135" i="5"/>
  <c r="D135" i="5"/>
  <c r="N134" i="5"/>
  <c r="L134" i="5"/>
  <c r="H134" i="5"/>
  <c r="G134" i="5"/>
  <c r="I134" i="5" s="1"/>
  <c r="D134" i="5"/>
  <c r="N133" i="5"/>
  <c r="L133" i="5"/>
  <c r="H133" i="5"/>
  <c r="G133" i="5"/>
  <c r="I133" i="5" s="1"/>
  <c r="D133" i="5"/>
  <c r="N132" i="5"/>
  <c r="L132" i="5"/>
  <c r="I132" i="5"/>
  <c r="H132" i="5"/>
  <c r="G132" i="5"/>
  <c r="D132" i="5"/>
  <c r="N131" i="5"/>
  <c r="L131" i="5"/>
  <c r="I131" i="5"/>
  <c r="H131" i="5"/>
  <c r="G131" i="5"/>
  <c r="D131" i="5"/>
  <c r="N130" i="5"/>
  <c r="L130" i="5"/>
  <c r="H130" i="5"/>
  <c r="G130" i="5"/>
  <c r="I130" i="5" s="1"/>
  <c r="D130" i="5"/>
  <c r="N129" i="5"/>
  <c r="L129" i="5"/>
  <c r="H129" i="5"/>
  <c r="G129" i="5"/>
  <c r="I129" i="5" s="1"/>
  <c r="D129" i="5"/>
  <c r="N128" i="5"/>
  <c r="L128" i="5"/>
  <c r="I128" i="5"/>
  <c r="H128" i="5"/>
  <c r="G128" i="5"/>
  <c r="D128" i="5"/>
  <c r="N127" i="5"/>
  <c r="L127" i="5"/>
  <c r="I127" i="5"/>
  <c r="H127" i="5"/>
  <c r="G127" i="5"/>
  <c r="D127" i="5"/>
  <c r="N126" i="5"/>
  <c r="L126" i="5"/>
  <c r="H126" i="5"/>
  <c r="G126" i="5"/>
  <c r="I126" i="5" s="1"/>
  <c r="D126" i="5"/>
  <c r="N125" i="5"/>
  <c r="L125" i="5"/>
  <c r="H125" i="5"/>
  <c r="G125" i="5"/>
  <c r="I125" i="5" s="1"/>
  <c r="D125" i="5"/>
  <c r="N124" i="5"/>
  <c r="L124" i="5"/>
  <c r="I124" i="5"/>
  <c r="H124" i="5"/>
  <c r="G124" i="5"/>
  <c r="D124" i="5"/>
  <c r="N123" i="5"/>
  <c r="L123" i="5"/>
  <c r="I123" i="5"/>
  <c r="H123" i="5"/>
  <c r="G123" i="5"/>
  <c r="D123" i="5"/>
  <c r="N122" i="5"/>
  <c r="L122" i="5"/>
  <c r="H122" i="5"/>
  <c r="G122" i="5"/>
  <c r="I122" i="5" s="1"/>
  <c r="D122" i="5"/>
  <c r="N121" i="5"/>
  <c r="L121" i="5"/>
  <c r="H121" i="5"/>
  <c r="G121" i="5"/>
  <c r="I121" i="5" s="1"/>
  <c r="D121" i="5"/>
  <c r="N120" i="5"/>
  <c r="L120" i="5"/>
  <c r="I120" i="5"/>
  <c r="H120" i="5"/>
  <c r="G120" i="5"/>
  <c r="D120" i="5"/>
  <c r="N119" i="5"/>
  <c r="L119" i="5"/>
  <c r="I119" i="5"/>
  <c r="H119" i="5"/>
  <c r="G119" i="5"/>
  <c r="D119" i="5"/>
  <c r="N118" i="5"/>
  <c r="L118" i="5"/>
  <c r="H118" i="5"/>
  <c r="G118" i="5"/>
  <c r="I118" i="5" s="1"/>
  <c r="D118" i="5"/>
  <c r="N117" i="5"/>
  <c r="L117" i="5"/>
  <c r="H117" i="5"/>
  <c r="G117" i="5"/>
  <c r="I117" i="5" s="1"/>
  <c r="D117" i="5"/>
  <c r="N116" i="5"/>
  <c r="L116" i="5"/>
  <c r="I116" i="5"/>
  <c r="H116" i="5"/>
  <c r="G116" i="5"/>
  <c r="D116" i="5"/>
  <c r="N115" i="5"/>
  <c r="L115" i="5"/>
  <c r="I115" i="5"/>
  <c r="H115" i="5"/>
  <c r="G115" i="5"/>
  <c r="D115" i="5"/>
  <c r="N114" i="5"/>
  <c r="L114" i="5"/>
  <c r="H114" i="5"/>
  <c r="G114" i="5"/>
  <c r="I114" i="5" s="1"/>
  <c r="D114" i="5"/>
  <c r="N113" i="5"/>
  <c r="L113" i="5"/>
  <c r="H113" i="5"/>
  <c r="G113" i="5"/>
  <c r="I113" i="5" s="1"/>
  <c r="D113" i="5"/>
  <c r="N112" i="5"/>
  <c r="L112" i="5"/>
  <c r="I112" i="5"/>
  <c r="H112" i="5"/>
  <c r="G112" i="5"/>
  <c r="D112" i="5"/>
  <c r="N111" i="5"/>
  <c r="L111" i="5"/>
  <c r="I111" i="5"/>
  <c r="H111" i="5"/>
  <c r="G111" i="5"/>
  <c r="D111" i="5"/>
  <c r="N110" i="5"/>
  <c r="L110" i="5"/>
  <c r="H110" i="5"/>
  <c r="G110" i="5"/>
  <c r="I110" i="5" s="1"/>
  <c r="D110" i="5"/>
  <c r="N109" i="5"/>
  <c r="L109" i="5"/>
  <c r="H109" i="5"/>
  <c r="G109" i="5"/>
  <c r="I109" i="5" s="1"/>
  <c r="D109" i="5"/>
  <c r="N108" i="5"/>
  <c r="L108" i="5"/>
  <c r="I108" i="5"/>
  <c r="H108" i="5"/>
  <c r="G108" i="5"/>
  <c r="D108" i="5"/>
  <c r="N107" i="5"/>
  <c r="L107" i="5"/>
  <c r="I107" i="5"/>
  <c r="H107" i="5"/>
  <c r="G107" i="5"/>
  <c r="D107" i="5"/>
  <c r="N106" i="5"/>
  <c r="L106" i="5"/>
  <c r="H106" i="5"/>
  <c r="G106" i="5"/>
  <c r="I106" i="5" s="1"/>
  <c r="D106" i="5"/>
  <c r="N105" i="5"/>
  <c r="L105" i="5"/>
  <c r="H105" i="5"/>
  <c r="G105" i="5"/>
  <c r="I105" i="5" s="1"/>
  <c r="D105" i="5"/>
  <c r="N104" i="5"/>
  <c r="L104" i="5"/>
  <c r="I104" i="5"/>
  <c r="H104" i="5"/>
  <c r="G104" i="5"/>
  <c r="D104" i="5"/>
  <c r="N103" i="5"/>
  <c r="L103" i="5"/>
  <c r="I103" i="5"/>
  <c r="H103" i="5"/>
  <c r="G103" i="5"/>
  <c r="D103" i="5"/>
  <c r="N102" i="5"/>
  <c r="L102" i="5"/>
  <c r="H102" i="5"/>
  <c r="G102" i="5"/>
  <c r="I102" i="5" s="1"/>
  <c r="D102" i="5"/>
  <c r="N101" i="5"/>
  <c r="L101" i="5"/>
  <c r="H101" i="5"/>
  <c r="G101" i="5"/>
  <c r="I101" i="5" s="1"/>
  <c r="D101" i="5"/>
  <c r="N100" i="5"/>
  <c r="L100" i="5"/>
  <c r="I100" i="5"/>
  <c r="H100" i="5"/>
  <c r="G100" i="5"/>
  <c r="D100" i="5"/>
  <c r="N99" i="5"/>
  <c r="L99" i="5"/>
  <c r="I99" i="5"/>
  <c r="H99" i="5"/>
  <c r="G99" i="5"/>
  <c r="D99" i="5"/>
  <c r="N98" i="5"/>
  <c r="L98" i="5"/>
  <c r="H98" i="5"/>
  <c r="G98" i="5"/>
  <c r="I98" i="5" s="1"/>
  <c r="D98" i="5"/>
  <c r="N97" i="5"/>
  <c r="L97" i="5"/>
  <c r="H97" i="5"/>
  <c r="G97" i="5"/>
  <c r="I97" i="5" s="1"/>
  <c r="D97" i="5"/>
  <c r="N96" i="5"/>
  <c r="L96" i="5"/>
  <c r="I96" i="5"/>
  <c r="H96" i="5"/>
  <c r="G96" i="5"/>
  <c r="D96" i="5"/>
  <c r="N95" i="5"/>
  <c r="L95" i="5"/>
  <c r="I95" i="5"/>
  <c r="H95" i="5"/>
  <c r="G95" i="5"/>
  <c r="D95" i="5"/>
  <c r="N94" i="5"/>
  <c r="L94" i="5"/>
  <c r="H94" i="5"/>
  <c r="G94" i="5"/>
  <c r="I94" i="5" s="1"/>
  <c r="D94" i="5"/>
  <c r="N93" i="5"/>
  <c r="L93" i="5"/>
  <c r="H93" i="5"/>
  <c r="G93" i="5"/>
  <c r="I93" i="5" s="1"/>
  <c r="D93" i="5"/>
  <c r="N92" i="5"/>
  <c r="L92" i="5"/>
  <c r="I92" i="5"/>
  <c r="H92" i="5"/>
  <c r="G92" i="5"/>
  <c r="D92" i="5"/>
  <c r="N91" i="5"/>
  <c r="L91" i="5"/>
  <c r="I91" i="5"/>
  <c r="H91" i="5"/>
  <c r="G91" i="5"/>
  <c r="D91" i="5"/>
  <c r="N90" i="5"/>
  <c r="L90" i="5"/>
  <c r="H90" i="5"/>
  <c r="G90" i="5"/>
  <c r="I90" i="5" s="1"/>
  <c r="D90" i="5"/>
  <c r="N89" i="5"/>
  <c r="L89" i="5"/>
  <c r="H89" i="5"/>
  <c r="G89" i="5"/>
  <c r="I89" i="5" s="1"/>
  <c r="D89" i="5"/>
  <c r="N88" i="5"/>
  <c r="L88" i="5"/>
  <c r="I88" i="5"/>
  <c r="H88" i="5"/>
  <c r="G88" i="5"/>
  <c r="D88" i="5"/>
  <c r="N87" i="5"/>
  <c r="L87" i="5"/>
  <c r="I87" i="5"/>
  <c r="H87" i="5"/>
  <c r="G87" i="5"/>
  <c r="D87" i="5"/>
  <c r="N86" i="5"/>
  <c r="L86" i="5"/>
  <c r="H86" i="5"/>
  <c r="G86" i="5"/>
  <c r="I86" i="5" s="1"/>
  <c r="D86" i="5"/>
  <c r="N85" i="5"/>
  <c r="L85" i="5"/>
  <c r="H85" i="5"/>
  <c r="G85" i="5"/>
  <c r="I85" i="5" s="1"/>
  <c r="D85" i="5"/>
  <c r="N84" i="5"/>
  <c r="L84" i="5"/>
  <c r="I84" i="5"/>
  <c r="H84" i="5"/>
  <c r="G84" i="5"/>
  <c r="D84" i="5"/>
  <c r="N83" i="5"/>
  <c r="L83" i="5"/>
  <c r="I83" i="5"/>
  <c r="H83" i="5"/>
  <c r="G83" i="5"/>
  <c r="D83" i="5"/>
  <c r="N82" i="5"/>
  <c r="L82" i="5"/>
  <c r="H82" i="5"/>
  <c r="G82" i="5"/>
  <c r="I82" i="5" s="1"/>
  <c r="D82" i="5"/>
  <c r="N81" i="5"/>
  <c r="L81" i="5"/>
  <c r="H81" i="5"/>
  <c r="G81" i="5"/>
  <c r="I81" i="5" s="1"/>
  <c r="D81" i="5"/>
  <c r="N80" i="5"/>
  <c r="L80" i="5"/>
  <c r="I80" i="5"/>
  <c r="H80" i="5"/>
  <c r="G80" i="5"/>
  <c r="D80" i="5"/>
  <c r="N79" i="5"/>
  <c r="L79" i="5"/>
  <c r="I79" i="5"/>
  <c r="H79" i="5"/>
  <c r="G79" i="5"/>
  <c r="D79" i="5"/>
  <c r="N78" i="5"/>
  <c r="L78" i="5"/>
  <c r="H78" i="5"/>
  <c r="G78" i="5"/>
  <c r="I78" i="5" s="1"/>
  <c r="D78" i="5"/>
  <c r="N77" i="5"/>
  <c r="L77" i="5"/>
  <c r="H77" i="5"/>
  <c r="G77" i="5"/>
  <c r="I77" i="5" s="1"/>
  <c r="D77" i="5"/>
  <c r="N76" i="5"/>
  <c r="L76" i="5"/>
  <c r="I76" i="5"/>
  <c r="H76" i="5"/>
  <c r="G76" i="5"/>
  <c r="D76" i="5"/>
  <c r="N75" i="5"/>
  <c r="L75" i="5"/>
  <c r="I75" i="5"/>
  <c r="H75" i="5"/>
  <c r="G75" i="5"/>
  <c r="D75" i="5"/>
  <c r="N74" i="5"/>
  <c r="L74" i="5"/>
  <c r="H74" i="5"/>
  <c r="G74" i="5"/>
  <c r="I74" i="5" s="1"/>
  <c r="D74" i="5"/>
  <c r="N73" i="5"/>
  <c r="L73" i="5"/>
  <c r="H73" i="5"/>
  <c r="G73" i="5"/>
  <c r="I73" i="5" s="1"/>
  <c r="D73" i="5"/>
  <c r="N72" i="5"/>
  <c r="L72" i="5"/>
  <c r="I72" i="5"/>
  <c r="H72" i="5"/>
  <c r="G72" i="5"/>
  <c r="D72" i="5"/>
  <c r="N71" i="5"/>
  <c r="L71" i="5"/>
  <c r="I71" i="5"/>
  <c r="H71" i="5"/>
  <c r="G71" i="5"/>
  <c r="D71" i="5"/>
  <c r="N70" i="5"/>
  <c r="L70" i="5"/>
  <c r="H70" i="5"/>
  <c r="G70" i="5"/>
  <c r="I70" i="5" s="1"/>
  <c r="D70" i="5"/>
  <c r="N69" i="5"/>
  <c r="L69" i="5"/>
  <c r="H69" i="5"/>
  <c r="G69" i="5"/>
  <c r="I69" i="5" s="1"/>
  <c r="D69" i="5"/>
  <c r="N68" i="5"/>
  <c r="L68" i="5"/>
  <c r="I68" i="5"/>
  <c r="H68" i="5"/>
  <c r="G68" i="5"/>
  <c r="D68" i="5"/>
  <c r="N67" i="5"/>
  <c r="L67" i="5"/>
  <c r="I67" i="5"/>
  <c r="H67" i="5"/>
  <c r="G67" i="5"/>
  <c r="D67" i="5"/>
  <c r="N66" i="5"/>
  <c r="L66" i="5"/>
  <c r="H66" i="5"/>
  <c r="G66" i="5"/>
  <c r="I66" i="5" s="1"/>
  <c r="D66" i="5"/>
  <c r="N65" i="5"/>
  <c r="L65" i="5"/>
  <c r="H65" i="5"/>
  <c r="G65" i="5"/>
  <c r="I65" i="5" s="1"/>
  <c r="D65" i="5"/>
  <c r="N64" i="5"/>
  <c r="L64" i="5"/>
  <c r="I64" i="5"/>
  <c r="H64" i="5"/>
  <c r="G64" i="5"/>
  <c r="D64" i="5"/>
  <c r="N63" i="5"/>
  <c r="L63" i="5"/>
  <c r="I63" i="5"/>
  <c r="H63" i="5"/>
  <c r="G63" i="5"/>
  <c r="D63" i="5"/>
  <c r="N62" i="5"/>
  <c r="L62" i="5"/>
  <c r="H62" i="5"/>
  <c r="G62" i="5"/>
  <c r="I62" i="5" s="1"/>
  <c r="D62" i="5"/>
  <c r="N61" i="5"/>
  <c r="L61" i="5"/>
  <c r="H61" i="5"/>
  <c r="G61" i="5"/>
  <c r="I61" i="5" s="1"/>
  <c r="D61" i="5"/>
  <c r="N60" i="5"/>
  <c r="L60" i="5"/>
  <c r="I60" i="5"/>
  <c r="H60" i="5"/>
  <c r="G60" i="5"/>
  <c r="D60" i="5"/>
  <c r="N59" i="5"/>
  <c r="L59" i="5"/>
  <c r="I59" i="5"/>
  <c r="H59" i="5"/>
  <c r="G59" i="5"/>
  <c r="D59" i="5"/>
  <c r="N58" i="5"/>
  <c r="L58" i="5"/>
  <c r="H58" i="5"/>
  <c r="G58" i="5"/>
  <c r="I58" i="5" s="1"/>
  <c r="D58" i="5"/>
  <c r="N57" i="5"/>
  <c r="L57" i="5"/>
  <c r="H57" i="5"/>
  <c r="G57" i="5"/>
  <c r="I57" i="5" s="1"/>
  <c r="D57" i="5"/>
  <c r="N56" i="5"/>
  <c r="L56" i="5"/>
  <c r="I56" i="5"/>
  <c r="H56" i="5"/>
  <c r="G56" i="5"/>
  <c r="D56" i="5"/>
  <c r="N55" i="5"/>
  <c r="L55" i="5"/>
  <c r="I55" i="5"/>
  <c r="H55" i="5"/>
  <c r="G55" i="5"/>
  <c r="D55" i="5"/>
  <c r="N54" i="5"/>
  <c r="L54" i="5"/>
  <c r="H54" i="5"/>
  <c r="G54" i="5"/>
  <c r="I54" i="5" s="1"/>
  <c r="D54" i="5"/>
  <c r="N53" i="5"/>
  <c r="L53" i="5"/>
  <c r="H53" i="5"/>
  <c r="G53" i="5"/>
  <c r="I53" i="5" s="1"/>
  <c r="D53" i="5"/>
  <c r="N52" i="5"/>
  <c r="L52" i="5"/>
  <c r="I52" i="5"/>
  <c r="H52" i="5"/>
  <c r="G52" i="5"/>
  <c r="D52" i="5"/>
  <c r="N51" i="5"/>
  <c r="L51" i="5"/>
  <c r="I51" i="5"/>
  <c r="H51" i="5"/>
  <c r="G51" i="5"/>
  <c r="D51" i="5"/>
  <c r="N50" i="5"/>
  <c r="L50" i="5"/>
  <c r="H50" i="5"/>
  <c r="G50" i="5"/>
  <c r="I50" i="5" s="1"/>
  <c r="D50" i="5"/>
  <c r="N49" i="5"/>
  <c r="L49" i="5"/>
  <c r="H49" i="5"/>
  <c r="G49" i="5"/>
  <c r="I49" i="5" s="1"/>
  <c r="D49" i="5"/>
  <c r="N48" i="5"/>
  <c r="L48" i="5"/>
  <c r="I48" i="5"/>
  <c r="H48" i="5"/>
  <c r="G48" i="5"/>
  <c r="D48" i="5"/>
  <c r="N47" i="5"/>
  <c r="L47" i="5"/>
  <c r="I47" i="5"/>
  <c r="H47" i="5"/>
  <c r="G47" i="5"/>
  <c r="D47" i="5"/>
  <c r="N46" i="5"/>
  <c r="L46" i="5"/>
  <c r="H46" i="5"/>
  <c r="G46" i="5"/>
  <c r="I46" i="5" s="1"/>
  <c r="D46" i="5"/>
  <c r="N45" i="5"/>
  <c r="L45" i="5"/>
  <c r="H45" i="5"/>
  <c r="G45" i="5"/>
  <c r="I45" i="5" s="1"/>
  <c r="D45" i="5"/>
  <c r="N44" i="5"/>
  <c r="L44" i="5"/>
  <c r="I44" i="5"/>
  <c r="H44" i="5"/>
  <c r="G44" i="5"/>
  <c r="D44" i="5"/>
  <c r="N43" i="5"/>
  <c r="L43" i="5"/>
  <c r="I43" i="5"/>
  <c r="H43" i="5"/>
  <c r="G43" i="5"/>
  <c r="D43" i="5"/>
  <c r="N42" i="5"/>
  <c r="L42" i="5"/>
  <c r="H42" i="5"/>
  <c r="G42" i="5"/>
  <c r="I42" i="5" s="1"/>
  <c r="D42" i="5"/>
  <c r="N41" i="5"/>
  <c r="L41" i="5"/>
  <c r="H41" i="5"/>
  <c r="G41" i="5"/>
  <c r="I41" i="5" s="1"/>
  <c r="D41" i="5"/>
  <c r="N40" i="5"/>
  <c r="L40" i="5"/>
  <c r="I40" i="5"/>
  <c r="H40" i="5"/>
  <c r="G40" i="5"/>
  <c r="D40" i="5"/>
  <c r="N39" i="5"/>
  <c r="L39" i="5"/>
  <c r="I39" i="5"/>
  <c r="H39" i="5"/>
  <c r="G39" i="5"/>
  <c r="D39" i="5"/>
  <c r="N38" i="5"/>
  <c r="L38" i="5"/>
  <c r="H38" i="5"/>
  <c r="G38" i="5"/>
  <c r="I38" i="5" s="1"/>
  <c r="D38" i="5"/>
  <c r="N37" i="5"/>
  <c r="L37" i="5"/>
  <c r="H37" i="5"/>
  <c r="G37" i="5"/>
  <c r="I37" i="5" s="1"/>
  <c r="D37" i="5"/>
  <c r="N36" i="5"/>
  <c r="L36" i="5"/>
  <c r="H36" i="5"/>
  <c r="G36" i="5"/>
  <c r="I36" i="5" s="1"/>
  <c r="D36" i="5"/>
  <c r="N35" i="5"/>
  <c r="L35" i="5"/>
  <c r="I35" i="5"/>
  <c r="H35" i="5"/>
  <c r="G35" i="5"/>
  <c r="D35" i="5"/>
  <c r="N34" i="5"/>
  <c r="L34" i="5"/>
  <c r="H34" i="5"/>
  <c r="G34" i="5"/>
  <c r="I34" i="5" s="1"/>
  <c r="D34" i="5"/>
  <c r="N33" i="5"/>
  <c r="L33" i="5"/>
  <c r="H33" i="5"/>
  <c r="G33" i="5"/>
  <c r="I33" i="5" s="1"/>
  <c r="D33" i="5"/>
  <c r="N32" i="5"/>
  <c r="L32" i="5"/>
  <c r="I32" i="5"/>
  <c r="H32" i="5"/>
  <c r="G32" i="5"/>
  <c r="D32" i="5"/>
  <c r="N31" i="5"/>
  <c r="L31" i="5"/>
  <c r="I31" i="5"/>
  <c r="H31" i="5"/>
  <c r="G31" i="5"/>
  <c r="D31" i="5"/>
  <c r="N30" i="5"/>
  <c r="L30" i="5"/>
  <c r="H30" i="5"/>
  <c r="G30" i="5"/>
  <c r="I30" i="5" s="1"/>
  <c r="D30" i="5"/>
  <c r="N29" i="5"/>
  <c r="L29" i="5"/>
  <c r="H29" i="5"/>
  <c r="G29" i="5"/>
  <c r="I29" i="5" s="1"/>
  <c r="D29" i="5"/>
  <c r="N28" i="5"/>
  <c r="L28" i="5"/>
  <c r="I28" i="5"/>
  <c r="H28" i="5"/>
  <c r="G28" i="5"/>
  <c r="D28" i="5"/>
  <c r="N27" i="5"/>
  <c r="L27" i="5"/>
  <c r="I27" i="5"/>
  <c r="H27" i="5"/>
  <c r="G27" i="5"/>
  <c r="D27" i="5"/>
  <c r="N26" i="5"/>
  <c r="L26" i="5"/>
  <c r="H26" i="5"/>
  <c r="G26" i="5"/>
  <c r="I26" i="5" s="1"/>
  <c r="D26" i="5"/>
  <c r="N25" i="5"/>
  <c r="L25" i="5"/>
  <c r="H25" i="5"/>
  <c r="G25" i="5"/>
  <c r="I25" i="5" s="1"/>
  <c r="D25" i="5"/>
  <c r="N24" i="5"/>
  <c r="L24" i="5"/>
  <c r="I24" i="5"/>
  <c r="H24" i="5"/>
  <c r="G24" i="5"/>
  <c r="D24" i="5"/>
  <c r="N23" i="5"/>
  <c r="L23" i="5"/>
  <c r="I23" i="5"/>
  <c r="H23" i="5"/>
  <c r="G23" i="5"/>
  <c r="D23" i="5"/>
  <c r="N22" i="5"/>
  <c r="L22" i="5"/>
  <c r="H22" i="5"/>
  <c r="G22" i="5"/>
  <c r="I22" i="5" s="1"/>
  <c r="D22" i="5"/>
  <c r="N21" i="5"/>
  <c r="L21" i="5"/>
  <c r="H21" i="5"/>
  <c r="G21" i="5"/>
  <c r="I21" i="5" s="1"/>
  <c r="D21" i="5"/>
  <c r="N20" i="5"/>
  <c r="L20" i="5"/>
  <c r="H20" i="5"/>
  <c r="G20" i="5"/>
  <c r="I20" i="5" s="1"/>
  <c r="D20" i="5"/>
  <c r="N19" i="5"/>
  <c r="L19" i="5"/>
  <c r="I19" i="5"/>
  <c r="H19" i="5"/>
  <c r="G19" i="5"/>
  <c r="D19" i="5"/>
  <c r="N18" i="5"/>
  <c r="L18" i="5"/>
  <c r="H18" i="5"/>
  <c r="G18" i="5"/>
  <c r="I18" i="5" s="1"/>
  <c r="D18" i="5"/>
  <c r="N17" i="5"/>
  <c r="L17" i="5"/>
  <c r="H17" i="5"/>
  <c r="G17" i="5"/>
  <c r="I17" i="5" s="1"/>
  <c r="D17" i="5"/>
  <c r="N16" i="5"/>
  <c r="L16" i="5"/>
  <c r="H16" i="5"/>
  <c r="G16" i="5"/>
  <c r="I16" i="5" s="1"/>
  <c r="D16" i="5"/>
  <c r="N15" i="5"/>
  <c r="L15" i="5"/>
  <c r="I15" i="5"/>
  <c r="H15" i="5"/>
  <c r="G15" i="5"/>
  <c r="D15" i="5"/>
  <c r="N14" i="5"/>
  <c r="L14" i="5"/>
  <c r="H14" i="5"/>
  <c r="G14" i="5"/>
  <c r="I14" i="5" s="1"/>
  <c r="D14" i="5"/>
  <c r="N13" i="5"/>
  <c r="L13" i="5"/>
  <c r="H13" i="5"/>
  <c r="G13" i="5"/>
  <c r="I13" i="5" s="1"/>
  <c r="D13" i="5"/>
  <c r="N12" i="5"/>
  <c r="L12" i="5"/>
  <c r="H12" i="5"/>
  <c r="G12" i="5"/>
  <c r="I12" i="5" s="1"/>
  <c r="D12" i="5"/>
  <c r="N11" i="5"/>
  <c r="L11" i="5"/>
  <c r="I11" i="5"/>
  <c r="H11" i="5"/>
  <c r="G11" i="5"/>
  <c r="N10" i="5"/>
  <c r="L10" i="5"/>
  <c r="H10" i="5"/>
  <c r="G10" i="5"/>
  <c r="I10" i="5" s="1"/>
  <c r="D10" i="5"/>
  <c r="N9" i="5"/>
  <c r="L9" i="5"/>
  <c r="H9" i="5"/>
  <c r="G9" i="5"/>
  <c r="I9" i="5" s="1"/>
  <c r="D9" i="5"/>
  <c r="N8" i="5"/>
  <c r="L8" i="5"/>
  <c r="H8" i="5"/>
  <c r="G8" i="5"/>
  <c r="I8" i="5" s="1"/>
  <c r="D8" i="5"/>
  <c r="N7" i="5"/>
  <c r="L7" i="5"/>
  <c r="I7" i="5"/>
  <c r="H7" i="5"/>
  <c r="G7" i="5"/>
  <c r="D7" i="5"/>
  <c r="N6" i="5"/>
  <c r="L6" i="5"/>
  <c r="H6" i="5"/>
  <c r="G6" i="5"/>
  <c r="I6" i="5" s="1"/>
  <c r="D6" i="5"/>
  <c r="N5" i="5"/>
  <c r="L5" i="5"/>
  <c r="H5" i="5"/>
  <c r="G5" i="5"/>
  <c r="I5" i="5" s="1"/>
  <c r="D5" i="5"/>
  <c r="N4" i="5"/>
  <c r="L4" i="5"/>
  <c r="H4" i="5"/>
  <c r="G4" i="5"/>
  <c r="I4" i="5" s="1"/>
  <c r="D4" i="5"/>
  <c r="N3" i="5"/>
  <c r="L3" i="5"/>
  <c r="I3" i="5"/>
  <c r="H3" i="5"/>
  <c r="G3" i="5"/>
  <c r="D3" i="5"/>
  <c r="N2" i="5"/>
  <c r="L2" i="5"/>
  <c r="H2" i="5"/>
  <c r="G2" i="5"/>
  <c r="I2" i="5" s="1"/>
  <c r="D2" i="5"/>
</calcChain>
</file>

<file path=xl/sharedStrings.xml><?xml version="1.0" encoding="utf-8"?>
<sst xmlns="http://schemas.openxmlformats.org/spreadsheetml/2006/main" count="9903" uniqueCount="47">
  <si>
    <t>FABRICANTE</t>
  </si>
  <si>
    <t>LITROS</t>
  </si>
  <si>
    <t>Leche Clasica Deslactosada 1 L</t>
  </si>
  <si>
    <t>Leche Clasica Deslactosada Light 1 L</t>
  </si>
  <si>
    <t>Leche Clasica Entera 1 L</t>
  </si>
  <si>
    <t>Leche Clasica Extra Deslactosada 1 L</t>
  </si>
  <si>
    <t>Leche Clasica Light 1 L</t>
  </si>
  <si>
    <t>Leche Clasica Semi 1 L</t>
  </si>
  <si>
    <t>Mm 12/1L Leche Desla Members Mark</t>
  </si>
  <si>
    <t>Mm 12/1L Leche Ente Members Mark</t>
  </si>
  <si>
    <t>Mm Leche Deslac Ligh</t>
  </si>
  <si>
    <t>12 1L Leche Y Pan Light</t>
  </si>
  <si>
    <t>12 960Ml Suprema Uht Entera</t>
  </si>
  <si>
    <t>12/1L Leche Y Pan En Tera</t>
  </si>
  <si>
    <t>FAB1</t>
  </si>
  <si>
    <t>FAB2</t>
  </si>
  <si>
    <t>FAB3</t>
  </si>
  <si>
    <t>FAB5</t>
  </si>
  <si>
    <t>FAB6</t>
  </si>
  <si>
    <t>UNIDADES_EN_PAQUETE</t>
  </si>
  <si>
    <t>SEMANA</t>
  </si>
  <si>
    <t>MES</t>
  </si>
  <si>
    <t>AÑO1</t>
  </si>
  <si>
    <t>PRODUCTO</t>
  </si>
  <si>
    <t>ID</t>
  </si>
  <si>
    <t>VENTA_VALOR</t>
  </si>
  <si>
    <t>PRECIO_UNITARIO_PAQUETE</t>
  </si>
  <si>
    <t>PRECIO_UNITARIO_LITRO</t>
  </si>
  <si>
    <t>1L  Sel Des Deslactosada</t>
  </si>
  <si>
    <t>1L  Sele En Selecta Entera</t>
  </si>
  <si>
    <t xml:space="preserve">  100  70+30</t>
  </si>
  <si>
    <t>12/1L  100 Proteina</t>
  </si>
  <si>
    <t xml:space="preserve"> 100 Low C Arb</t>
  </si>
  <si>
    <t xml:space="preserve"> Des Light Deslactosada Light 1L</t>
  </si>
  <si>
    <t xml:space="preserve"> Deslac Deslactosada 1 L</t>
  </si>
  <si>
    <t xml:space="preserve"> ENTERA  1.5LT 10PZ</t>
  </si>
  <si>
    <t xml:space="preserve"> Entera Entera 1 L</t>
  </si>
  <si>
    <t xml:space="preserve"> Light Light 1L</t>
  </si>
  <si>
    <t xml:space="preserve"> Semi Semi Descremada 1L</t>
  </si>
  <si>
    <t>1L  D Li Deslactosada Light</t>
  </si>
  <si>
    <t>1L  Desl Deslactosada</t>
  </si>
  <si>
    <t>1L  Ent Entera</t>
  </si>
  <si>
    <t>CORTE</t>
  </si>
  <si>
    <t>FECHAW</t>
  </si>
  <si>
    <t>FECHAM</t>
  </si>
  <si>
    <t>PAQUETES</t>
  </si>
  <si>
    <t>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</si>
</sst>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164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F60E4-BFDA-4700-93E9-0C174FB535B8}">
  <dimension ref="A1:O3297"/>
  <sheetViews>
    <sheetView tabSelected="1" workbookViewId="0">
      <selection activeCell="D16" sqref="D16"/>
    </sheetView>
  </sheetViews>
  <sheetFormatPr defaultRowHeight="15" x14ac:dyDescent="0.25"/>
  <cols>
    <col min="2" max="2" width="11.42578125" customWidth="1"/>
    <col min="3" max="3" width="21.140625" customWidth="1"/>
    <col min="4" max="4" width="34.42578125" bestFit="1" customWidth="1"/>
    <col min="8" max="9" width="10.42578125" bestFit="1" customWidth="1"/>
    <col min="10" max="10" width="15.5703125" customWidth="1"/>
    <col min="11" max="11" width="9.140625" customWidth="1"/>
    <col min="12" max="12" width="20.85546875" customWidth="1"/>
    <col min="13" max="13" width="15.85546875" customWidth="1"/>
    <col min="14" max="14" width="22.140625" style="2" customWidth="1"/>
    <col min="15" max="15" width="14.28515625" customWidth="1"/>
  </cols>
  <sheetData>
    <row r="1" spans="1:15" x14ac:dyDescent="0.25">
      <c r="A1" t="s">
        <v>42</v>
      </c>
      <c r="B1" t="s">
        <v>0</v>
      </c>
      <c r="C1" t="s">
        <v>24</v>
      </c>
      <c r="D1" t="s">
        <v>23</v>
      </c>
      <c r="E1" t="s">
        <v>22</v>
      </c>
      <c r="F1" t="s">
        <v>20</v>
      </c>
      <c r="G1" t="s">
        <v>21</v>
      </c>
      <c r="H1" t="s">
        <v>43</v>
      </c>
      <c r="I1" t="s">
        <v>44</v>
      </c>
      <c r="J1" t="s">
        <v>25</v>
      </c>
      <c r="K1" t="s">
        <v>1</v>
      </c>
      <c r="L1" t="s">
        <v>27</v>
      </c>
      <c r="M1" t="s">
        <v>45</v>
      </c>
      <c r="N1" s="2" t="s">
        <v>26</v>
      </c>
      <c r="O1" t="s">
        <v>19</v>
      </c>
    </row>
    <row r="2" spans="1:15" x14ac:dyDescent="0.25">
      <c r="A2" t="s">
        <v>46</v>
      </c>
      <c r="B2" t="s">
        <v>14</v>
      </c>
      <c r="C2" t="s">
        <v>28</v>
      </c>
      <c r="D2" t="str">
        <f>B2&amp;"_"&amp;C2</f>
        <v>FAB1_1L  Sel Des Deslactosada</v>
      </c>
      <c r="E2">
        <v>2022</v>
      </c>
      <c r="F2">
        <v>14</v>
      </c>
      <c r="G2">
        <f>MONTH(DATE(E2,1,4)+(F2-1)*7-WEEKDAY(DATE(E2,1,4),2)+4)</f>
        <v>4</v>
      </c>
      <c r="H2" s="1">
        <f>DATE(E2,1,-2)-WEEKDAY(DATE(E2,1,3))+F2*7</f>
        <v>44655</v>
      </c>
      <c r="I2" s="1">
        <f>DATE(E2,G2,1)</f>
        <v>44652</v>
      </c>
      <c r="J2">
        <v>17492</v>
      </c>
      <c r="K2">
        <v>876</v>
      </c>
      <c r="L2">
        <f t="shared" ref="L2:L65" si="0">J2/K2</f>
        <v>19.968036529680365</v>
      </c>
      <c r="M2">
        <v>73</v>
      </c>
      <c r="N2" s="2">
        <f>J2/M2</f>
        <v>239.61643835616439</v>
      </c>
      <c r="O2">
        <v>12</v>
      </c>
    </row>
    <row r="3" spans="1:15" x14ac:dyDescent="0.25">
      <c r="A3" t="s">
        <v>46</v>
      </c>
      <c r="B3" t="s">
        <v>14</v>
      </c>
      <c r="C3" t="s">
        <v>28</v>
      </c>
      <c r="D3" t="str">
        <f t="shared" ref="D3:D66" si="1">B3&amp;"_"&amp;C3</f>
        <v>FAB1_1L  Sel Des Deslactosada</v>
      </c>
      <c r="E3">
        <v>2022</v>
      </c>
      <c r="F3">
        <v>15</v>
      </c>
      <c r="G3">
        <f t="shared" ref="G3:G66" si="2">MONTH(DATE(E3,1,4)+(F3-1)*7-WEEKDAY(DATE(E3,1,4),2)+4)</f>
        <v>4</v>
      </c>
      <c r="H3" s="1">
        <f t="shared" ref="H3:H66" si="3">DATE(E3,1,-2)-WEEKDAY(DATE(E3,1,3))+F3*7</f>
        <v>44662</v>
      </c>
      <c r="I3" s="1">
        <f t="shared" ref="I3:I66" si="4">DATE(E3,G3,1)</f>
        <v>44652</v>
      </c>
      <c r="J3">
        <v>53364.9</v>
      </c>
      <c r="K3">
        <v>2676</v>
      </c>
      <c r="L3">
        <f t="shared" si="0"/>
        <v>19.942040358744396</v>
      </c>
      <c r="M3">
        <v>223</v>
      </c>
      <c r="N3" s="2">
        <f t="shared" ref="N3:N66" si="5">J3/M3</f>
        <v>239.30448430493274</v>
      </c>
      <c r="O3">
        <v>12</v>
      </c>
    </row>
    <row r="4" spans="1:15" x14ac:dyDescent="0.25">
      <c r="A4" t="s">
        <v>46</v>
      </c>
      <c r="B4" t="s">
        <v>14</v>
      </c>
      <c r="C4" t="s">
        <v>28</v>
      </c>
      <c r="D4" t="str">
        <f t="shared" si="1"/>
        <v>FAB1_1L  Sel Des Deslactosada</v>
      </c>
      <c r="E4">
        <v>2022</v>
      </c>
      <c r="F4">
        <v>16</v>
      </c>
      <c r="G4">
        <f t="shared" si="2"/>
        <v>4</v>
      </c>
      <c r="H4" s="1">
        <f t="shared" si="3"/>
        <v>44669</v>
      </c>
      <c r="I4" s="1">
        <f t="shared" si="4"/>
        <v>44652</v>
      </c>
      <c r="J4">
        <v>75747.960000000006</v>
      </c>
      <c r="K4">
        <v>3828</v>
      </c>
      <c r="L4">
        <f t="shared" si="0"/>
        <v>19.787868338557995</v>
      </c>
      <c r="M4">
        <v>319</v>
      </c>
      <c r="N4" s="2">
        <f t="shared" si="5"/>
        <v>237.45442006269593</v>
      </c>
      <c r="O4">
        <v>12</v>
      </c>
    </row>
    <row r="5" spans="1:15" x14ac:dyDescent="0.25">
      <c r="A5" t="s">
        <v>46</v>
      </c>
      <c r="B5" t="s">
        <v>14</v>
      </c>
      <c r="C5" t="s">
        <v>28</v>
      </c>
      <c r="D5" t="str">
        <f t="shared" si="1"/>
        <v>FAB1_1L  Sel Des Deslactosada</v>
      </c>
      <c r="E5">
        <v>2022</v>
      </c>
      <c r="F5">
        <v>17</v>
      </c>
      <c r="G5">
        <f t="shared" si="2"/>
        <v>4</v>
      </c>
      <c r="H5" s="1">
        <f t="shared" si="3"/>
        <v>44676</v>
      </c>
      <c r="I5" s="1">
        <f t="shared" si="4"/>
        <v>44652</v>
      </c>
      <c r="J5">
        <v>73193.36</v>
      </c>
      <c r="K5">
        <v>3684</v>
      </c>
      <c r="L5">
        <f t="shared" si="0"/>
        <v>19.867904451682953</v>
      </c>
      <c r="M5">
        <v>307</v>
      </c>
      <c r="N5" s="2">
        <f t="shared" si="5"/>
        <v>238.41485342019544</v>
      </c>
      <c r="O5">
        <v>12</v>
      </c>
    </row>
    <row r="6" spans="1:15" x14ac:dyDescent="0.25">
      <c r="A6" t="s">
        <v>46</v>
      </c>
      <c r="B6" t="s">
        <v>14</v>
      </c>
      <c r="C6" t="s">
        <v>28</v>
      </c>
      <c r="D6" t="str">
        <f t="shared" si="1"/>
        <v>FAB1_1L  Sel Des Deslactosada</v>
      </c>
      <c r="E6">
        <v>2022</v>
      </c>
      <c r="F6">
        <v>18</v>
      </c>
      <c r="G6">
        <f t="shared" si="2"/>
        <v>5</v>
      </c>
      <c r="H6" s="1">
        <f t="shared" si="3"/>
        <v>44683</v>
      </c>
      <c r="I6" s="1">
        <f t="shared" si="4"/>
        <v>44682</v>
      </c>
      <c r="J6">
        <v>94031.14</v>
      </c>
      <c r="K6">
        <v>4644</v>
      </c>
      <c r="L6">
        <f t="shared" si="0"/>
        <v>20.247876830318692</v>
      </c>
      <c r="M6">
        <v>387</v>
      </c>
      <c r="N6" s="2">
        <f t="shared" si="5"/>
        <v>242.97452196382429</v>
      </c>
      <c r="O6">
        <v>12</v>
      </c>
    </row>
    <row r="7" spans="1:15" x14ac:dyDescent="0.25">
      <c r="A7" t="s">
        <v>46</v>
      </c>
      <c r="B7" t="s">
        <v>14</v>
      </c>
      <c r="C7" t="s">
        <v>28</v>
      </c>
      <c r="D7" t="str">
        <f t="shared" si="1"/>
        <v>FAB1_1L  Sel Des Deslactosada</v>
      </c>
      <c r="E7">
        <v>2022</v>
      </c>
      <c r="F7">
        <v>19</v>
      </c>
      <c r="G7">
        <f t="shared" si="2"/>
        <v>5</v>
      </c>
      <c r="H7" s="1">
        <f t="shared" si="3"/>
        <v>44690</v>
      </c>
      <c r="I7" s="1">
        <f t="shared" si="4"/>
        <v>44682</v>
      </c>
      <c r="J7">
        <v>75268.08</v>
      </c>
      <c r="K7">
        <v>3756</v>
      </c>
      <c r="L7">
        <f t="shared" si="0"/>
        <v>20.039424920127797</v>
      </c>
      <c r="M7">
        <v>313</v>
      </c>
      <c r="N7" s="2">
        <f t="shared" si="5"/>
        <v>240.47309904153354</v>
      </c>
      <c r="O7">
        <v>12</v>
      </c>
    </row>
    <row r="8" spans="1:15" x14ac:dyDescent="0.25">
      <c r="A8" t="s">
        <v>46</v>
      </c>
      <c r="B8" t="s">
        <v>14</v>
      </c>
      <c r="C8" t="s">
        <v>28</v>
      </c>
      <c r="D8" t="str">
        <f t="shared" si="1"/>
        <v>FAB1_1L  Sel Des Deslactosada</v>
      </c>
      <c r="E8">
        <v>2022</v>
      </c>
      <c r="F8">
        <v>20</v>
      </c>
      <c r="G8">
        <f t="shared" si="2"/>
        <v>5</v>
      </c>
      <c r="H8" s="1">
        <f t="shared" si="3"/>
        <v>44697</v>
      </c>
      <c r="I8" s="1">
        <f t="shared" si="4"/>
        <v>44682</v>
      </c>
      <c r="J8">
        <v>105991.34000000001</v>
      </c>
      <c r="K8">
        <v>5400</v>
      </c>
      <c r="L8">
        <f t="shared" si="0"/>
        <v>19.628025925925929</v>
      </c>
      <c r="M8">
        <v>450</v>
      </c>
      <c r="N8" s="2">
        <f t="shared" si="5"/>
        <v>235.53631111111113</v>
      </c>
      <c r="O8">
        <v>12</v>
      </c>
    </row>
    <row r="9" spans="1:15" x14ac:dyDescent="0.25">
      <c r="A9" t="s">
        <v>46</v>
      </c>
      <c r="B9" t="s">
        <v>14</v>
      </c>
      <c r="C9" t="s">
        <v>28</v>
      </c>
      <c r="D9" t="str">
        <f t="shared" si="1"/>
        <v>FAB1_1L  Sel Des Deslactosada</v>
      </c>
      <c r="E9">
        <v>2022</v>
      </c>
      <c r="F9">
        <v>21</v>
      </c>
      <c r="G9">
        <f t="shared" si="2"/>
        <v>5</v>
      </c>
      <c r="H9" s="1">
        <f t="shared" si="3"/>
        <v>44704</v>
      </c>
      <c r="I9" s="1">
        <f t="shared" si="4"/>
        <v>44682</v>
      </c>
      <c r="J9">
        <v>63689.100000000006</v>
      </c>
      <c r="K9">
        <v>3180</v>
      </c>
      <c r="L9">
        <f t="shared" si="0"/>
        <v>20.02801886792453</v>
      </c>
      <c r="M9">
        <v>265</v>
      </c>
      <c r="N9" s="2">
        <f t="shared" si="5"/>
        <v>240.33622641509436</v>
      </c>
      <c r="O9">
        <v>12</v>
      </c>
    </row>
    <row r="10" spans="1:15" x14ac:dyDescent="0.25">
      <c r="A10" t="s">
        <v>46</v>
      </c>
      <c r="B10" t="s">
        <v>14</v>
      </c>
      <c r="C10" t="s">
        <v>28</v>
      </c>
      <c r="D10" t="str">
        <f t="shared" si="1"/>
        <v>FAB1_1L  Sel Des Deslactosada</v>
      </c>
      <c r="E10">
        <v>2022</v>
      </c>
      <c r="F10">
        <v>22</v>
      </c>
      <c r="G10">
        <f t="shared" si="2"/>
        <v>6</v>
      </c>
      <c r="H10" s="1">
        <f t="shared" si="3"/>
        <v>44711</v>
      </c>
      <c r="I10" s="1">
        <f t="shared" si="4"/>
        <v>44713</v>
      </c>
      <c r="J10">
        <v>103824.19999999998</v>
      </c>
      <c r="K10">
        <v>5208</v>
      </c>
      <c r="L10">
        <f t="shared" si="0"/>
        <v>19.935522273425494</v>
      </c>
      <c r="M10">
        <v>434</v>
      </c>
      <c r="N10" s="2">
        <f t="shared" si="5"/>
        <v>239.22626728110595</v>
      </c>
      <c r="O10">
        <v>12</v>
      </c>
    </row>
    <row r="11" spans="1:15" x14ac:dyDescent="0.25">
      <c r="A11" t="s">
        <v>46</v>
      </c>
      <c r="B11" t="s">
        <v>14</v>
      </c>
      <c r="C11" t="s">
        <v>28</v>
      </c>
      <c r="D11" t="str">
        <f>B11&amp;"_"&amp;C11</f>
        <v>FAB1_1L  Sel Des Deslactosada</v>
      </c>
      <c r="E11">
        <v>2022</v>
      </c>
      <c r="F11">
        <v>23</v>
      </c>
      <c r="G11">
        <f t="shared" si="2"/>
        <v>6</v>
      </c>
      <c r="H11" s="1">
        <f t="shared" si="3"/>
        <v>44718</v>
      </c>
      <c r="I11" s="1">
        <f t="shared" si="4"/>
        <v>44713</v>
      </c>
      <c r="J11">
        <v>130187.71</v>
      </c>
      <c r="K11">
        <v>6480</v>
      </c>
      <c r="L11">
        <f t="shared" si="0"/>
        <v>20.090695987654321</v>
      </c>
      <c r="M11">
        <v>540</v>
      </c>
      <c r="N11" s="2">
        <f t="shared" si="5"/>
        <v>241.08835185185185</v>
      </c>
      <c r="O11">
        <v>12</v>
      </c>
    </row>
    <row r="12" spans="1:15" x14ac:dyDescent="0.25">
      <c r="A12" t="s">
        <v>46</v>
      </c>
      <c r="B12" t="s">
        <v>14</v>
      </c>
      <c r="C12" t="s">
        <v>28</v>
      </c>
      <c r="D12" t="str">
        <f t="shared" si="1"/>
        <v>FAB1_1L  Sel Des Deslactosada</v>
      </c>
      <c r="E12">
        <v>2022</v>
      </c>
      <c r="F12">
        <v>24</v>
      </c>
      <c r="G12">
        <f t="shared" si="2"/>
        <v>6</v>
      </c>
      <c r="H12" s="1">
        <f t="shared" si="3"/>
        <v>44725</v>
      </c>
      <c r="I12" s="1">
        <f t="shared" si="4"/>
        <v>44713</v>
      </c>
      <c r="J12">
        <v>145258.40999999997</v>
      </c>
      <c r="K12">
        <v>7260</v>
      </c>
      <c r="L12">
        <f t="shared" si="0"/>
        <v>20.008045454545449</v>
      </c>
      <c r="M12">
        <v>605</v>
      </c>
      <c r="N12" s="2">
        <f t="shared" si="5"/>
        <v>240.09654545454541</v>
      </c>
      <c r="O12">
        <v>12</v>
      </c>
    </row>
    <row r="13" spans="1:15" x14ac:dyDescent="0.25">
      <c r="A13" t="s">
        <v>46</v>
      </c>
      <c r="B13" t="s">
        <v>14</v>
      </c>
      <c r="C13" t="s">
        <v>28</v>
      </c>
      <c r="D13" t="str">
        <f t="shared" si="1"/>
        <v>FAB1_1L  Sel Des Deslactosada</v>
      </c>
      <c r="E13">
        <v>2022</v>
      </c>
      <c r="F13">
        <v>25</v>
      </c>
      <c r="G13">
        <f t="shared" si="2"/>
        <v>6</v>
      </c>
      <c r="H13" s="1">
        <f t="shared" si="3"/>
        <v>44732</v>
      </c>
      <c r="I13" s="1">
        <f t="shared" si="4"/>
        <v>44713</v>
      </c>
      <c r="J13">
        <v>163832.53</v>
      </c>
      <c r="K13">
        <v>8448</v>
      </c>
      <c r="L13">
        <f t="shared" si="0"/>
        <v>19.393055160984847</v>
      </c>
      <c r="M13">
        <v>704</v>
      </c>
      <c r="N13" s="2">
        <f t="shared" si="5"/>
        <v>232.71666193181818</v>
      </c>
      <c r="O13">
        <v>12</v>
      </c>
    </row>
    <row r="14" spans="1:15" x14ac:dyDescent="0.25">
      <c r="A14" t="s">
        <v>46</v>
      </c>
      <c r="B14" t="s">
        <v>14</v>
      </c>
      <c r="C14" t="s">
        <v>28</v>
      </c>
      <c r="D14" t="str">
        <f t="shared" si="1"/>
        <v>FAB1_1L  Sel Des Deslactosada</v>
      </c>
      <c r="E14">
        <v>2022</v>
      </c>
      <c r="F14">
        <v>26</v>
      </c>
      <c r="G14">
        <f t="shared" si="2"/>
        <v>6</v>
      </c>
      <c r="H14" s="1">
        <f t="shared" si="3"/>
        <v>44739</v>
      </c>
      <c r="I14" s="1">
        <f t="shared" si="4"/>
        <v>44713</v>
      </c>
      <c r="J14">
        <v>144121.74000000002</v>
      </c>
      <c r="K14">
        <v>7464</v>
      </c>
      <c r="L14">
        <f t="shared" si="0"/>
        <v>19.308914790996788</v>
      </c>
      <c r="M14">
        <v>622</v>
      </c>
      <c r="N14" s="2">
        <f t="shared" si="5"/>
        <v>231.70697749196145</v>
      </c>
      <c r="O14">
        <v>12</v>
      </c>
    </row>
    <row r="15" spans="1:15" x14ac:dyDescent="0.25">
      <c r="A15" t="s">
        <v>46</v>
      </c>
      <c r="B15" t="s">
        <v>14</v>
      </c>
      <c r="C15" t="s">
        <v>28</v>
      </c>
      <c r="D15" t="str">
        <f t="shared" si="1"/>
        <v>FAB1_1L  Sel Des Deslactosada</v>
      </c>
      <c r="E15">
        <v>2022</v>
      </c>
      <c r="F15">
        <v>27</v>
      </c>
      <c r="G15">
        <f t="shared" si="2"/>
        <v>7</v>
      </c>
      <c r="H15" s="1">
        <f t="shared" si="3"/>
        <v>44746</v>
      </c>
      <c r="I15" s="1">
        <f t="shared" si="4"/>
        <v>44743</v>
      </c>
      <c r="J15">
        <v>191261.28999999998</v>
      </c>
      <c r="K15">
        <v>9768</v>
      </c>
      <c r="L15">
        <f t="shared" si="0"/>
        <v>19.58039414414414</v>
      </c>
      <c r="M15">
        <v>814</v>
      </c>
      <c r="N15" s="2">
        <f t="shared" si="5"/>
        <v>234.9647297297297</v>
      </c>
      <c r="O15">
        <v>12</v>
      </c>
    </row>
    <row r="16" spans="1:15" x14ac:dyDescent="0.25">
      <c r="A16" t="s">
        <v>46</v>
      </c>
      <c r="B16" t="s">
        <v>14</v>
      </c>
      <c r="C16" t="s">
        <v>28</v>
      </c>
      <c r="D16" t="str">
        <f t="shared" si="1"/>
        <v>FAB1_1L  Sel Des Deslactosada</v>
      </c>
      <c r="E16">
        <v>2022</v>
      </c>
      <c r="F16">
        <v>28</v>
      </c>
      <c r="G16">
        <f t="shared" si="2"/>
        <v>7</v>
      </c>
      <c r="H16" s="1">
        <f t="shared" si="3"/>
        <v>44753</v>
      </c>
      <c r="I16" s="1">
        <f t="shared" si="4"/>
        <v>44743</v>
      </c>
      <c r="J16">
        <v>199153.52999999997</v>
      </c>
      <c r="K16">
        <v>10440</v>
      </c>
      <c r="L16">
        <f t="shared" si="0"/>
        <v>19.076008620689652</v>
      </c>
      <c r="M16">
        <v>870</v>
      </c>
      <c r="N16" s="2">
        <f t="shared" si="5"/>
        <v>228.91210344827581</v>
      </c>
      <c r="O16">
        <v>12</v>
      </c>
    </row>
    <row r="17" spans="1:15" x14ac:dyDescent="0.25">
      <c r="A17" t="s">
        <v>46</v>
      </c>
      <c r="B17" t="s">
        <v>14</v>
      </c>
      <c r="C17" t="s">
        <v>28</v>
      </c>
      <c r="D17" t="str">
        <f t="shared" si="1"/>
        <v>FAB1_1L  Sel Des Deslactosada</v>
      </c>
      <c r="E17">
        <v>2022</v>
      </c>
      <c r="F17">
        <v>29</v>
      </c>
      <c r="G17">
        <f t="shared" si="2"/>
        <v>7</v>
      </c>
      <c r="H17" s="1">
        <f t="shared" si="3"/>
        <v>44760</v>
      </c>
      <c r="I17" s="1">
        <f t="shared" si="4"/>
        <v>44743</v>
      </c>
      <c r="J17">
        <v>170646.07</v>
      </c>
      <c r="K17">
        <v>8388</v>
      </c>
      <c r="L17">
        <f t="shared" si="0"/>
        <v>20.344071292322365</v>
      </c>
      <c r="M17">
        <v>699</v>
      </c>
      <c r="N17" s="2">
        <f t="shared" si="5"/>
        <v>244.12885550786839</v>
      </c>
      <c r="O17">
        <v>12</v>
      </c>
    </row>
    <row r="18" spans="1:15" x14ac:dyDescent="0.25">
      <c r="A18" t="s">
        <v>46</v>
      </c>
      <c r="B18" t="s">
        <v>14</v>
      </c>
      <c r="C18" t="s">
        <v>28</v>
      </c>
      <c r="D18" t="str">
        <f t="shared" si="1"/>
        <v>FAB1_1L  Sel Des Deslactosada</v>
      </c>
      <c r="E18">
        <v>2022</v>
      </c>
      <c r="F18">
        <v>30</v>
      </c>
      <c r="G18">
        <f t="shared" si="2"/>
        <v>7</v>
      </c>
      <c r="H18" s="1">
        <f t="shared" si="3"/>
        <v>44767</v>
      </c>
      <c r="I18" s="1">
        <f t="shared" si="4"/>
        <v>44743</v>
      </c>
      <c r="J18">
        <v>162562.46</v>
      </c>
      <c r="K18">
        <v>7992</v>
      </c>
      <c r="L18">
        <f t="shared" si="0"/>
        <v>20.340648148148148</v>
      </c>
      <c r="M18">
        <v>666</v>
      </c>
      <c r="N18" s="2">
        <f t="shared" si="5"/>
        <v>244.08777777777777</v>
      </c>
      <c r="O18">
        <v>12</v>
      </c>
    </row>
    <row r="19" spans="1:15" x14ac:dyDescent="0.25">
      <c r="A19" t="s">
        <v>46</v>
      </c>
      <c r="B19" t="s">
        <v>14</v>
      </c>
      <c r="C19" t="s">
        <v>28</v>
      </c>
      <c r="D19" t="str">
        <f t="shared" si="1"/>
        <v>FAB1_1L  Sel Des Deslactosada</v>
      </c>
      <c r="E19">
        <v>2022</v>
      </c>
      <c r="F19">
        <v>31</v>
      </c>
      <c r="G19">
        <f t="shared" si="2"/>
        <v>8</v>
      </c>
      <c r="H19" s="1">
        <f t="shared" si="3"/>
        <v>44774</v>
      </c>
      <c r="I19" s="1">
        <f t="shared" si="4"/>
        <v>44774</v>
      </c>
      <c r="J19">
        <v>194305.71</v>
      </c>
      <c r="K19">
        <v>9552</v>
      </c>
      <c r="L19">
        <f t="shared" si="0"/>
        <v>20.341887562814069</v>
      </c>
      <c r="M19">
        <v>796</v>
      </c>
      <c r="N19" s="2">
        <f t="shared" si="5"/>
        <v>244.10265075376884</v>
      </c>
      <c r="O19">
        <v>12</v>
      </c>
    </row>
    <row r="20" spans="1:15" x14ac:dyDescent="0.25">
      <c r="A20" t="s">
        <v>46</v>
      </c>
      <c r="B20" t="s">
        <v>14</v>
      </c>
      <c r="C20" t="s">
        <v>28</v>
      </c>
      <c r="D20" t="str">
        <f t="shared" si="1"/>
        <v>FAB1_1L  Sel Des Deslactosada</v>
      </c>
      <c r="E20">
        <v>2022</v>
      </c>
      <c r="F20">
        <v>32</v>
      </c>
      <c r="G20">
        <f t="shared" si="2"/>
        <v>8</v>
      </c>
      <c r="H20" s="1">
        <f t="shared" si="3"/>
        <v>44781</v>
      </c>
      <c r="I20" s="1">
        <f t="shared" si="4"/>
        <v>44774</v>
      </c>
      <c r="J20">
        <v>163109.42000000001</v>
      </c>
      <c r="K20">
        <v>8208</v>
      </c>
      <c r="L20">
        <f t="shared" si="0"/>
        <v>19.872005360623785</v>
      </c>
      <c r="M20">
        <v>684</v>
      </c>
      <c r="N20" s="2">
        <f t="shared" si="5"/>
        <v>238.4640643274854</v>
      </c>
      <c r="O20">
        <v>12</v>
      </c>
    </row>
    <row r="21" spans="1:15" x14ac:dyDescent="0.25">
      <c r="A21" t="s">
        <v>46</v>
      </c>
      <c r="B21" t="s">
        <v>14</v>
      </c>
      <c r="C21" t="s">
        <v>28</v>
      </c>
      <c r="D21" t="str">
        <f t="shared" si="1"/>
        <v>FAB1_1L  Sel Des Deslactosada</v>
      </c>
      <c r="E21">
        <v>2022</v>
      </c>
      <c r="F21">
        <v>33</v>
      </c>
      <c r="G21">
        <f t="shared" si="2"/>
        <v>8</v>
      </c>
      <c r="H21" s="1">
        <f t="shared" si="3"/>
        <v>44788</v>
      </c>
      <c r="I21" s="1">
        <f t="shared" si="4"/>
        <v>44774</v>
      </c>
      <c r="J21">
        <v>217659.46999999997</v>
      </c>
      <c r="K21">
        <v>11340</v>
      </c>
      <c r="L21">
        <f t="shared" si="0"/>
        <v>19.193956790123455</v>
      </c>
      <c r="M21">
        <v>945</v>
      </c>
      <c r="N21" s="2">
        <f t="shared" si="5"/>
        <v>230.32748148148144</v>
      </c>
      <c r="O21">
        <v>12</v>
      </c>
    </row>
    <row r="22" spans="1:15" x14ac:dyDescent="0.25">
      <c r="A22" t="s">
        <v>46</v>
      </c>
      <c r="B22" t="s">
        <v>14</v>
      </c>
      <c r="C22" t="s">
        <v>28</v>
      </c>
      <c r="D22" t="str">
        <f t="shared" si="1"/>
        <v>FAB1_1L  Sel Des Deslactosada</v>
      </c>
      <c r="E22">
        <v>2022</v>
      </c>
      <c r="F22">
        <v>34</v>
      </c>
      <c r="G22">
        <f t="shared" si="2"/>
        <v>8</v>
      </c>
      <c r="H22" s="1">
        <f t="shared" si="3"/>
        <v>44795</v>
      </c>
      <c r="I22" s="1">
        <f t="shared" si="4"/>
        <v>44774</v>
      </c>
      <c r="J22">
        <v>194897.22999999998</v>
      </c>
      <c r="K22">
        <v>9480</v>
      </c>
      <c r="L22">
        <f t="shared" si="0"/>
        <v>20.558779535864979</v>
      </c>
      <c r="M22">
        <v>790</v>
      </c>
      <c r="N22" s="2">
        <f t="shared" si="5"/>
        <v>246.70535443037971</v>
      </c>
      <c r="O22">
        <v>12</v>
      </c>
    </row>
    <row r="23" spans="1:15" x14ac:dyDescent="0.25">
      <c r="A23" t="s">
        <v>46</v>
      </c>
      <c r="B23" t="s">
        <v>14</v>
      </c>
      <c r="C23" t="s">
        <v>28</v>
      </c>
      <c r="D23" t="str">
        <f t="shared" si="1"/>
        <v>FAB1_1L  Sel Des Deslactosada</v>
      </c>
      <c r="E23">
        <v>2022</v>
      </c>
      <c r="F23">
        <v>35</v>
      </c>
      <c r="G23">
        <f t="shared" si="2"/>
        <v>9</v>
      </c>
      <c r="H23" s="1">
        <f t="shared" si="3"/>
        <v>44802</v>
      </c>
      <c r="I23" s="1">
        <f t="shared" si="4"/>
        <v>44805</v>
      </c>
      <c r="J23">
        <v>226539.40000000002</v>
      </c>
      <c r="K23">
        <v>10752</v>
      </c>
      <c r="L23">
        <f t="shared" si="0"/>
        <v>21.069512648809525</v>
      </c>
      <c r="M23">
        <v>896</v>
      </c>
      <c r="N23" s="2">
        <f t="shared" si="5"/>
        <v>252.83415178571431</v>
      </c>
      <c r="O23">
        <v>12</v>
      </c>
    </row>
    <row r="24" spans="1:15" x14ac:dyDescent="0.25">
      <c r="A24" t="s">
        <v>46</v>
      </c>
      <c r="B24" t="s">
        <v>14</v>
      </c>
      <c r="C24" t="s">
        <v>28</v>
      </c>
      <c r="D24" t="str">
        <f t="shared" si="1"/>
        <v>FAB1_1L  Sel Des Deslactosada</v>
      </c>
      <c r="E24">
        <v>2022</v>
      </c>
      <c r="F24">
        <v>36</v>
      </c>
      <c r="G24">
        <f t="shared" si="2"/>
        <v>9</v>
      </c>
      <c r="H24" s="1">
        <f t="shared" si="3"/>
        <v>44809</v>
      </c>
      <c r="I24" s="1">
        <f t="shared" si="4"/>
        <v>44805</v>
      </c>
      <c r="J24">
        <v>194369.50000000003</v>
      </c>
      <c r="K24">
        <v>9228</v>
      </c>
      <c r="L24">
        <f t="shared" si="0"/>
        <v>21.063014737754663</v>
      </c>
      <c r="M24">
        <v>769</v>
      </c>
      <c r="N24" s="2">
        <f t="shared" si="5"/>
        <v>252.75617685305596</v>
      </c>
      <c r="O24">
        <v>12</v>
      </c>
    </row>
    <row r="25" spans="1:15" x14ac:dyDescent="0.25">
      <c r="A25" t="s">
        <v>46</v>
      </c>
      <c r="B25" t="s">
        <v>14</v>
      </c>
      <c r="C25" t="s">
        <v>28</v>
      </c>
      <c r="D25" t="str">
        <f t="shared" si="1"/>
        <v>FAB1_1L  Sel Des Deslactosada</v>
      </c>
      <c r="E25">
        <v>2022</v>
      </c>
      <c r="F25">
        <v>37</v>
      </c>
      <c r="G25">
        <f t="shared" si="2"/>
        <v>9</v>
      </c>
      <c r="H25" s="1">
        <f t="shared" si="3"/>
        <v>44816</v>
      </c>
      <c r="I25" s="1">
        <f t="shared" si="4"/>
        <v>44805</v>
      </c>
      <c r="J25">
        <v>197215.69000000006</v>
      </c>
      <c r="K25">
        <v>9372</v>
      </c>
      <c r="L25">
        <f t="shared" si="0"/>
        <v>21.04307405036279</v>
      </c>
      <c r="M25">
        <v>781</v>
      </c>
      <c r="N25" s="2">
        <f t="shared" si="5"/>
        <v>252.51688860435348</v>
      </c>
      <c r="O25">
        <v>12</v>
      </c>
    </row>
    <row r="26" spans="1:15" x14ac:dyDescent="0.25">
      <c r="A26" t="s">
        <v>46</v>
      </c>
      <c r="B26" t="s">
        <v>14</v>
      </c>
      <c r="C26" t="s">
        <v>28</v>
      </c>
      <c r="D26" t="str">
        <f t="shared" si="1"/>
        <v>FAB1_1L  Sel Des Deslactosada</v>
      </c>
      <c r="E26">
        <v>2022</v>
      </c>
      <c r="F26">
        <v>38</v>
      </c>
      <c r="G26">
        <f t="shared" si="2"/>
        <v>9</v>
      </c>
      <c r="H26" s="1">
        <f t="shared" si="3"/>
        <v>44823</v>
      </c>
      <c r="I26" s="1">
        <f t="shared" si="4"/>
        <v>44805</v>
      </c>
      <c r="J26">
        <v>200007.09</v>
      </c>
      <c r="K26">
        <v>9432</v>
      </c>
      <c r="L26">
        <f t="shared" si="0"/>
        <v>21.205162213740458</v>
      </c>
      <c r="M26">
        <v>786</v>
      </c>
      <c r="N26" s="2">
        <f t="shared" si="5"/>
        <v>254.46194656488549</v>
      </c>
      <c r="O26">
        <v>12</v>
      </c>
    </row>
    <row r="27" spans="1:15" x14ac:dyDescent="0.25">
      <c r="A27" t="s">
        <v>46</v>
      </c>
      <c r="B27" t="s">
        <v>14</v>
      </c>
      <c r="C27" t="s">
        <v>28</v>
      </c>
      <c r="D27" t="str">
        <f t="shared" si="1"/>
        <v>FAB1_1L  Sel Des Deslactosada</v>
      </c>
      <c r="E27">
        <v>2022</v>
      </c>
      <c r="F27">
        <v>39</v>
      </c>
      <c r="G27">
        <f t="shared" si="2"/>
        <v>9</v>
      </c>
      <c r="H27" s="1">
        <f t="shared" si="3"/>
        <v>44830</v>
      </c>
      <c r="I27" s="1">
        <f t="shared" si="4"/>
        <v>44805</v>
      </c>
      <c r="J27">
        <v>170180.22</v>
      </c>
      <c r="K27">
        <v>7884</v>
      </c>
      <c r="L27">
        <f t="shared" si="0"/>
        <v>21.585517503805175</v>
      </c>
      <c r="M27">
        <v>657</v>
      </c>
      <c r="N27" s="2">
        <f t="shared" si="5"/>
        <v>259.02621004566208</v>
      </c>
      <c r="O27">
        <v>12</v>
      </c>
    </row>
    <row r="28" spans="1:15" x14ac:dyDescent="0.25">
      <c r="A28" t="s">
        <v>46</v>
      </c>
      <c r="B28" t="s">
        <v>14</v>
      </c>
      <c r="C28" t="s">
        <v>28</v>
      </c>
      <c r="D28" t="str">
        <f t="shared" si="1"/>
        <v>FAB1_1L  Sel Des Deslactosada</v>
      </c>
      <c r="E28">
        <v>2022</v>
      </c>
      <c r="F28">
        <v>40</v>
      </c>
      <c r="G28">
        <f t="shared" si="2"/>
        <v>10</v>
      </c>
      <c r="H28" s="1">
        <f t="shared" si="3"/>
        <v>44837</v>
      </c>
      <c r="I28" s="1">
        <f t="shared" si="4"/>
        <v>44835</v>
      </c>
      <c r="J28">
        <v>239760.92999999996</v>
      </c>
      <c r="K28">
        <v>11340</v>
      </c>
      <c r="L28">
        <f t="shared" si="0"/>
        <v>21.142939153439151</v>
      </c>
      <c r="M28">
        <v>945</v>
      </c>
      <c r="N28" s="2">
        <f t="shared" si="5"/>
        <v>253.71526984126982</v>
      </c>
      <c r="O28">
        <v>12</v>
      </c>
    </row>
    <row r="29" spans="1:15" x14ac:dyDescent="0.25">
      <c r="A29" t="s">
        <v>46</v>
      </c>
      <c r="B29" t="s">
        <v>14</v>
      </c>
      <c r="C29" t="s">
        <v>28</v>
      </c>
      <c r="D29" t="str">
        <f t="shared" si="1"/>
        <v>FAB1_1L  Sel Des Deslactosada</v>
      </c>
      <c r="E29">
        <v>2022</v>
      </c>
      <c r="F29">
        <v>41</v>
      </c>
      <c r="G29">
        <f t="shared" si="2"/>
        <v>10</v>
      </c>
      <c r="H29" s="1">
        <f t="shared" si="3"/>
        <v>44844</v>
      </c>
      <c r="I29" s="1">
        <f t="shared" si="4"/>
        <v>44835</v>
      </c>
      <c r="J29">
        <v>286466.03000000003</v>
      </c>
      <c r="K29">
        <v>14244</v>
      </c>
      <c r="L29">
        <f t="shared" si="0"/>
        <v>20.111347233923059</v>
      </c>
      <c r="M29">
        <v>1187</v>
      </c>
      <c r="N29" s="2">
        <f t="shared" si="5"/>
        <v>241.33616680707669</v>
      </c>
      <c r="O29">
        <v>12</v>
      </c>
    </row>
    <row r="30" spans="1:15" x14ac:dyDescent="0.25">
      <c r="A30" t="s">
        <v>46</v>
      </c>
      <c r="B30" t="s">
        <v>14</v>
      </c>
      <c r="C30" t="s">
        <v>28</v>
      </c>
      <c r="D30" t="str">
        <f t="shared" si="1"/>
        <v>FAB1_1L  Sel Des Deslactosada</v>
      </c>
      <c r="E30">
        <v>2022</v>
      </c>
      <c r="F30">
        <v>42</v>
      </c>
      <c r="G30">
        <f t="shared" si="2"/>
        <v>10</v>
      </c>
      <c r="H30" s="1">
        <f t="shared" si="3"/>
        <v>44851</v>
      </c>
      <c r="I30" s="1">
        <f t="shared" si="4"/>
        <v>44835</v>
      </c>
      <c r="J30">
        <v>233830.31999999998</v>
      </c>
      <c r="K30">
        <v>11304</v>
      </c>
      <c r="L30">
        <f t="shared" si="0"/>
        <v>20.685626326963906</v>
      </c>
      <c r="M30">
        <v>942</v>
      </c>
      <c r="N30" s="2">
        <f t="shared" si="5"/>
        <v>248.22751592356687</v>
      </c>
      <c r="O30">
        <v>12</v>
      </c>
    </row>
    <row r="31" spans="1:15" x14ac:dyDescent="0.25">
      <c r="A31" t="s">
        <v>46</v>
      </c>
      <c r="B31" t="s">
        <v>14</v>
      </c>
      <c r="C31" t="s">
        <v>28</v>
      </c>
      <c r="D31" t="str">
        <f t="shared" si="1"/>
        <v>FAB1_1L  Sel Des Deslactosada</v>
      </c>
      <c r="E31">
        <v>2022</v>
      </c>
      <c r="F31">
        <v>43</v>
      </c>
      <c r="G31">
        <f t="shared" si="2"/>
        <v>10</v>
      </c>
      <c r="H31" s="1">
        <f t="shared" si="3"/>
        <v>44858</v>
      </c>
      <c r="I31" s="1">
        <f t="shared" si="4"/>
        <v>44835</v>
      </c>
      <c r="J31">
        <v>178757.55000000005</v>
      </c>
      <c r="K31">
        <v>8280</v>
      </c>
      <c r="L31">
        <f t="shared" si="0"/>
        <v>21.589076086956528</v>
      </c>
      <c r="M31">
        <v>690</v>
      </c>
      <c r="N31" s="2">
        <f t="shared" si="5"/>
        <v>259.06891304347835</v>
      </c>
      <c r="O31">
        <v>12</v>
      </c>
    </row>
    <row r="32" spans="1:15" x14ac:dyDescent="0.25">
      <c r="A32" t="s">
        <v>46</v>
      </c>
      <c r="B32" t="s">
        <v>14</v>
      </c>
      <c r="C32" t="s">
        <v>28</v>
      </c>
      <c r="D32" t="str">
        <f t="shared" si="1"/>
        <v>FAB1_1L  Sel Des Deslactosada</v>
      </c>
      <c r="E32">
        <v>2022</v>
      </c>
      <c r="F32">
        <v>44</v>
      </c>
      <c r="G32">
        <f t="shared" si="2"/>
        <v>11</v>
      </c>
      <c r="H32" s="1">
        <f t="shared" si="3"/>
        <v>44865</v>
      </c>
      <c r="I32" s="1">
        <f t="shared" si="4"/>
        <v>44866</v>
      </c>
      <c r="J32">
        <v>237256.12999999998</v>
      </c>
      <c r="K32">
        <v>11124</v>
      </c>
      <c r="L32">
        <f t="shared" si="0"/>
        <v>21.328310859403089</v>
      </c>
      <c r="M32">
        <v>927</v>
      </c>
      <c r="N32" s="2">
        <f t="shared" si="5"/>
        <v>255.93973031283707</v>
      </c>
      <c r="O32">
        <v>12</v>
      </c>
    </row>
    <row r="33" spans="1:15" x14ac:dyDescent="0.25">
      <c r="A33" t="s">
        <v>46</v>
      </c>
      <c r="B33" t="s">
        <v>14</v>
      </c>
      <c r="C33" t="s">
        <v>28</v>
      </c>
      <c r="D33" t="str">
        <f t="shared" si="1"/>
        <v>FAB1_1L  Sel Des Deslactosada</v>
      </c>
      <c r="E33">
        <v>2022</v>
      </c>
      <c r="F33">
        <v>45</v>
      </c>
      <c r="G33">
        <f t="shared" si="2"/>
        <v>11</v>
      </c>
      <c r="H33" s="1">
        <f t="shared" si="3"/>
        <v>44872</v>
      </c>
      <c r="I33" s="1">
        <f t="shared" si="4"/>
        <v>44866</v>
      </c>
      <c r="J33">
        <v>292267.68</v>
      </c>
      <c r="K33">
        <v>14604</v>
      </c>
      <c r="L33">
        <f t="shared" si="0"/>
        <v>20.012851273623664</v>
      </c>
      <c r="M33">
        <v>1217</v>
      </c>
      <c r="N33" s="2">
        <f t="shared" si="5"/>
        <v>240.15421528348398</v>
      </c>
      <c r="O33">
        <v>12</v>
      </c>
    </row>
    <row r="34" spans="1:15" x14ac:dyDescent="0.25">
      <c r="A34" t="s">
        <v>46</v>
      </c>
      <c r="B34" t="s">
        <v>14</v>
      </c>
      <c r="C34" t="s">
        <v>28</v>
      </c>
      <c r="D34" t="str">
        <f t="shared" si="1"/>
        <v>FAB1_1L  Sel Des Deslactosada</v>
      </c>
      <c r="E34">
        <v>2022</v>
      </c>
      <c r="F34">
        <v>46</v>
      </c>
      <c r="G34">
        <f t="shared" si="2"/>
        <v>11</v>
      </c>
      <c r="H34" s="1">
        <f t="shared" si="3"/>
        <v>44879</v>
      </c>
      <c r="I34" s="1">
        <f t="shared" si="4"/>
        <v>44866</v>
      </c>
      <c r="J34">
        <v>376790.47</v>
      </c>
      <c r="K34">
        <v>18528</v>
      </c>
      <c r="L34">
        <f t="shared" si="0"/>
        <v>20.336273208117444</v>
      </c>
      <c r="M34">
        <v>1544</v>
      </c>
      <c r="N34" s="2">
        <f t="shared" si="5"/>
        <v>244.03527849740931</v>
      </c>
      <c r="O34">
        <v>12</v>
      </c>
    </row>
    <row r="35" spans="1:15" x14ac:dyDescent="0.25">
      <c r="A35" t="s">
        <v>46</v>
      </c>
      <c r="B35" t="s">
        <v>14</v>
      </c>
      <c r="C35" t="s">
        <v>28</v>
      </c>
      <c r="D35" t="str">
        <f t="shared" si="1"/>
        <v>FAB1_1L  Sel Des Deslactosada</v>
      </c>
      <c r="E35">
        <v>2022</v>
      </c>
      <c r="F35">
        <v>47</v>
      </c>
      <c r="G35">
        <f t="shared" si="2"/>
        <v>11</v>
      </c>
      <c r="H35" s="1">
        <f t="shared" si="3"/>
        <v>44886</v>
      </c>
      <c r="I35" s="1">
        <f t="shared" si="4"/>
        <v>44866</v>
      </c>
      <c r="J35">
        <v>278467.07999999984</v>
      </c>
      <c r="K35">
        <v>12936</v>
      </c>
      <c r="L35">
        <f t="shared" si="0"/>
        <v>21.526521335807036</v>
      </c>
      <c r="M35">
        <v>1078</v>
      </c>
      <c r="N35" s="2">
        <f t="shared" si="5"/>
        <v>258.31825602968445</v>
      </c>
      <c r="O35">
        <v>12</v>
      </c>
    </row>
    <row r="36" spans="1:15" x14ac:dyDescent="0.25">
      <c r="A36" t="s">
        <v>46</v>
      </c>
      <c r="B36" t="s">
        <v>14</v>
      </c>
      <c r="C36" t="s">
        <v>28</v>
      </c>
      <c r="D36" t="str">
        <f t="shared" si="1"/>
        <v>FAB1_1L  Sel Des Deslactosada</v>
      </c>
      <c r="E36">
        <v>2022</v>
      </c>
      <c r="F36">
        <v>48</v>
      </c>
      <c r="G36">
        <f t="shared" si="2"/>
        <v>12</v>
      </c>
      <c r="H36" s="1">
        <f t="shared" si="3"/>
        <v>44893</v>
      </c>
      <c r="I36" s="1">
        <f t="shared" si="4"/>
        <v>44896</v>
      </c>
      <c r="J36">
        <v>206355.33</v>
      </c>
      <c r="K36">
        <v>9600</v>
      </c>
      <c r="L36">
        <f t="shared" si="0"/>
        <v>21.495346874999999</v>
      </c>
      <c r="M36">
        <v>800</v>
      </c>
      <c r="N36" s="2">
        <f t="shared" si="5"/>
        <v>257.9441625</v>
      </c>
      <c r="O36">
        <v>12</v>
      </c>
    </row>
    <row r="37" spans="1:15" x14ac:dyDescent="0.25">
      <c r="A37" t="s">
        <v>46</v>
      </c>
      <c r="B37" t="s">
        <v>14</v>
      </c>
      <c r="C37" t="s">
        <v>28</v>
      </c>
      <c r="D37" t="str">
        <f t="shared" si="1"/>
        <v>FAB1_1L  Sel Des Deslactosada</v>
      </c>
      <c r="E37">
        <v>2022</v>
      </c>
      <c r="F37">
        <v>49</v>
      </c>
      <c r="G37">
        <f t="shared" si="2"/>
        <v>12</v>
      </c>
      <c r="H37" s="1">
        <f t="shared" si="3"/>
        <v>44900</v>
      </c>
      <c r="I37" s="1">
        <f t="shared" si="4"/>
        <v>44896</v>
      </c>
      <c r="J37">
        <v>225207.35</v>
      </c>
      <c r="K37">
        <v>10452</v>
      </c>
      <c r="L37">
        <f t="shared" si="0"/>
        <v>21.546818790662076</v>
      </c>
      <c r="M37">
        <v>871</v>
      </c>
      <c r="N37" s="2">
        <f t="shared" si="5"/>
        <v>258.56182548794487</v>
      </c>
      <c r="O37">
        <v>12</v>
      </c>
    </row>
    <row r="38" spans="1:15" x14ac:dyDescent="0.25">
      <c r="A38" t="s">
        <v>46</v>
      </c>
      <c r="B38" t="s">
        <v>14</v>
      </c>
      <c r="C38" t="s">
        <v>28</v>
      </c>
      <c r="D38" t="str">
        <f t="shared" si="1"/>
        <v>FAB1_1L  Sel Des Deslactosada</v>
      </c>
      <c r="E38">
        <v>2022</v>
      </c>
      <c r="F38">
        <v>50</v>
      </c>
      <c r="G38">
        <f t="shared" si="2"/>
        <v>12</v>
      </c>
      <c r="H38" s="1">
        <f t="shared" si="3"/>
        <v>44907</v>
      </c>
      <c r="I38" s="1">
        <f t="shared" si="4"/>
        <v>44896</v>
      </c>
      <c r="J38">
        <v>245732.04</v>
      </c>
      <c r="K38">
        <v>11460</v>
      </c>
      <c r="L38">
        <f t="shared" si="0"/>
        <v>21.442586387434556</v>
      </c>
      <c r="M38">
        <v>955</v>
      </c>
      <c r="N38" s="2">
        <f t="shared" si="5"/>
        <v>257.31103664921466</v>
      </c>
      <c r="O38">
        <v>12</v>
      </c>
    </row>
    <row r="39" spans="1:15" x14ac:dyDescent="0.25">
      <c r="A39" t="s">
        <v>46</v>
      </c>
      <c r="B39" t="s">
        <v>14</v>
      </c>
      <c r="C39" t="s">
        <v>28</v>
      </c>
      <c r="D39" t="str">
        <f t="shared" si="1"/>
        <v>FAB1_1L  Sel Des Deslactosada</v>
      </c>
      <c r="E39">
        <v>2022</v>
      </c>
      <c r="F39">
        <v>51</v>
      </c>
      <c r="G39">
        <f t="shared" si="2"/>
        <v>12</v>
      </c>
      <c r="H39" s="1">
        <f t="shared" si="3"/>
        <v>44914</v>
      </c>
      <c r="I39" s="1">
        <f t="shared" si="4"/>
        <v>44896</v>
      </c>
      <c r="J39">
        <v>250417.86000000004</v>
      </c>
      <c r="K39">
        <v>11832</v>
      </c>
      <c r="L39">
        <f t="shared" si="0"/>
        <v>21.16445740365112</v>
      </c>
      <c r="M39">
        <v>986</v>
      </c>
      <c r="N39" s="2">
        <f t="shared" si="5"/>
        <v>253.97348884381344</v>
      </c>
      <c r="O39">
        <v>12</v>
      </c>
    </row>
    <row r="40" spans="1:15" x14ac:dyDescent="0.25">
      <c r="A40" t="s">
        <v>46</v>
      </c>
      <c r="B40" t="s">
        <v>14</v>
      </c>
      <c r="C40" t="s">
        <v>28</v>
      </c>
      <c r="D40" t="str">
        <f t="shared" si="1"/>
        <v>FAB1_1L  Sel Des Deslactosada</v>
      </c>
      <c r="E40">
        <v>2022</v>
      </c>
      <c r="F40">
        <v>52</v>
      </c>
      <c r="G40">
        <f t="shared" si="2"/>
        <v>12</v>
      </c>
      <c r="H40" s="1">
        <f t="shared" si="3"/>
        <v>44921</v>
      </c>
      <c r="I40" s="1">
        <f t="shared" si="4"/>
        <v>44896</v>
      </c>
      <c r="J40">
        <v>231688.49</v>
      </c>
      <c r="K40">
        <v>11052</v>
      </c>
      <c r="L40">
        <f t="shared" si="0"/>
        <v>20.963489866087585</v>
      </c>
      <c r="M40">
        <v>921</v>
      </c>
      <c r="N40" s="2">
        <f t="shared" si="5"/>
        <v>251.56187839305102</v>
      </c>
      <c r="O40">
        <v>12</v>
      </c>
    </row>
    <row r="41" spans="1:15" x14ac:dyDescent="0.25">
      <c r="A41" t="s">
        <v>46</v>
      </c>
      <c r="B41" t="s">
        <v>14</v>
      </c>
      <c r="C41" t="s">
        <v>28</v>
      </c>
      <c r="D41" t="str">
        <f t="shared" si="1"/>
        <v>FAB1_1L  Sel Des Deslactosada</v>
      </c>
      <c r="E41">
        <v>2023</v>
      </c>
      <c r="F41">
        <v>1</v>
      </c>
      <c r="G41">
        <f t="shared" si="2"/>
        <v>1</v>
      </c>
      <c r="H41" s="1">
        <f t="shared" si="3"/>
        <v>44928</v>
      </c>
      <c r="I41" s="1">
        <f t="shared" si="4"/>
        <v>44927</v>
      </c>
      <c r="J41">
        <v>272672.69</v>
      </c>
      <c r="K41">
        <v>12744</v>
      </c>
      <c r="L41">
        <f t="shared" si="0"/>
        <v>21.396162115505337</v>
      </c>
      <c r="M41">
        <v>1062</v>
      </c>
      <c r="N41" s="2">
        <f t="shared" si="5"/>
        <v>256.75394538606406</v>
      </c>
      <c r="O41">
        <v>12</v>
      </c>
    </row>
    <row r="42" spans="1:15" x14ac:dyDescent="0.25">
      <c r="A42" t="s">
        <v>46</v>
      </c>
      <c r="B42" t="s">
        <v>14</v>
      </c>
      <c r="C42" t="s">
        <v>28</v>
      </c>
      <c r="D42" t="str">
        <f t="shared" si="1"/>
        <v>FAB1_1L  Sel Des Deslactosada</v>
      </c>
      <c r="E42">
        <v>2023</v>
      </c>
      <c r="F42">
        <v>2</v>
      </c>
      <c r="G42">
        <f t="shared" si="2"/>
        <v>1</v>
      </c>
      <c r="H42" s="1">
        <f t="shared" si="3"/>
        <v>44935</v>
      </c>
      <c r="I42" s="1">
        <f t="shared" si="4"/>
        <v>44927</v>
      </c>
      <c r="J42">
        <v>198096.79000000004</v>
      </c>
      <c r="K42">
        <v>9444</v>
      </c>
      <c r="L42">
        <f t="shared" si="0"/>
        <v>20.975941338415929</v>
      </c>
      <c r="M42">
        <v>787</v>
      </c>
      <c r="N42" s="2">
        <f t="shared" si="5"/>
        <v>251.71129606099115</v>
      </c>
      <c r="O42">
        <v>12</v>
      </c>
    </row>
    <row r="43" spans="1:15" x14ac:dyDescent="0.25">
      <c r="A43" t="s">
        <v>46</v>
      </c>
      <c r="B43" t="s">
        <v>14</v>
      </c>
      <c r="C43" t="s">
        <v>28</v>
      </c>
      <c r="D43" t="str">
        <f t="shared" si="1"/>
        <v>FAB1_1L  Sel Des Deslactosada</v>
      </c>
      <c r="E43">
        <v>2023</v>
      </c>
      <c r="F43">
        <v>3</v>
      </c>
      <c r="G43">
        <f t="shared" si="2"/>
        <v>1</v>
      </c>
      <c r="H43" s="1">
        <f t="shared" si="3"/>
        <v>44942</v>
      </c>
      <c r="I43" s="1">
        <f t="shared" si="4"/>
        <v>44927</v>
      </c>
      <c r="J43">
        <v>238958.69</v>
      </c>
      <c r="K43">
        <v>11472</v>
      </c>
      <c r="L43">
        <f t="shared" si="0"/>
        <v>20.829732391910738</v>
      </c>
      <c r="M43">
        <v>956</v>
      </c>
      <c r="N43" s="2">
        <f t="shared" si="5"/>
        <v>249.95678870292886</v>
      </c>
      <c r="O43">
        <v>12</v>
      </c>
    </row>
    <row r="44" spans="1:15" x14ac:dyDescent="0.25">
      <c r="A44" t="s">
        <v>46</v>
      </c>
      <c r="B44" t="s">
        <v>14</v>
      </c>
      <c r="C44" t="s">
        <v>28</v>
      </c>
      <c r="D44" t="str">
        <f t="shared" si="1"/>
        <v>FAB1_1L  Sel Des Deslactosada</v>
      </c>
      <c r="E44">
        <v>2023</v>
      </c>
      <c r="F44">
        <v>4</v>
      </c>
      <c r="G44">
        <f t="shared" si="2"/>
        <v>1</v>
      </c>
      <c r="H44" s="1">
        <f t="shared" si="3"/>
        <v>44949</v>
      </c>
      <c r="I44" s="1">
        <f t="shared" si="4"/>
        <v>44927</v>
      </c>
      <c r="J44">
        <v>198506.80000000002</v>
      </c>
      <c r="K44">
        <v>9516</v>
      </c>
      <c r="L44">
        <f t="shared" si="0"/>
        <v>20.860319461958809</v>
      </c>
      <c r="M44">
        <v>793</v>
      </c>
      <c r="N44" s="2">
        <f t="shared" si="5"/>
        <v>250.32383354350569</v>
      </c>
      <c r="O44">
        <v>12</v>
      </c>
    </row>
    <row r="45" spans="1:15" x14ac:dyDescent="0.25">
      <c r="A45" t="s">
        <v>46</v>
      </c>
      <c r="B45" t="s">
        <v>14</v>
      </c>
      <c r="C45" t="s">
        <v>28</v>
      </c>
      <c r="D45" t="str">
        <f t="shared" si="1"/>
        <v>FAB1_1L  Sel Des Deslactosada</v>
      </c>
      <c r="E45">
        <v>2023</v>
      </c>
      <c r="F45">
        <v>5</v>
      </c>
      <c r="G45">
        <f t="shared" si="2"/>
        <v>2</v>
      </c>
      <c r="H45" s="1">
        <f t="shared" si="3"/>
        <v>44956</v>
      </c>
      <c r="I45" s="1">
        <f t="shared" si="4"/>
        <v>44958</v>
      </c>
      <c r="J45">
        <v>258606.62999999998</v>
      </c>
      <c r="K45">
        <v>11976</v>
      </c>
      <c r="L45">
        <f t="shared" si="0"/>
        <v>21.593739979959917</v>
      </c>
      <c r="M45">
        <v>998</v>
      </c>
      <c r="N45" s="2">
        <f t="shared" si="5"/>
        <v>259.12487975951899</v>
      </c>
      <c r="O45">
        <v>12</v>
      </c>
    </row>
    <row r="46" spans="1:15" x14ac:dyDescent="0.25">
      <c r="A46" t="s">
        <v>46</v>
      </c>
      <c r="B46" t="s">
        <v>14</v>
      </c>
      <c r="C46" t="s">
        <v>28</v>
      </c>
      <c r="D46" t="str">
        <f t="shared" si="1"/>
        <v>FAB1_1L  Sel Des Deslactosada</v>
      </c>
      <c r="E46">
        <v>2023</v>
      </c>
      <c r="F46">
        <v>6</v>
      </c>
      <c r="G46">
        <f t="shared" si="2"/>
        <v>2</v>
      </c>
      <c r="H46" s="1">
        <f t="shared" si="3"/>
        <v>44963</v>
      </c>
      <c r="I46" s="1">
        <f t="shared" si="4"/>
        <v>44958</v>
      </c>
      <c r="J46">
        <v>219252.97000000003</v>
      </c>
      <c r="K46">
        <v>10284</v>
      </c>
      <c r="L46">
        <f t="shared" si="0"/>
        <v>21.319814274601324</v>
      </c>
      <c r="M46">
        <v>857</v>
      </c>
      <c r="N46" s="2">
        <f t="shared" si="5"/>
        <v>255.8377712952159</v>
      </c>
      <c r="O46">
        <v>12</v>
      </c>
    </row>
    <row r="47" spans="1:15" x14ac:dyDescent="0.25">
      <c r="A47" t="s">
        <v>46</v>
      </c>
      <c r="B47" t="s">
        <v>14</v>
      </c>
      <c r="C47" t="s">
        <v>28</v>
      </c>
      <c r="D47" t="str">
        <f t="shared" si="1"/>
        <v>FAB1_1L  Sel Des Deslactosada</v>
      </c>
      <c r="E47">
        <v>2023</v>
      </c>
      <c r="F47">
        <v>7</v>
      </c>
      <c r="G47">
        <f t="shared" si="2"/>
        <v>2</v>
      </c>
      <c r="H47" s="1">
        <f t="shared" si="3"/>
        <v>44970</v>
      </c>
      <c r="I47" s="1">
        <f t="shared" si="4"/>
        <v>44958</v>
      </c>
      <c r="J47">
        <v>282811.53999999998</v>
      </c>
      <c r="K47">
        <v>13788</v>
      </c>
      <c r="L47">
        <f t="shared" si="0"/>
        <v>20.511425877574702</v>
      </c>
      <c r="M47">
        <v>1149</v>
      </c>
      <c r="N47" s="2">
        <f t="shared" si="5"/>
        <v>246.13711053089642</v>
      </c>
      <c r="O47">
        <v>12</v>
      </c>
    </row>
    <row r="48" spans="1:15" x14ac:dyDescent="0.25">
      <c r="A48" t="s">
        <v>46</v>
      </c>
      <c r="B48" t="s">
        <v>14</v>
      </c>
      <c r="C48" t="s">
        <v>28</v>
      </c>
      <c r="D48" t="str">
        <f t="shared" si="1"/>
        <v>FAB1_1L  Sel Des Deslactosada</v>
      </c>
      <c r="E48">
        <v>2023</v>
      </c>
      <c r="F48">
        <v>8</v>
      </c>
      <c r="G48">
        <f t="shared" si="2"/>
        <v>2</v>
      </c>
      <c r="H48" s="1">
        <f t="shared" si="3"/>
        <v>44977</v>
      </c>
      <c r="I48" s="1">
        <f t="shared" si="4"/>
        <v>44958</v>
      </c>
      <c r="J48">
        <v>185043.82999999993</v>
      </c>
      <c r="K48">
        <v>8724</v>
      </c>
      <c r="L48">
        <f t="shared" si="0"/>
        <v>21.210892939018791</v>
      </c>
      <c r="M48">
        <v>727</v>
      </c>
      <c r="N48" s="2">
        <f t="shared" si="5"/>
        <v>254.53071526822549</v>
      </c>
      <c r="O48">
        <v>12</v>
      </c>
    </row>
    <row r="49" spans="1:15" x14ac:dyDescent="0.25">
      <c r="A49" t="s">
        <v>46</v>
      </c>
      <c r="B49" t="s">
        <v>14</v>
      </c>
      <c r="C49" t="s">
        <v>28</v>
      </c>
      <c r="D49" t="str">
        <f t="shared" si="1"/>
        <v>FAB1_1L  Sel Des Deslactosada</v>
      </c>
      <c r="E49">
        <v>2023</v>
      </c>
      <c r="F49">
        <v>9</v>
      </c>
      <c r="G49">
        <f t="shared" si="2"/>
        <v>3</v>
      </c>
      <c r="H49" s="1">
        <f t="shared" si="3"/>
        <v>44984</v>
      </c>
      <c r="I49" s="1">
        <f t="shared" si="4"/>
        <v>44986</v>
      </c>
      <c r="J49">
        <v>243893.07000000004</v>
      </c>
      <c r="K49">
        <v>11688</v>
      </c>
      <c r="L49">
        <f t="shared" si="0"/>
        <v>20.866963552361398</v>
      </c>
      <c r="M49">
        <v>974</v>
      </c>
      <c r="N49" s="2">
        <f t="shared" si="5"/>
        <v>250.4035626283368</v>
      </c>
      <c r="O49">
        <v>12</v>
      </c>
    </row>
    <row r="50" spans="1:15" x14ac:dyDescent="0.25">
      <c r="A50" t="s">
        <v>46</v>
      </c>
      <c r="B50" t="s">
        <v>14</v>
      </c>
      <c r="C50" t="s">
        <v>28</v>
      </c>
      <c r="D50" t="str">
        <f t="shared" si="1"/>
        <v>FAB1_1L  Sel Des Deslactosada</v>
      </c>
      <c r="E50">
        <v>2023</v>
      </c>
      <c r="F50">
        <v>10</v>
      </c>
      <c r="G50">
        <f t="shared" si="2"/>
        <v>3</v>
      </c>
      <c r="H50" s="1">
        <f t="shared" si="3"/>
        <v>44991</v>
      </c>
      <c r="I50" s="1">
        <f t="shared" si="4"/>
        <v>44986</v>
      </c>
      <c r="J50">
        <v>176227.33999999994</v>
      </c>
      <c r="K50">
        <v>8376</v>
      </c>
      <c r="L50">
        <f t="shared" si="0"/>
        <v>21.039558261700087</v>
      </c>
      <c r="M50">
        <v>698</v>
      </c>
      <c r="N50" s="2">
        <f t="shared" si="5"/>
        <v>252.47469914040107</v>
      </c>
      <c r="O50">
        <v>12</v>
      </c>
    </row>
    <row r="51" spans="1:15" x14ac:dyDescent="0.25">
      <c r="A51" t="s">
        <v>46</v>
      </c>
      <c r="B51" t="s">
        <v>14</v>
      </c>
      <c r="C51" t="s">
        <v>28</v>
      </c>
      <c r="D51" t="str">
        <f t="shared" si="1"/>
        <v>FAB1_1L  Sel Des Deslactosada</v>
      </c>
      <c r="E51">
        <v>2023</v>
      </c>
      <c r="F51">
        <v>11</v>
      </c>
      <c r="G51">
        <f t="shared" si="2"/>
        <v>3</v>
      </c>
      <c r="H51" s="1">
        <f t="shared" si="3"/>
        <v>44998</v>
      </c>
      <c r="I51" s="1">
        <f t="shared" si="4"/>
        <v>44986</v>
      </c>
      <c r="J51">
        <v>214201.22999999992</v>
      </c>
      <c r="K51">
        <v>10272</v>
      </c>
      <c r="L51">
        <f t="shared" si="0"/>
        <v>20.852923481308405</v>
      </c>
      <c r="M51">
        <v>856</v>
      </c>
      <c r="N51" s="2">
        <f t="shared" si="5"/>
        <v>250.23508177570085</v>
      </c>
      <c r="O51">
        <v>12</v>
      </c>
    </row>
    <row r="52" spans="1:15" x14ac:dyDescent="0.25">
      <c r="A52" t="s">
        <v>46</v>
      </c>
      <c r="B52" t="s">
        <v>14</v>
      </c>
      <c r="C52" t="s">
        <v>28</v>
      </c>
      <c r="D52" t="str">
        <f t="shared" si="1"/>
        <v>FAB1_1L  Sel Des Deslactosada</v>
      </c>
      <c r="E52">
        <v>2023</v>
      </c>
      <c r="F52">
        <v>12</v>
      </c>
      <c r="G52">
        <f t="shared" si="2"/>
        <v>3</v>
      </c>
      <c r="H52" s="1">
        <f t="shared" si="3"/>
        <v>45005</v>
      </c>
      <c r="I52" s="1">
        <f t="shared" si="4"/>
        <v>44986</v>
      </c>
      <c r="J52">
        <v>212768.85000000003</v>
      </c>
      <c r="K52">
        <v>10200</v>
      </c>
      <c r="L52">
        <f t="shared" si="0"/>
        <v>20.859691176470591</v>
      </c>
      <c r="M52">
        <v>850</v>
      </c>
      <c r="N52" s="2">
        <f t="shared" si="5"/>
        <v>250.31629411764709</v>
      </c>
      <c r="O52">
        <v>12</v>
      </c>
    </row>
    <row r="53" spans="1:15" x14ac:dyDescent="0.25">
      <c r="A53" t="s">
        <v>46</v>
      </c>
      <c r="B53" t="s">
        <v>14</v>
      </c>
      <c r="C53" t="s">
        <v>28</v>
      </c>
      <c r="D53" t="str">
        <f t="shared" si="1"/>
        <v>FAB1_1L  Sel Des Deslactosada</v>
      </c>
      <c r="E53">
        <v>2023</v>
      </c>
      <c r="F53">
        <v>13</v>
      </c>
      <c r="G53">
        <f t="shared" si="2"/>
        <v>3</v>
      </c>
      <c r="H53" s="1">
        <f t="shared" si="3"/>
        <v>45012</v>
      </c>
      <c r="I53" s="1">
        <f t="shared" si="4"/>
        <v>44986</v>
      </c>
      <c r="J53">
        <v>213048.97999999998</v>
      </c>
      <c r="K53">
        <v>10260</v>
      </c>
      <c r="L53">
        <f t="shared" si="0"/>
        <v>20.765007797270954</v>
      </c>
      <c r="M53">
        <v>855</v>
      </c>
      <c r="N53" s="2">
        <f t="shared" si="5"/>
        <v>249.18009356725145</v>
      </c>
      <c r="O53">
        <v>12</v>
      </c>
    </row>
    <row r="54" spans="1:15" x14ac:dyDescent="0.25">
      <c r="A54" t="s">
        <v>46</v>
      </c>
      <c r="B54" t="s">
        <v>14</v>
      </c>
      <c r="C54" t="s">
        <v>28</v>
      </c>
      <c r="D54" t="str">
        <f t="shared" si="1"/>
        <v>FAB1_1L  Sel Des Deslactosada</v>
      </c>
      <c r="E54">
        <v>2023</v>
      </c>
      <c r="F54">
        <v>14</v>
      </c>
      <c r="G54">
        <f t="shared" si="2"/>
        <v>4</v>
      </c>
      <c r="H54" s="1">
        <f t="shared" si="3"/>
        <v>45019</v>
      </c>
      <c r="I54" s="1">
        <f t="shared" si="4"/>
        <v>45017</v>
      </c>
      <c r="J54">
        <v>268016.57999999996</v>
      </c>
      <c r="K54">
        <v>13092</v>
      </c>
      <c r="L54">
        <f t="shared" si="0"/>
        <v>20.471782768102656</v>
      </c>
      <c r="M54">
        <v>1091</v>
      </c>
      <c r="N54" s="2">
        <f t="shared" si="5"/>
        <v>245.66139321723185</v>
      </c>
      <c r="O54">
        <v>12</v>
      </c>
    </row>
    <row r="55" spans="1:15" x14ac:dyDescent="0.25">
      <c r="A55" t="s">
        <v>46</v>
      </c>
      <c r="B55" t="s">
        <v>14</v>
      </c>
      <c r="C55" t="s">
        <v>28</v>
      </c>
      <c r="D55" t="str">
        <f t="shared" si="1"/>
        <v>FAB1_1L  Sel Des Deslactosada</v>
      </c>
      <c r="E55">
        <v>2023</v>
      </c>
      <c r="F55">
        <v>15</v>
      </c>
      <c r="G55">
        <f t="shared" si="2"/>
        <v>4</v>
      </c>
      <c r="H55" s="1">
        <f t="shared" si="3"/>
        <v>45026</v>
      </c>
      <c r="I55" s="1">
        <f t="shared" si="4"/>
        <v>45017</v>
      </c>
      <c r="J55">
        <v>226139.53</v>
      </c>
      <c r="K55">
        <v>11100</v>
      </c>
      <c r="L55">
        <f t="shared" si="0"/>
        <v>20.372930630630631</v>
      </c>
      <c r="M55">
        <v>925</v>
      </c>
      <c r="N55" s="2">
        <f t="shared" si="5"/>
        <v>244.47516756756755</v>
      </c>
      <c r="O55">
        <v>12</v>
      </c>
    </row>
    <row r="56" spans="1:15" x14ac:dyDescent="0.25">
      <c r="A56" t="s">
        <v>46</v>
      </c>
      <c r="B56" t="s">
        <v>14</v>
      </c>
      <c r="C56" t="s">
        <v>28</v>
      </c>
      <c r="D56" t="str">
        <f t="shared" si="1"/>
        <v>FAB1_1L  Sel Des Deslactosada</v>
      </c>
      <c r="E56">
        <v>2023</v>
      </c>
      <c r="F56">
        <v>16</v>
      </c>
      <c r="G56">
        <f t="shared" si="2"/>
        <v>4</v>
      </c>
      <c r="H56" s="1">
        <f t="shared" si="3"/>
        <v>45033</v>
      </c>
      <c r="I56" s="1">
        <f t="shared" si="4"/>
        <v>45017</v>
      </c>
      <c r="J56">
        <v>248849.30999999994</v>
      </c>
      <c r="K56">
        <v>12036</v>
      </c>
      <c r="L56">
        <f t="shared" si="0"/>
        <v>20.675416251246258</v>
      </c>
      <c r="M56">
        <v>1003</v>
      </c>
      <c r="N56" s="2">
        <f t="shared" si="5"/>
        <v>248.10499501495508</v>
      </c>
      <c r="O56">
        <v>12</v>
      </c>
    </row>
    <row r="57" spans="1:15" x14ac:dyDescent="0.25">
      <c r="A57" t="s">
        <v>46</v>
      </c>
      <c r="B57" t="s">
        <v>14</v>
      </c>
      <c r="C57" t="s">
        <v>28</v>
      </c>
      <c r="D57" t="str">
        <f t="shared" si="1"/>
        <v>FAB1_1L  Sel Des Deslactosada</v>
      </c>
      <c r="E57">
        <v>2023</v>
      </c>
      <c r="F57">
        <v>17</v>
      </c>
      <c r="G57">
        <f t="shared" si="2"/>
        <v>4</v>
      </c>
      <c r="H57" s="1">
        <f t="shared" si="3"/>
        <v>45040</v>
      </c>
      <c r="I57" s="1">
        <f t="shared" si="4"/>
        <v>45017</v>
      </c>
      <c r="J57">
        <v>189183.49999999997</v>
      </c>
      <c r="K57">
        <v>8832</v>
      </c>
      <c r="L57">
        <f t="shared" si="0"/>
        <v>21.420233242753621</v>
      </c>
      <c r="M57">
        <v>736</v>
      </c>
      <c r="N57" s="2">
        <f t="shared" si="5"/>
        <v>257.04279891304344</v>
      </c>
      <c r="O57">
        <v>12</v>
      </c>
    </row>
    <row r="58" spans="1:15" x14ac:dyDescent="0.25">
      <c r="A58" t="s">
        <v>46</v>
      </c>
      <c r="B58" t="s">
        <v>14</v>
      </c>
      <c r="C58" t="s">
        <v>28</v>
      </c>
      <c r="D58" t="str">
        <f t="shared" si="1"/>
        <v>FAB1_1L  Sel Des Deslactosada</v>
      </c>
      <c r="E58">
        <v>2023</v>
      </c>
      <c r="F58">
        <v>18</v>
      </c>
      <c r="G58">
        <f t="shared" si="2"/>
        <v>5</v>
      </c>
      <c r="H58" s="1">
        <f t="shared" si="3"/>
        <v>45047</v>
      </c>
      <c r="I58" s="1">
        <f t="shared" si="4"/>
        <v>45047</v>
      </c>
      <c r="J58">
        <v>257005.03999999992</v>
      </c>
      <c r="K58">
        <v>12132</v>
      </c>
      <c r="L58">
        <f t="shared" si="0"/>
        <v>21.184061984833491</v>
      </c>
      <c r="M58">
        <v>1011</v>
      </c>
      <c r="N58" s="2">
        <f t="shared" si="5"/>
        <v>254.20874381800189</v>
      </c>
      <c r="O58">
        <v>12</v>
      </c>
    </row>
    <row r="59" spans="1:15" x14ac:dyDescent="0.25">
      <c r="A59" t="s">
        <v>46</v>
      </c>
      <c r="B59" t="s">
        <v>14</v>
      </c>
      <c r="C59" t="s">
        <v>28</v>
      </c>
      <c r="D59" t="str">
        <f t="shared" si="1"/>
        <v>FAB1_1L  Sel Des Deslactosada</v>
      </c>
      <c r="E59">
        <v>2023</v>
      </c>
      <c r="F59">
        <v>19</v>
      </c>
      <c r="G59">
        <f t="shared" si="2"/>
        <v>5</v>
      </c>
      <c r="H59" s="1">
        <f t="shared" si="3"/>
        <v>45054</v>
      </c>
      <c r="I59" s="1">
        <f t="shared" si="4"/>
        <v>45047</v>
      </c>
      <c r="J59">
        <v>205856.29000000004</v>
      </c>
      <c r="K59">
        <v>10080</v>
      </c>
      <c r="L59">
        <f t="shared" si="0"/>
        <v>20.422250992063496</v>
      </c>
      <c r="M59">
        <v>840</v>
      </c>
      <c r="N59" s="2">
        <f t="shared" si="5"/>
        <v>245.06701190476196</v>
      </c>
      <c r="O59">
        <v>12</v>
      </c>
    </row>
    <row r="60" spans="1:15" x14ac:dyDescent="0.25">
      <c r="A60" t="s">
        <v>46</v>
      </c>
      <c r="B60" t="s">
        <v>14</v>
      </c>
      <c r="C60" t="s">
        <v>28</v>
      </c>
      <c r="D60" t="str">
        <f t="shared" si="1"/>
        <v>FAB1_1L  Sel Des Deslactosada</v>
      </c>
      <c r="E60">
        <v>2023</v>
      </c>
      <c r="F60">
        <v>20</v>
      </c>
      <c r="G60">
        <f t="shared" si="2"/>
        <v>5</v>
      </c>
      <c r="H60" s="1">
        <f t="shared" si="3"/>
        <v>45061</v>
      </c>
      <c r="I60" s="1">
        <f t="shared" si="4"/>
        <v>45047</v>
      </c>
      <c r="J60">
        <v>231395.59000000005</v>
      </c>
      <c r="K60">
        <v>11232</v>
      </c>
      <c r="L60">
        <f t="shared" si="0"/>
        <v>20.601459223646728</v>
      </c>
      <c r="M60">
        <v>936</v>
      </c>
      <c r="N60" s="2">
        <f t="shared" si="5"/>
        <v>247.21751068376074</v>
      </c>
      <c r="O60">
        <v>12</v>
      </c>
    </row>
    <row r="61" spans="1:15" x14ac:dyDescent="0.25">
      <c r="A61" t="s">
        <v>46</v>
      </c>
      <c r="B61" t="s">
        <v>14</v>
      </c>
      <c r="C61" t="s">
        <v>28</v>
      </c>
      <c r="D61" t="str">
        <f t="shared" si="1"/>
        <v>FAB1_1L  Sel Des Deslactosada</v>
      </c>
      <c r="E61">
        <v>2023</v>
      </c>
      <c r="F61">
        <v>21</v>
      </c>
      <c r="G61">
        <f t="shared" si="2"/>
        <v>5</v>
      </c>
      <c r="H61" s="1">
        <f t="shared" si="3"/>
        <v>45068</v>
      </c>
      <c r="I61" s="1">
        <f t="shared" si="4"/>
        <v>45047</v>
      </c>
      <c r="J61">
        <v>171199.35999999999</v>
      </c>
      <c r="K61">
        <v>8448</v>
      </c>
      <c r="L61">
        <f t="shared" si="0"/>
        <v>20.265075757575755</v>
      </c>
      <c r="M61">
        <v>704</v>
      </c>
      <c r="N61" s="2">
        <f t="shared" si="5"/>
        <v>243.18090909090907</v>
      </c>
      <c r="O61">
        <v>12</v>
      </c>
    </row>
    <row r="62" spans="1:15" x14ac:dyDescent="0.25">
      <c r="A62" t="s">
        <v>46</v>
      </c>
      <c r="B62" t="s">
        <v>14</v>
      </c>
      <c r="C62" t="s">
        <v>28</v>
      </c>
      <c r="D62" t="str">
        <f t="shared" si="1"/>
        <v>FAB1_1L  Sel Des Deslactosada</v>
      </c>
      <c r="E62">
        <v>2023</v>
      </c>
      <c r="F62">
        <v>22</v>
      </c>
      <c r="G62">
        <f t="shared" si="2"/>
        <v>6</v>
      </c>
      <c r="H62" s="1">
        <f t="shared" si="3"/>
        <v>45075</v>
      </c>
      <c r="I62" s="1">
        <f t="shared" si="4"/>
        <v>45078</v>
      </c>
      <c r="J62">
        <v>217045.73999999993</v>
      </c>
      <c r="K62">
        <v>10704</v>
      </c>
      <c r="L62">
        <f t="shared" si="0"/>
        <v>20.277068385650217</v>
      </c>
      <c r="M62">
        <v>892</v>
      </c>
      <c r="N62" s="2">
        <f t="shared" si="5"/>
        <v>243.32482062780261</v>
      </c>
      <c r="O62">
        <v>12</v>
      </c>
    </row>
    <row r="63" spans="1:15" x14ac:dyDescent="0.25">
      <c r="A63" t="s">
        <v>46</v>
      </c>
      <c r="B63" t="s">
        <v>14</v>
      </c>
      <c r="C63" t="s">
        <v>28</v>
      </c>
      <c r="D63" t="str">
        <f t="shared" si="1"/>
        <v>FAB1_1L  Sel Des Deslactosada</v>
      </c>
      <c r="E63">
        <v>2023</v>
      </c>
      <c r="F63">
        <v>23</v>
      </c>
      <c r="G63">
        <f t="shared" si="2"/>
        <v>6</v>
      </c>
      <c r="H63" s="1">
        <f t="shared" si="3"/>
        <v>45082</v>
      </c>
      <c r="I63" s="1">
        <f t="shared" si="4"/>
        <v>45078</v>
      </c>
      <c r="J63">
        <v>224564.63999999998</v>
      </c>
      <c r="K63">
        <v>10944</v>
      </c>
      <c r="L63">
        <f t="shared" si="0"/>
        <v>20.519429824561403</v>
      </c>
      <c r="M63">
        <v>912</v>
      </c>
      <c r="N63" s="2">
        <f t="shared" si="5"/>
        <v>246.23315789473682</v>
      </c>
      <c r="O63">
        <v>12</v>
      </c>
    </row>
    <row r="64" spans="1:15" x14ac:dyDescent="0.25">
      <c r="A64" t="s">
        <v>46</v>
      </c>
      <c r="B64" t="s">
        <v>14</v>
      </c>
      <c r="C64" t="s">
        <v>28</v>
      </c>
      <c r="D64" t="str">
        <f t="shared" si="1"/>
        <v>FAB1_1L  Sel Des Deslactosada</v>
      </c>
      <c r="E64">
        <v>2023</v>
      </c>
      <c r="F64">
        <v>24</v>
      </c>
      <c r="G64">
        <f t="shared" si="2"/>
        <v>6</v>
      </c>
      <c r="H64" s="1">
        <f t="shared" si="3"/>
        <v>45089</v>
      </c>
      <c r="I64" s="1">
        <f t="shared" si="4"/>
        <v>45078</v>
      </c>
      <c r="J64">
        <v>220837.04</v>
      </c>
      <c r="K64">
        <v>10956</v>
      </c>
      <c r="L64">
        <f t="shared" si="0"/>
        <v>20.156721431179264</v>
      </c>
      <c r="M64">
        <v>913</v>
      </c>
      <c r="N64" s="2">
        <f t="shared" si="5"/>
        <v>241.88065717415117</v>
      </c>
      <c r="O64">
        <v>12</v>
      </c>
    </row>
    <row r="65" spans="1:15" x14ac:dyDescent="0.25">
      <c r="A65" t="s">
        <v>46</v>
      </c>
      <c r="B65" t="s">
        <v>14</v>
      </c>
      <c r="C65" t="s">
        <v>28</v>
      </c>
      <c r="D65" t="str">
        <f t="shared" si="1"/>
        <v>FAB1_1L  Sel Des Deslactosada</v>
      </c>
      <c r="E65">
        <v>2023</v>
      </c>
      <c r="F65">
        <v>25</v>
      </c>
      <c r="G65">
        <f t="shared" si="2"/>
        <v>6</v>
      </c>
      <c r="H65" s="1">
        <f t="shared" si="3"/>
        <v>45096</v>
      </c>
      <c r="I65" s="1">
        <f t="shared" si="4"/>
        <v>45078</v>
      </c>
      <c r="J65">
        <v>208645.65999999997</v>
      </c>
      <c r="K65">
        <v>10296</v>
      </c>
      <c r="L65">
        <f t="shared" si="0"/>
        <v>20.264729992229991</v>
      </c>
      <c r="M65">
        <v>858</v>
      </c>
      <c r="N65" s="2">
        <f t="shared" si="5"/>
        <v>243.17675990675988</v>
      </c>
      <c r="O65">
        <v>12</v>
      </c>
    </row>
    <row r="66" spans="1:15" x14ac:dyDescent="0.25">
      <c r="A66" t="s">
        <v>46</v>
      </c>
      <c r="B66" t="s">
        <v>14</v>
      </c>
      <c r="C66" t="s">
        <v>28</v>
      </c>
      <c r="D66" t="str">
        <f t="shared" si="1"/>
        <v>FAB1_1L  Sel Des Deslactosada</v>
      </c>
      <c r="E66">
        <v>2023</v>
      </c>
      <c r="F66">
        <v>26</v>
      </c>
      <c r="G66">
        <f t="shared" si="2"/>
        <v>6</v>
      </c>
      <c r="H66" s="1">
        <f t="shared" si="3"/>
        <v>45103</v>
      </c>
      <c r="I66" s="1">
        <f t="shared" si="4"/>
        <v>45078</v>
      </c>
      <c r="J66">
        <v>208454.07999999996</v>
      </c>
      <c r="K66">
        <v>10356</v>
      </c>
      <c r="L66">
        <f t="shared" ref="L66:L129" si="6">J66/K66</f>
        <v>20.128821938972571</v>
      </c>
      <c r="M66">
        <v>863</v>
      </c>
      <c r="N66" s="2">
        <f t="shared" si="5"/>
        <v>241.54586326767085</v>
      </c>
      <c r="O66">
        <v>12</v>
      </c>
    </row>
    <row r="67" spans="1:15" x14ac:dyDescent="0.25">
      <c r="A67" t="s">
        <v>46</v>
      </c>
      <c r="B67" t="s">
        <v>14</v>
      </c>
      <c r="C67" t="s">
        <v>28</v>
      </c>
      <c r="D67" t="str">
        <f t="shared" ref="D67:D130" si="7">B67&amp;"_"&amp;C67</f>
        <v>FAB1_1L  Sel Des Deslactosada</v>
      </c>
      <c r="E67">
        <v>2023</v>
      </c>
      <c r="F67">
        <v>27</v>
      </c>
      <c r="G67">
        <f t="shared" ref="G67:G130" si="8">MONTH(DATE(E67,1,4)+(F67-1)*7-WEEKDAY(DATE(E67,1,4),2)+4)</f>
        <v>7</v>
      </c>
      <c r="H67" s="1">
        <f t="shared" ref="H67:H130" si="9">DATE(E67,1,-2)-WEEKDAY(DATE(E67,1,3))+F67*7</f>
        <v>45110</v>
      </c>
      <c r="I67" s="1">
        <f t="shared" ref="I67:I130" si="10">DATE(E67,G67,1)</f>
        <v>45108</v>
      </c>
      <c r="J67">
        <v>235185.97999999998</v>
      </c>
      <c r="K67">
        <v>11580</v>
      </c>
      <c r="L67">
        <f t="shared" si="6"/>
        <v>20.309670120898097</v>
      </c>
      <c r="M67">
        <v>965</v>
      </c>
      <c r="N67" s="2">
        <f t="shared" ref="N67:N130" si="11">J67/M67</f>
        <v>243.71604145077717</v>
      </c>
      <c r="O67">
        <v>12</v>
      </c>
    </row>
    <row r="68" spans="1:15" x14ac:dyDescent="0.25">
      <c r="A68" t="s">
        <v>46</v>
      </c>
      <c r="B68" t="s">
        <v>14</v>
      </c>
      <c r="C68" t="s">
        <v>28</v>
      </c>
      <c r="D68" t="str">
        <f t="shared" si="7"/>
        <v>FAB1_1L  Sel Des Deslactosada</v>
      </c>
      <c r="E68">
        <v>2023</v>
      </c>
      <c r="F68">
        <v>28</v>
      </c>
      <c r="G68">
        <f t="shared" si="8"/>
        <v>7</v>
      </c>
      <c r="H68" s="1">
        <f t="shared" si="9"/>
        <v>45117</v>
      </c>
      <c r="I68" s="1">
        <f t="shared" si="10"/>
        <v>45108</v>
      </c>
      <c r="J68">
        <v>236558.37000000002</v>
      </c>
      <c r="K68">
        <v>11352</v>
      </c>
      <c r="L68">
        <f t="shared" si="6"/>
        <v>20.838475158562371</v>
      </c>
      <c r="M68">
        <v>946</v>
      </c>
      <c r="N68" s="2">
        <f t="shared" si="11"/>
        <v>250.06170190274844</v>
      </c>
      <c r="O68">
        <v>12</v>
      </c>
    </row>
    <row r="69" spans="1:15" x14ac:dyDescent="0.25">
      <c r="A69" t="s">
        <v>46</v>
      </c>
      <c r="B69" t="s">
        <v>14</v>
      </c>
      <c r="C69" t="s">
        <v>28</v>
      </c>
      <c r="D69" t="str">
        <f t="shared" si="7"/>
        <v>FAB1_1L  Sel Des Deslactosada</v>
      </c>
      <c r="E69">
        <v>2023</v>
      </c>
      <c r="F69">
        <v>29</v>
      </c>
      <c r="G69">
        <f t="shared" si="8"/>
        <v>7</v>
      </c>
      <c r="H69" s="1">
        <f t="shared" si="9"/>
        <v>45124</v>
      </c>
      <c r="I69" s="1">
        <f t="shared" si="10"/>
        <v>45108</v>
      </c>
      <c r="J69">
        <v>301354.97999999992</v>
      </c>
      <c r="K69">
        <v>15120</v>
      </c>
      <c r="L69">
        <f t="shared" si="6"/>
        <v>19.930884920634917</v>
      </c>
      <c r="M69">
        <v>1260</v>
      </c>
      <c r="N69" s="2">
        <f t="shared" si="11"/>
        <v>239.170619047619</v>
      </c>
      <c r="O69">
        <v>12</v>
      </c>
    </row>
    <row r="70" spans="1:15" x14ac:dyDescent="0.25">
      <c r="A70" t="s">
        <v>46</v>
      </c>
      <c r="B70" t="s">
        <v>14</v>
      </c>
      <c r="C70" t="s">
        <v>28</v>
      </c>
      <c r="D70" t="str">
        <f t="shared" si="7"/>
        <v>FAB1_1L  Sel Des Deslactosada</v>
      </c>
      <c r="E70">
        <v>2023</v>
      </c>
      <c r="F70">
        <v>30</v>
      </c>
      <c r="G70">
        <f t="shared" si="8"/>
        <v>7</v>
      </c>
      <c r="H70" s="1">
        <f t="shared" si="9"/>
        <v>45131</v>
      </c>
      <c r="I70" s="1">
        <f t="shared" si="10"/>
        <v>45108</v>
      </c>
      <c r="J70">
        <v>266211.66999999993</v>
      </c>
      <c r="K70">
        <v>13284</v>
      </c>
      <c r="L70">
        <f t="shared" si="6"/>
        <v>20.040023336344468</v>
      </c>
      <c r="M70">
        <v>1107</v>
      </c>
      <c r="N70" s="2">
        <f t="shared" si="11"/>
        <v>240.48028003613362</v>
      </c>
      <c r="O70">
        <v>12</v>
      </c>
    </row>
    <row r="71" spans="1:15" x14ac:dyDescent="0.25">
      <c r="A71" t="s">
        <v>46</v>
      </c>
      <c r="B71" t="s">
        <v>14</v>
      </c>
      <c r="C71" t="s">
        <v>28</v>
      </c>
      <c r="D71" t="str">
        <f t="shared" si="7"/>
        <v>FAB1_1L  Sel Des Deslactosada</v>
      </c>
      <c r="E71">
        <v>2023</v>
      </c>
      <c r="F71">
        <v>31</v>
      </c>
      <c r="G71">
        <f t="shared" si="8"/>
        <v>8</v>
      </c>
      <c r="H71" s="1">
        <f t="shared" si="9"/>
        <v>45138</v>
      </c>
      <c r="I71" s="1">
        <f t="shared" si="10"/>
        <v>45139</v>
      </c>
      <c r="J71">
        <v>280044.28999999992</v>
      </c>
      <c r="K71">
        <v>13344</v>
      </c>
      <c r="L71">
        <f t="shared" si="6"/>
        <v>20.986532523980809</v>
      </c>
      <c r="M71">
        <v>1112</v>
      </c>
      <c r="N71" s="2">
        <f t="shared" si="11"/>
        <v>251.83839028776973</v>
      </c>
      <c r="O71">
        <v>12</v>
      </c>
    </row>
    <row r="72" spans="1:15" x14ac:dyDescent="0.25">
      <c r="A72" t="s">
        <v>46</v>
      </c>
      <c r="B72" t="s">
        <v>14</v>
      </c>
      <c r="C72" t="s">
        <v>28</v>
      </c>
      <c r="D72" t="str">
        <f t="shared" si="7"/>
        <v>FAB1_1L  Sel Des Deslactosada</v>
      </c>
      <c r="E72">
        <v>2023</v>
      </c>
      <c r="F72">
        <v>32</v>
      </c>
      <c r="G72">
        <f t="shared" si="8"/>
        <v>8</v>
      </c>
      <c r="H72" s="1">
        <f t="shared" si="9"/>
        <v>45145</v>
      </c>
      <c r="I72" s="1">
        <f t="shared" si="10"/>
        <v>45139</v>
      </c>
      <c r="J72">
        <v>240784.61000000002</v>
      </c>
      <c r="K72">
        <v>10896</v>
      </c>
      <c r="L72">
        <f t="shared" si="6"/>
        <v>22.098440712187962</v>
      </c>
      <c r="M72">
        <v>908</v>
      </c>
      <c r="N72" s="2">
        <f t="shared" si="11"/>
        <v>265.18128854625553</v>
      </c>
      <c r="O72">
        <v>12</v>
      </c>
    </row>
    <row r="73" spans="1:15" x14ac:dyDescent="0.25">
      <c r="A73" t="s">
        <v>46</v>
      </c>
      <c r="B73" t="s">
        <v>14</v>
      </c>
      <c r="C73" t="s">
        <v>28</v>
      </c>
      <c r="D73" t="str">
        <f t="shared" si="7"/>
        <v>FAB1_1L  Sel Des Deslactosada</v>
      </c>
      <c r="E73">
        <v>2023</v>
      </c>
      <c r="F73">
        <v>33</v>
      </c>
      <c r="G73">
        <f t="shared" si="8"/>
        <v>8</v>
      </c>
      <c r="H73" s="1">
        <f t="shared" si="9"/>
        <v>45152</v>
      </c>
      <c r="I73" s="1">
        <f t="shared" si="10"/>
        <v>45139</v>
      </c>
      <c r="J73">
        <v>295646.75999999995</v>
      </c>
      <c r="K73">
        <v>13680</v>
      </c>
      <c r="L73">
        <f t="shared" si="6"/>
        <v>21.611605263157891</v>
      </c>
      <c r="M73">
        <v>1140</v>
      </c>
      <c r="N73" s="2">
        <f t="shared" si="11"/>
        <v>259.33926315789472</v>
      </c>
      <c r="O73">
        <v>12</v>
      </c>
    </row>
    <row r="74" spans="1:15" x14ac:dyDescent="0.25">
      <c r="A74" t="s">
        <v>46</v>
      </c>
      <c r="B74" t="s">
        <v>14</v>
      </c>
      <c r="C74" t="s">
        <v>28</v>
      </c>
      <c r="D74" t="str">
        <f t="shared" si="7"/>
        <v>FAB1_1L  Sel Des Deslactosada</v>
      </c>
      <c r="E74">
        <v>2023</v>
      </c>
      <c r="F74">
        <v>34</v>
      </c>
      <c r="G74">
        <f t="shared" si="8"/>
        <v>8</v>
      </c>
      <c r="H74" s="1">
        <f t="shared" si="9"/>
        <v>45159</v>
      </c>
      <c r="I74" s="1">
        <f t="shared" si="10"/>
        <v>45139</v>
      </c>
      <c r="J74">
        <v>301242.66999999993</v>
      </c>
      <c r="K74">
        <v>14244</v>
      </c>
      <c r="L74">
        <f t="shared" si="6"/>
        <v>21.148741224375172</v>
      </c>
      <c r="M74">
        <v>1187</v>
      </c>
      <c r="N74" s="2">
        <f t="shared" si="11"/>
        <v>253.78489469250204</v>
      </c>
      <c r="O74">
        <v>12</v>
      </c>
    </row>
    <row r="75" spans="1:15" x14ac:dyDescent="0.25">
      <c r="A75" t="s">
        <v>46</v>
      </c>
      <c r="B75" t="s">
        <v>14</v>
      </c>
      <c r="C75" t="s">
        <v>28</v>
      </c>
      <c r="D75" t="str">
        <f t="shared" si="7"/>
        <v>FAB1_1L  Sel Des Deslactosada</v>
      </c>
      <c r="E75">
        <v>2023</v>
      </c>
      <c r="F75">
        <v>35</v>
      </c>
      <c r="G75">
        <f t="shared" si="8"/>
        <v>8</v>
      </c>
      <c r="H75" s="1">
        <f t="shared" si="9"/>
        <v>45166</v>
      </c>
      <c r="I75" s="1">
        <f t="shared" si="10"/>
        <v>45139</v>
      </c>
      <c r="J75">
        <v>320550.11999999982</v>
      </c>
      <c r="K75">
        <v>15336</v>
      </c>
      <c r="L75">
        <f t="shared" si="6"/>
        <v>20.901807511737079</v>
      </c>
      <c r="M75">
        <v>1278</v>
      </c>
      <c r="N75" s="2">
        <f t="shared" si="11"/>
        <v>250.82169014084494</v>
      </c>
      <c r="O75">
        <v>12</v>
      </c>
    </row>
    <row r="76" spans="1:15" x14ac:dyDescent="0.25">
      <c r="A76" t="s">
        <v>46</v>
      </c>
      <c r="B76" t="s">
        <v>14</v>
      </c>
      <c r="C76" t="s">
        <v>28</v>
      </c>
      <c r="D76" t="str">
        <f t="shared" si="7"/>
        <v>FAB1_1L  Sel Des Deslactosada</v>
      </c>
      <c r="E76">
        <v>2023</v>
      </c>
      <c r="F76">
        <v>36</v>
      </c>
      <c r="G76">
        <f t="shared" si="8"/>
        <v>9</v>
      </c>
      <c r="H76" s="1">
        <f t="shared" si="9"/>
        <v>45173</v>
      </c>
      <c r="I76" s="1">
        <f t="shared" si="10"/>
        <v>45170</v>
      </c>
      <c r="J76">
        <v>392130.17999999988</v>
      </c>
      <c r="K76">
        <v>18588</v>
      </c>
      <c r="L76">
        <f t="shared" si="6"/>
        <v>21.095877985797284</v>
      </c>
      <c r="M76">
        <v>1549</v>
      </c>
      <c r="N76" s="2">
        <f t="shared" si="11"/>
        <v>253.15053582956739</v>
      </c>
      <c r="O76">
        <v>12</v>
      </c>
    </row>
    <row r="77" spans="1:15" x14ac:dyDescent="0.25">
      <c r="A77" t="s">
        <v>46</v>
      </c>
      <c r="B77" t="s">
        <v>14</v>
      </c>
      <c r="C77" t="s">
        <v>28</v>
      </c>
      <c r="D77" t="str">
        <f t="shared" si="7"/>
        <v>FAB1_1L  Sel Des Deslactosada</v>
      </c>
      <c r="E77">
        <v>2023</v>
      </c>
      <c r="F77">
        <v>37</v>
      </c>
      <c r="G77">
        <f t="shared" si="8"/>
        <v>9</v>
      </c>
      <c r="H77" s="1">
        <f t="shared" si="9"/>
        <v>45180</v>
      </c>
      <c r="I77" s="1">
        <f t="shared" si="10"/>
        <v>45170</v>
      </c>
      <c r="J77">
        <v>325161.48999999993</v>
      </c>
      <c r="K77">
        <v>15264</v>
      </c>
      <c r="L77">
        <f t="shared" si="6"/>
        <v>21.302508516771486</v>
      </c>
      <c r="M77">
        <v>1272</v>
      </c>
      <c r="N77" s="2">
        <f t="shared" si="11"/>
        <v>255.63010220125781</v>
      </c>
      <c r="O77">
        <v>12</v>
      </c>
    </row>
    <row r="78" spans="1:15" x14ac:dyDescent="0.25">
      <c r="A78" t="s">
        <v>46</v>
      </c>
      <c r="B78" t="s">
        <v>14</v>
      </c>
      <c r="C78" t="s">
        <v>28</v>
      </c>
      <c r="D78" t="str">
        <f t="shared" si="7"/>
        <v>FAB1_1L  Sel Des Deslactosada</v>
      </c>
      <c r="E78">
        <v>2023</v>
      </c>
      <c r="F78">
        <v>38</v>
      </c>
      <c r="G78">
        <f t="shared" si="8"/>
        <v>9</v>
      </c>
      <c r="H78" s="1">
        <f t="shared" si="9"/>
        <v>45187</v>
      </c>
      <c r="I78" s="1">
        <f t="shared" si="10"/>
        <v>45170</v>
      </c>
      <c r="J78">
        <v>274531.14000000013</v>
      </c>
      <c r="K78">
        <v>12192</v>
      </c>
      <c r="L78">
        <f t="shared" si="6"/>
        <v>22.517317913385838</v>
      </c>
      <c r="M78">
        <v>1016</v>
      </c>
      <c r="N78" s="2">
        <f t="shared" si="11"/>
        <v>270.20781496063006</v>
      </c>
      <c r="O78">
        <v>12</v>
      </c>
    </row>
    <row r="79" spans="1:15" x14ac:dyDescent="0.25">
      <c r="A79" t="s">
        <v>46</v>
      </c>
      <c r="B79" t="s">
        <v>14</v>
      </c>
      <c r="C79" t="s">
        <v>28</v>
      </c>
      <c r="D79" t="str">
        <f t="shared" si="7"/>
        <v>FAB1_1L  Sel Des Deslactosada</v>
      </c>
      <c r="E79">
        <v>2023</v>
      </c>
      <c r="F79">
        <v>39</v>
      </c>
      <c r="G79">
        <f t="shared" si="8"/>
        <v>9</v>
      </c>
      <c r="H79" s="1">
        <f t="shared" si="9"/>
        <v>45194</v>
      </c>
      <c r="I79" s="1">
        <f t="shared" si="10"/>
        <v>45170</v>
      </c>
      <c r="J79">
        <v>235840.40999999995</v>
      </c>
      <c r="K79">
        <v>10476</v>
      </c>
      <c r="L79">
        <f t="shared" si="6"/>
        <v>22.512448453608243</v>
      </c>
      <c r="M79">
        <v>873</v>
      </c>
      <c r="N79" s="2">
        <f t="shared" si="11"/>
        <v>270.14938144329892</v>
      </c>
      <c r="O79">
        <v>12</v>
      </c>
    </row>
    <row r="80" spans="1:15" x14ac:dyDescent="0.25">
      <c r="A80" t="s">
        <v>46</v>
      </c>
      <c r="B80" t="s">
        <v>14</v>
      </c>
      <c r="C80" t="s">
        <v>28</v>
      </c>
      <c r="D80" t="str">
        <f t="shared" si="7"/>
        <v>FAB1_1L  Sel Des Deslactosada</v>
      </c>
      <c r="E80">
        <v>2023</v>
      </c>
      <c r="F80">
        <v>40</v>
      </c>
      <c r="G80">
        <f t="shared" si="8"/>
        <v>10</v>
      </c>
      <c r="H80" s="1">
        <f t="shared" si="9"/>
        <v>45201</v>
      </c>
      <c r="I80" s="1">
        <f t="shared" si="10"/>
        <v>45200</v>
      </c>
      <c r="J80">
        <v>281175.57</v>
      </c>
      <c r="K80">
        <v>12492</v>
      </c>
      <c r="L80">
        <f t="shared" si="6"/>
        <v>22.508451008645533</v>
      </c>
      <c r="M80">
        <v>1041</v>
      </c>
      <c r="N80" s="2">
        <f t="shared" si="11"/>
        <v>270.10141210374638</v>
      </c>
      <c r="O80">
        <v>12</v>
      </c>
    </row>
    <row r="81" spans="1:15" x14ac:dyDescent="0.25">
      <c r="A81" t="s">
        <v>46</v>
      </c>
      <c r="B81" t="s">
        <v>14</v>
      </c>
      <c r="C81" t="s">
        <v>28</v>
      </c>
      <c r="D81" t="str">
        <f t="shared" si="7"/>
        <v>FAB1_1L  Sel Des Deslactosada</v>
      </c>
      <c r="E81">
        <v>2023</v>
      </c>
      <c r="F81">
        <v>41</v>
      </c>
      <c r="G81">
        <f t="shared" si="8"/>
        <v>10</v>
      </c>
      <c r="H81" s="1">
        <f t="shared" si="9"/>
        <v>45208</v>
      </c>
      <c r="I81" s="1">
        <f t="shared" si="10"/>
        <v>45200</v>
      </c>
      <c r="J81">
        <v>335716.18</v>
      </c>
      <c r="K81">
        <v>15516</v>
      </c>
      <c r="L81">
        <f t="shared" si="6"/>
        <v>21.636773653003353</v>
      </c>
      <c r="M81">
        <v>1293</v>
      </c>
      <c r="N81" s="2">
        <f t="shared" si="11"/>
        <v>259.6412838360402</v>
      </c>
      <c r="O81">
        <v>12</v>
      </c>
    </row>
    <row r="82" spans="1:15" x14ac:dyDescent="0.25">
      <c r="A82" t="s">
        <v>46</v>
      </c>
      <c r="B82" t="s">
        <v>14</v>
      </c>
      <c r="C82" t="s">
        <v>28</v>
      </c>
      <c r="D82" t="str">
        <f t="shared" si="7"/>
        <v>FAB1_1L  Sel Des Deslactosada</v>
      </c>
      <c r="E82">
        <v>2023</v>
      </c>
      <c r="F82">
        <v>42</v>
      </c>
      <c r="G82">
        <f t="shared" si="8"/>
        <v>10</v>
      </c>
      <c r="H82" s="1">
        <f t="shared" si="9"/>
        <v>45215</v>
      </c>
      <c r="I82" s="1">
        <f t="shared" si="10"/>
        <v>45200</v>
      </c>
      <c r="J82">
        <v>434144.51999999984</v>
      </c>
      <c r="K82">
        <v>20556</v>
      </c>
      <c r="L82">
        <f t="shared" si="6"/>
        <v>21.120087565674247</v>
      </c>
      <c r="M82">
        <v>1713</v>
      </c>
      <c r="N82" s="2">
        <f t="shared" si="11"/>
        <v>253.44105078809099</v>
      </c>
      <c r="O82">
        <v>12</v>
      </c>
    </row>
    <row r="83" spans="1:15" x14ac:dyDescent="0.25">
      <c r="A83" t="s">
        <v>46</v>
      </c>
      <c r="B83" t="s">
        <v>14</v>
      </c>
      <c r="C83" t="s">
        <v>28</v>
      </c>
      <c r="D83" t="str">
        <f t="shared" si="7"/>
        <v>FAB1_1L  Sel Des Deslactosada</v>
      </c>
      <c r="E83">
        <v>2023</v>
      </c>
      <c r="F83">
        <v>43</v>
      </c>
      <c r="G83">
        <f t="shared" si="8"/>
        <v>10</v>
      </c>
      <c r="H83" s="1">
        <f t="shared" si="9"/>
        <v>45222</v>
      </c>
      <c r="I83" s="1">
        <f t="shared" si="10"/>
        <v>45200</v>
      </c>
      <c r="J83">
        <v>267910.53999999998</v>
      </c>
      <c r="K83">
        <v>12312</v>
      </c>
      <c r="L83">
        <f t="shared" si="6"/>
        <v>21.760115334632875</v>
      </c>
      <c r="M83">
        <v>1026</v>
      </c>
      <c r="N83" s="2">
        <f t="shared" si="11"/>
        <v>261.12138401559451</v>
      </c>
      <c r="O83">
        <v>12</v>
      </c>
    </row>
    <row r="84" spans="1:15" x14ac:dyDescent="0.25">
      <c r="A84" t="s">
        <v>46</v>
      </c>
      <c r="B84" t="s">
        <v>14</v>
      </c>
      <c r="C84" t="s">
        <v>28</v>
      </c>
      <c r="D84" t="str">
        <f t="shared" si="7"/>
        <v>FAB1_1L  Sel Des Deslactosada</v>
      </c>
      <c r="E84">
        <v>2023</v>
      </c>
      <c r="F84">
        <v>44</v>
      </c>
      <c r="G84">
        <f t="shared" si="8"/>
        <v>11</v>
      </c>
      <c r="H84" s="1">
        <f t="shared" si="9"/>
        <v>45229</v>
      </c>
      <c r="I84" s="1">
        <f t="shared" si="10"/>
        <v>45231</v>
      </c>
      <c r="J84">
        <v>247723.92999999993</v>
      </c>
      <c r="K84">
        <v>11040</v>
      </c>
      <c r="L84">
        <f t="shared" si="6"/>
        <v>22.438761775362313</v>
      </c>
      <c r="M84">
        <v>920</v>
      </c>
      <c r="N84" s="2">
        <f t="shared" si="11"/>
        <v>269.26514130434776</v>
      </c>
      <c r="O84">
        <v>12</v>
      </c>
    </row>
    <row r="85" spans="1:15" x14ac:dyDescent="0.25">
      <c r="A85" t="s">
        <v>46</v>
      </c>
      <c r="B85" t="s">
        <v>14</v>
      </c>
      <c r="C85" t="s">
        <v>28</v>
      </c>
      <c r="D85" t="str">
        <f t="shared" si="7"/>
        <v>FAB1_1L  Sel Des Deslactosada</v>
      </c>
      <c r="E85">
        <v>2023</v>
      </c>
      <c r="F85">
        <v>45</v>
      </c>
      <c r="G85">
        <f t="shared" si="8"/>
        <v>11</v>
      </c>
      <c r="H85" s="1">
        <f t="shared" si="9"/>
        <v>45236</v>
      </c>
      <c r="I85" s="1">
        <f t="shared" si="10"/>
        <v>45231</v>
      </c>
      <c r="J85">
        <v>250095.09</v>
      </c>
      <c r="K85">
        <v>11220</v>
      </c>
      <c r="L85">
        <f t="shared" si="6"/>
        <v>22.290114973262032</v>
      </c>
      <c r="M85">
        <v>935</v>
      </c>
      <c r="N85" s="2">
        <f t="shared" si="11"/>
        <v>267.48137967914437</v>
      </c>
      <c r="O85">
        <v>12</v>
      </c>
    </row>
    <row r="86" spans="1:15" x14ac:dyDescent="0.25">
      <c r="A86" t="s">
        <v>46</v>
      </c>
      <c r="B86" t="s">
        <v>14</v>
      </c>
      <c r="C86" t="s">
        <v>28</v>
      </c>
      <c r="D86" t="str">
        <f t="shared" si="7"/>
        <v>FAB1_1L  Sel Des Deslactosada</v>
      </c>
      <c r="E86">
        <v>2023</v>
      </c>
      <c r="F86">
        <v>46</v>
      </c>
      <c r="G86">
        <f t="shared" si="8"/>
        <v>11</v>
      </c>
      <c r="H86" s="1">
        <f t="shared" si="9"/>
        <v>45243</v>
      </c>
      <c r="I86" s="1">
        <f t="shared" si="10"/>
        <v>45231</v>
      </c>
      <c r="J86">
        <v>276393.14999999997</v>
      </c>
      <c r="K86">
        <v>12300</v>
      </c>
      <c r="L86">
        <f t="shared" si="6"/>
        <v>22.470987804878046</v>
      </c>
      <c r="M86">
        <v>1025</v>
      </c>
      <c r="N86" s="2">
        <f t="shared" si="11"/>
        <v>269.65185365853654</v>
      </c>
      <c r="O86">
        <v>12</v>
      </c>
    </row>
    <row r="87" spans="1:15" x14ac:dyDescent="0.25">
      <c r="A87" t="s">
        <v>46</v>
      </c>
      <c r="B87" t="s">
        <v>14</v>
      </c>
      <c r="C87" t="s">
        <v>28</v>
      </c>
      <c r="D87" t="str">
        <f t="shared" si="7"/>
        <v>FAB1_1L  Sel Des Deslactosada</v>
      </c>
      <c r="E87">
        <v>2023</v>
      </c>
      <c r="F87">
        <v>47</v>
      </c>
      <c r="G87">
        <f t="shared" si="8"/>
        <v>11</v>
      </c>
      <c r="H87" s="1">
        <f t="shared" si="9"/>
        <v>45250</v>
      </c>
      <c r="I87" s="1">
        <f t="shared" si="10"/>
        <v>45231</v>
      </c>
      <c r="J87">
        <v>325769.0400000001</v>
      </c>
      <c r="K87">
        <v>14472</v>
      </c>
      <c r="L87">
        <f t="shared" si="6"/>
        <v>22.510298507462693</v>
      </c>
      <c r="M87">
        <v>1206</v>
      </c>
      <c r="N87" s="2">
        <f t="shared" si="11"/>
        <v>270.12358208955231</v>
      </c>
      <c r="O87">
        <v>12</v>
      </c>
    </row>
    <row r="88" spans="1:15" x14ac:dyDescent="0.25">
      <c r="A88" t="s">
        <v>46</v>
      </c>
      <c r="B88" t="s">
        <v>14</v>
      </c>
      <c r="C88" t="s">
        <v>28</v>
      </c>
      <c r="D88" t="str">
        <f t="shared" si="7"/>
        <v>FAB1_1L  Sel Des Deslactosada</v>
      </c>
      <c r="E88">
        <v>2023</v>
      </c>
      <c r="F88">
        <v>48</v>
      </c>
      <c r="G88">
        <f t="shared" si="8"/>
        <v>11</v>
      </c>
      <c r="H88" s="1">
        <f t="shared" si="9"/>
        <v>45257</v>
      </c>
      <c r="I88" s="1">
        <f t="shared" si="10"/>
        <v>45231</v>
      </c>
      <c r="J88">
        <v>236411.46</v>
      </c>
      <c r="K88">
        <v>10500</v>
      </c>
      <c r="L88">
        <f t="shared" si="6"/>
        <v>22.51537714285714</v>
      </c>
      <c r="M88">
        <v>875</v>
      </c>
      <c r="N88" s="2">
        <f t="shared" si="11"/>
        <v>270.18452571428571</v>
      </c>
      <c r="O88">
        <v>12</v>
      </c>
    </row>
    <row r="89" spans="1:15" x14ac:dyDescent="0.25">
      <c r="A89" t="s">
        <v>46</v>
      </c>
      <c r="B89" t="s">
        <v>14</v>
      </c>
      <c r="C89" t="s">
        <v>28</v>
      </c>
      <c r="D89" t="str">
        <f t="shared" si="7"/>
        <v>FAB1_1L  Sel Des Deslactosada</v>
      </c>
      <c r="E89">
        <v>2023</v>
      </c>
      <c r="F89">
        <v>49</v>
      </c>
      <c r="G89">
        <f t="shared" si="8"/>
        <v>12</v>
      </c>
      <c r="H89" s="1">
        <f t="shared" si="9"/>
        <v>45264</v>
      </c>
      <c r="I89" s="1">
        <f t="shared" si="10"/>
        <v>45261</v>
      </c>
      <c r="J89">
        <v>257949.36000000002</v>
      </c>
      <c r="K89">
        <v>11460</v>
      </c>
      <c r="L89">
        <f t="shared" si="6"/>
        <v>22.508670157068064</v>
      </c>
      <c r="M89">
        <v>955</v>
      </c>
      <c r="N89" s="2">
        <f t="shared" si="11"/>
        <v>270.10404188481675</v>
      </c>
      <c r="O89">
        <v>12</v>
      </c>
    </row>
    <row r="90" spans="1:15" x14ac:dyDescent="0.25">
      <c r="A90" t="s">
        <v>46</v>
      </c>
      <c r="B90" t="s">
        <v>14</v>
      </c>
      <c r="C90" t="s">
        <v>28</v>
      </c>
      <c r="D90" t="str">
        <f t="shared" si="7"/>
        <v>FAB1_1L  Sel Des Deslactosada</v>
      </c>
      <c r="E90">
        <v>2023</v>
      </c>
      <c r="F90">
        <v>50</v>
      </c>
      <c r="G90">
        <f t="shared" si="8"/>
        <v>12</v>
      </c>
      <c r="H90" s="1">
        <f t="shared" si="9"/>
        <v>45271</v>
      </c>
      <c r="I90" s="1">
        <f t="shared" si="10"/>
        <v>45261</v>
      </c>
      <c r="J90">
        <v>272610.08999999997</v>
      </c>
      <c r="K90">
        <v>12108</v>
      </c>
      <c r="L90">
        <f t="shared" si="6"/>
        <v>22.514873637264614</v>
      </c>
      <c r="M90">
        <v>1009</v>
      </c>
      <c r="N90" s="2">
        <f t="shared" si="11"/>
        <v>270.17848364717537</v>
      </c>
      <c r="O90">
        <v>12</v>
      </c>
    </row>
    <row r="91" spans="1:15" x14ac:dyDescent="0.25">
      <c r="A91" t="s">
        <v>46</v>
      </c>
      <c r="B91" t="s">
        <v>14</v>
      </c>
      <c r="C91" t="s">
        <v>28</v>
      </c>
      <c r="D91" t="str">
        <f t="shared" si="7"/>
        <v>FAB1_1L  Sel Des Deslactosada</v>
      </c>
      <c r="E91">
        <v>2023</v>
      </c>
      <c r="F91">
        <v>51</v>
      </c>
      <c r="G91">
        <f t="shared" si="8"/>
        <v>12</v>
      </c>
      <c r="H91" s="1">
        <f t="shared" si="9"/>
        <v>45278</v>
      </c>
      <c r="I91" s="1">
        <f t="shared" si="10"/>
        <v>45261</v>
      </c>
      <c r="J91">
        <v>302120.82</v>
      </c>
      <c r="K91">
        <v>13416</v>
      </c>
      <c r="L91">
        <f t="shared" si="6"/>
        <v>22.519440966010734</v>
      </c>
      <c r="M91">
        <v>1118</v>
      </c>
      <c r="N91" s="2">
        <f t="shared" si="11"/>
        <v>270.23329159212881</v>
      </c>
      <c r="O91">
        <v>12</v>
      </c>
    </row>
    <row r="92" spans="1:15" x14ac:dyDescent="0.25">
      <c r="A92" t="s">
        <v>46</v>
      </c>
      <c r="B92" t="s">
        <v>14</v>
      </c>
      <c r="C92" t="s">
        <v>28</v>
      </c>
      <c r="D92" t="str">
        <f t="shared" si="7"/>
        <v>FAB1_1L  Sel Des Deslactosada</v>
      </c>
      <c r="E92">
        <v>2023</v>
      </c>
      <c r="F92">
        <v>52</v>
      </c>
      <c r="G92">
        <f t="shared" si="8"/>
        <v>12</v>
      </c>
      <c r="H92" s="1">
        <f t="shared" si="9"/>
        <v>45285</v>
      </c>
      <c r="I92" s="1">
        <f t="shared" si="10"/>
        <v>45261</v>
      </c>
      <c r="J92">
        <v>256096.62</v>
      </c>
      <c r="K92">
        <v>11376</v>
      </c>
      <c r="L92">
        <f t="shared" si="6"/>
        <v>22.512009493670885</v>
      </c>
      <c r="M92">
        <v>948</v>
      </c>
      <c r="N92" s="2">
        <f t="shared" si="11"/>
        <v>270.1441139240506</v>
      </c>
      <c r="O92">
        <v>12</v>
      </c>
    </row>
    <row r="93" spans="1:15" x14ac:dyDescent="0.25">
      <c r="A93" t="s">
        <v>46</v>
      </c>
      <c r="B93" t="s">
        <v>14</v>
      </c>
      <c r="C93" t="s">
        <v>28</v>
      </c>
      <c r="D93" t="str">
        <f t="shared" si="7"/>
        <v>FAB1_1L  Sel Des Deslactosada</v>
      </c>
      <c r="E93">
        <v>2024</v>
      </c>
      <c r="F93">
        <v>1</v>
      </c>
      <c r="G93">
        <f t="shared" si="8"/>
        <v>1</v>
      </c>
      <c r="H93" s="1">
        <f t="shared" si="9"/>
        <v>45292</v>
      </c>
      <c r="I93" s="1">
        <f t="shared" si="10"/>
        <v>45292</v>
      </c>
      <c r="J93">
        <v>339871.14</v>
      </c>
      <c r="K93">
        <v>15096</v>
      </c>
      <c r="L93">
        <f t="shared" si="6"/>
        <v>22.513986486486488</v>
      </c>
      <c r="M93">
        <v>1258</v>
      </c>
      <c r="N93" s="2">
        <f t="shared" si="11"/>
        <v>270.16783783783785</v>
      </c>
      <c r="O93">
        <v>12</v>
      </c>
    </row>
    <row r="94" spans="1:15" x14ac:dyDescent="0.25">
      <c r="A94" t="s">
        <v>46</v>
      </c>
      <c r="B94" t="s">
        <v>14</v>
      </c>
      <c r="C94" t="s">
        <v>28</v>
      </c>
      <c r="D94" t="str">
        <f t="shared" si="7"/>
        <v>FAB1_1L  Sel Des Deslactosada</v>
      </c>
      <c r="E94">
        <v>2024</v>
      </c>
      <c r="F94">
        <v>2</v>
      </c>
      <c r="G94">
        <f t="shared" si="8"/>
        <v>1</v>
      </c>
      <c r="H94" s="1">
        <f t="shared" si="9"/>
        <v>45299</v>
      </c>
      <c r="I94" s="1">
        <f t="shared" si="10"/>
        <v>45292</v>
      </c>
      <c r="J94">
        <v>267332.61</v>
      </c>
      <c r="K94">
        <v>11904</v>
      </c>
      <c r="L94">
        <f t="shared" si="6"/>
        <v>22.457376512096772</v>
      </c>
      <c r="M94">
        <v>992</v>
      </c>
      <c r="N94" s="2">
        <f t="shared" si="11"/>
        <v>269.48851814516127</v>
      </c>
      <c r="O94">
        <v>12</v>
      </c>
    </row>
    <row r="95" spans="1:15" x14ac:dyDescent="0.25">
      <c r="A95" t="s">
        <v>46</v>
      </c>
      <c r="B95" t="s">
        <v>14</v>
      </c>
      <c r="C95" t="s">
        <v>28</v>
      </c>
      <c r="D95" t="str">
        <f t="shared" si="7"/>
        <v>FAB1_1L  Sel Des Deslactosada</v>
      </c>
      <c r="E95">
        <v>2024</v>
      </c>
      <c r="F95">
        <v>3</v>
      </c>
      <c r="G95">
        <f t="shared" si="8"/>
        <v>1</v>
      </c>
      <c r="H95" s="1">
        <f t="shared" si="9"/>
        <v>45306</v>
      </c>
      <c r="I95" s="1">
        <f t="shared" si="10"/>
        <v>45292</v>
      </c>
      <c r="J95">
        <v>295055.38</v>
      </c>
      <c r="K95">
        <v>13548</v>
      </c>
      <c r="L95">
        <f t="shared" si="6"/>
        <v>21.778519338647772</v>
      </c>
      <c r="M95">
        <v>1129</v>
      </c>
      <c r="N95" s="2">
        <f t="shared" si="11"/>
        <v>261.34223206377328</v>
      </c>
      <c r="O95">
        <v>12</v>
      </c>
    </row>
    <row r="96" spans="1:15" x14ac:dyDescent="0.25">
      <c r="A96" t="s">
        <v>46</v>
      </c>
      <c r="B96" t="s">
        <v>14</v>
      </c>
      <c r="C96" t="s">
        <v>28</v>
      </c>
      <c r="D96" t="str">
        <f t="shared" si="7"/>
        <v>FAB1_1L  Sel Des Deslactosada</v>
      </c>
      <c r="E96">
        <v>2024</v>
      </c>
      <c r="F96">
        <v>4</v>
      </c>
      <c r="G96">
        <f t="shared" si="8"/>
        <v>1</v>
      </c>
      <c r="H96" s="1">
        <f t="shared" si="9"/>
        <v>45313</v>
      </c>
      <c r="I96" s="1">
        <f t="shared" si="10"/>
        <v>45292</v>
      </c>
      <c r="J96">
        <v>283726.16999999993</v>
      </c>
      <c r="K96">
        <v>13044</v>
      </c>
      <c r="L96">
        <f t="shared" si="6"/>
        <v>21.751469641214346</v>
      </c>
      <c r="M96">
        <v>1087</v>
      </c>
      <c r="N96" s="2">
        <f t="shared" si="11"/>
        <v>261.01763569457216</v>
      </c>
      <c r="O96">
        <v>12</v>
      </c>
    </row>
    <row r="97" spans="1:15" x14ac:dyDescent="0.25">
      <c r="A97" t="s">
        <v>46</v>
      </c>
      <c r="B97" t="s">
        <v>14</v>
      </c>
      <c r="C97" t="s">
        <v>28</v>
      </c>
      <c r="D97" t="str">
        <f t="shared" si="7"/>
        <v>FAB1_1L  Sel Des Deslactosada</v>
      </c>
      <c r="E97">
        <v>2024</v>
      </c>
      <c r="F97">
        <v>5</v>
      </c>
      <c r="G97">
        <f t="shared" si="8"/>
        <v>2</v>
      </c>
      <c r="H97" s="1">
        <f t="shared" si="9"/>
        <v>45320</v>
      </c>
      <c r="I97" s="1">
        <f t="shared" si="10"/>
        <v>45323</v>
      </c>
      <c r="J97">
        <v>357047.37</v>
      </c>
      <c r="K97">
        <v>16116</v>
      </c>
      <c r="L97">
        <f t="shared" si="6"/>
        <v>22.154838049143709</v>
      </c>
      <c r="M97">
        <v>1343</v>
      </c>
      <c r="N97" s="2">
        <f t="shared" si="11"/>
        <v>265.85805658972447</v>
      </c>
      <c r="O97">
        <v>12</v>
      </c>
    </row>
    <row r="98" spans="1:15" x14ac:dyDescent="0.25">
      <c r="A98" t="s">
        <v>46</v>
      </c>
      <c r="B98" t="s">
        <v>14</v>
      </c>
      <c r="C98" t="s">
        <v>28</v>
      </c>
      <c r="D98" t="str">
        <f t="shared" si="7"/>
        <v>FAB1_1L  Sel Des Deslactosada</v>
      </c>
      <c r="E98">
        <v>2024</v>
      </c>
      <c r="F98">
        <v>6</v>
      </c>
      <c r="G98">
        <f t="shared" si="8"/>
        <v>2</v>
      </c>
      <c r="H98" s="1">
        <f t="shared" si="9"/>
        <v>45327</v>
      </c>
      <c r="I98" s="1">
        <f t="shared" si="10"/>
        <v>45323</v>
      </c>
      <c r="J98">
        <v>270744.93</v>
      </c>
      <c r="K98">
        <v>12024</v>
      </c>
      <c r="L98">
        <f t="shared" si="6"/>
        <v>22.517043413173653</v>
      </c>
      <c r="M98">
        <v>1002</v>
      </c>
      <c r="N98" s="2">
        <f t="shared" si="11"/>
        <v>270.20452095808383</v>
      </c>
      <c r="O98">
        <v>12</v>
      </c>
    </row>
    <row r="99" spans="1:15" x14ac:dyDescent="0.25">
      <c r="A99" t="s">
        <v>46</v>
      </c>
      <c r="B99" t="s">
        <v>14</v>
      </c>
      <c r="C99" t="s">
        <v>28</v>
      </c>
      <c r="D99" t="str">
        <f t="shared" si="7"/>
        <v>FAB1_1L  Sel Des Deslactosada</v>
      </c>
      <c r="E99">
        <v>2024</v>
      </c>
      <c r="F99">
        <v>7</v>
      </c>
      <c r="G99">
        <f t="shared" si="8"/>
        <v>2</v>
      </c>
      <c r="H99" s="1">
        <f t="shared" si="9"/>
        <v>45334</v>
      </c>
      <c r="I99" s="1">
        <f t="shared" si="10"/>
        <v>45323</v>
      </c>
      <c r="J99">
        <v>351010.55000000005</v>
      </c>
      <c r="K99">
        <v>15912</v>
      </c>
      <c r="L99">
        <f t="shared" si="6"/>
        <v>22.059486551030673</v>
      </c>
      <c r="M99">
        <v>1326</v>
      </c>
      <c r="N99" s="2">
        <f t="shared" si="11"/>
        <v>264.71383861236808</v>
      </c>
      <c r="O99">
        <v>12</v>
      </c>
    </row>
    <row r="100" spans="1:15" x14ac:dyDescent="0.25">
      <c r="A100" t="s">
        <v>46</v>
      </c>
      <c r="B100" t="s">
        <v>14</v>
      </c>
      <c r="C100" t="s">
        <v>28</v>
      </c>
      <c r="D100" t="str">
        <f t="shared" si="7"/>
        <v>FAB1_1L  Sel Des Deslactosada</v>
      </c>
      <c r="E100">
        <v>2024</v>
      </c>
      <c r="F100">
        <v>8</v>
      </c>
      <c r="G100">
        <f t="shared" si="8"/>
        <v>2</v>
      </c>
      <c r="H100" s="1">
        <f t="shared" si="9"/>
        <v>45341</v>
      </c>
      <c r="I100" s="1">
        <f t="shared" si="10"/>
        <v>45323</v>
      </c>
      <c r="J100">
        <v>367723.34999999992</v>
      </c>
      <c r="K100">
        <v>16812</v>
      </c>
      <c r="L100">
        <f t="shared" si="6"/>
        <v>21.872671306209845</v>
      </c>
      <c r="M100">
        <v>1401</v>
      </c>
      <c r="N100" s="2">
        <f t="shared" si="11"/>
        <v>262.47205567451812</v>
      </c>
      <c r="O100">
        <v>12</v>
      </c>
    </row>
    <row r="101" spans="1:15" x14ac:dyDescent="0.25">
      <c r="A101" t="s">
        <v>46</v>
      </c>
      <c r="B101" t="s">
        <v>14</v>
      </c>
      <c r="C101" t="s">
        <v>28</v>
      </c>
      <c r="D101" t="str">
        <f t="shared" si="7"/>
        <v>FAB1_1L  Sel Des Deslactosada</v>
      </c>
      <c r="E101">
        <v>2024</v>
      </c>
      <c r="F101">
        <v>9</v>
      </c>
      <c r="G101">
        <f t="shared" si="8"/>
        <v>2</v>
      </c>
      <c r="H101" s="1">
        <f t="shared" si="9"/>
        <v>45348</v>
      </c>
      <c r="I101" s="1">
        <f t="shared" si="10"/>
        <v>45323</v>
      </c>
      <c r="J101">
        <v>241326.47000000009</v>
      </c>
      <c r="K101">
        <v>10116</v>
      </c>
      <c r="L101">
        <f t="shared" si="6"/>
        <v>23.855918347172803</v>
      </c>
      <c r="M101">
        <v>843</v>
      </c>
      <c r="N101" s="2">
        <f t="shared" si="11"/>
        <v>286.27102016607364</v>
      </c>
      <c r="O101">
        <v>12</v>
      </c>
    </row>
    <row r="102" spans="1:15" x14ac:dyDescent="0.25">
      <c r="A102" t="s">
        <v>46</v>
      </c>
      <c r="B102" t="s">
        <v>14</v>
      </c>
      <c r="C102" t="s">
        <v>28</v>
      </c>
      <c r="D102" t="str">
        <f t="shared" si="7"/>
        <v>FAB1_1L  Sel Des Deslactosada</v>
      </c>
      <c r="E102">
        <v>2024</v>
      </c>
      <c r="F102">
        <v>10</v>
      </c>
      <c r="G102">
        <f t="shared" si="8"/>
        <v>3</v>
      </c>
      <c r="H102" s="1">
        <f t="shared" si="9"/>
        <v>45355</v>
      </c>
      <c r="I102" s="1">
        <f t="shared" si="10"/>
        <v>45352</v>
      </c>
      <c r="J102">
        <v>271272.19000000006</v>
      </c>
      <c r="K102">
        <v>11376</v>
      </c>
      <c r="L102">
        <f t="shared" si="6"/>
        <v>23.84600826300985</v>
      </c>
      <c r="M102">
        <v>948</v>
      </c>
      <c r="N102" s="2">
        <f t="shared" si="11"/>
        <v>286.1520991561182</v>
      </c>
      <c r="O102">
        <v>12</v>
      </c>
    </row>
    <row r="103" spans="1:15" x14ac:dyDescent="0.25">
      <c r="A103" t="s">
        <v>46</v>
      </c>
      <c r="B103" t="s">
        <v>14</v>
      </c>
      <c r="C103" t="s">
        <v>28</v>
      </c>
      <c r="D103" t="str">
        <f t="shared" si="7"/>
        <v>FAB1_1L  Sel Des Deslactosada</v>
      </c>
      <c r="E103">
        <v>2024</v>
      </c>
      <c r="F103">
        <v>11</v>
      </c>
      <c r="G103">
        <f t="shared" si="8"/>
        <v>3</v>
      </c>
      <c r="H103" s="1">
        <f t="shared" si="9"/>
        <v>45362</v>
      </c>
      <c r="I103" s="1">
        <f t="shared" si="10"/>
        <v>45352</v>
      </c>
      <c r="J103">
        <v>259898.43000000005</v>
      </c>
      <c r="K103">
        <v>10920</v>
      </c>
      <c r="L103">
        <f t="shared" si="6"/>
        <v>23.800222527472531</v>
      </c>
      <c r="M103">
        <v>910</v>
      </c>
      <c r="N103" s="2">
        <f t="shared" si="11"/>
        <v>285.60267032967039</v>
      </c>
      <c r="O103">
        <v>12</v>
      </c>
    </row>
    <row r="104" spans="1:15" x14ac:dyDescent="0.25">
      <c r="A104" t="s">
        <v>46</v>
      </c>
      <c r="B104" t="s">
        <v>14</v>
      </c>
      <c r="C104" t="s">
        <v>28</v>
      </c>
      <c r="D104" t="str">
        <f t="shared" si="7"/>
        <v>FAB1_1L  Sel Des Deslactosada</v>
      </c>
      <c r="E104">
        <v>2024</v>
      </c>
      <c r="F104">
        <v>12</v>
      </c>
      <c r="G104">
        <f t="shared" si="8"/>
        <v>3</v>
      </c>
      <c r="H104" s="1">
        <f t="shared" si="9"/>
        <v>45369</v>
      </c>
      <c r="I104" s="1">
        <f t="shared" si="10"/>
        <v>45352</v>
      </c>
      <c r="J104">
        <v>196313.54</v>
      </c>
      <c r="K104">
        <v>8496</v>
      </c>
      <c r="L104">
        <f t="shared" si="6"/>
        <v>23.106584274952919</v>
      </c>
      <c r="M104">
        <v>708</v>
      </c>
      <c r="N104" s="2">
        <f t="shared" si="11"/>
        <v>277.27901129943501</v>
      </c>
      <c r="O104">
        <v>12</v>
      </c>
    </row>
    <row r="105" spans="1:15" x14ac:dyDescent="0.25">
      <c r="A105" t="s">
        <v>46</v>
      </c>
      <c r="B105" t="s">
        <v>14</v>
      </c>
      <c r="C105" t="s">
        <v>28</v>
      </c>
      <c r="D105" t="str">
        <f t="shared" si="7"/>
        <v>FAB1_1L  Sel Des Deslactosada</v>
      </c>
      <c r="E105">
        <v>2024</v>
      </c>
      <c r="F105">
        <v>13</v>
      </c>
      <c r="G105">
        <f t="shared" si="8"/>
        <v>3</v>
      </c>
      <c r="H105" s="1">
        <f t="shared" si="9"/>
        <v>45376</v>
      </c>
      <c r="I105" s="1">
        <f t="shared" si="10"/>
        <v>45352</v>
      </c>
      <c r="J105">
        <v>249967.43999999994</v>
      </c>
      <c r="K105">
        <v>10920</v>
      </c>
      <c r="L105">
        <f t="shared" si="6"/>
        <v>22.890791208791203</v>
      </c>
      <c r="M105">
        <v>910</v>
      </c>
      <c r="N105" s="2">
        <f t="shared" si="11"/>
        <v>274.68949450549445</v>
      </c>
      <c r="O105">
        <v>12</v>
      </c>
    </row>
    <row r="106" spans="1:15" x14ac:dyDescent="0.25">
      <c r="A106" t="s">
        <v>46</v>
      </c>
      <c r="B106" t="s">
        <v>14</v>
      </c>
      <c r="C106" t="s">
        <v>28</v>
      </c>
      <c r="D106" t="str">
        <f t="shared" si="7"/>
        <v>FAB1_1L  Sel Des Deslactosada</v>
      </c>
      <c r="E106">
        <v>2024</v>
      </c>
      <c r="F106">
        <v>14</v>
      </c>
      <c r="G106">
        <f t="shared" si="8"/>
        <v>4</v>
      </c>
      <c r="H106" s="1">
        <f t="shared" si="9"/>
        <v>45383</v>
      </c>
      <c r="I106" s="1">
        <f t="shared" si="10"/>
        <v>45383</v>
      </c>
      <c r="J106">
        <v>273237.08000000007</v>
      </c>
      <c r="K106">
        <v>11592</v>
      </c>
      <c r="L106">
        <f t="shared" si="6"/>
        <v>23.571176673567983</v>
      </c>
      <c r="M106">
        <v>966</v>
      </c>
      <c r="N106" s="2">
        <f t="shared" si="11"/>
        <v>282.85412008281583</v>
      </c>
      <c r="O106">
        <v>12</v>
      </c>
    </row>
    <row r="107" spans="1:15" x14ac:dyDescent="0.25">
      <c r="A107" t="s">
        <v>46</v>
      </c>
      <c r="B107" t="s">
        <v>14</v>
      </c>
      <c r="C107" t="s">
        <v>28</v>
      </c>
      <c r="D107" t="str">
        <f t="shared" si="7"/>
        <v>FAB1_1L  Sel Des Deslactosada</v>
      </c>
      <c r="E107">
        <v>2024</v>
      </c>
      <c r="F107">
        <v>15</v>
      </c>
      <c r="G107">
        <f t="shared" si="8"/>
        <v>4</v>
      </c>
      <c r="H107" s="1">
        <f t="shared" si="9"/>
        <v>45390</v>
      </c>
      <c r="I107" s="1">
        <f t="shared" si="10"/>
        <v>45383</v>
      </c>
      <c r="J107">
        <v>240142.24</v>
      </c>
      <c r="K107">
        <v>10092</v>
      </c>
      <c r="L107">
        <f t="shared" si="6"/>
        <v>23.795307173999205</v>
      </c>
      <c r="M107">
        <v>841</v>
      </c>
      <c r="N107" s="2">
        <f t="shared" si="11"/>
        <v>285.54368608799047</v>
      </c>
      <c r="O107">
        <v>12</v>
      </c>
    </row>
    <row r="108" spans="1:15" x14ac:dyDescent="0.25">
      <c r="A108" t="s">
        <v>46</v>
      </c>
      <c r="B108" t="s">
        <v>14</v>
      </c>
      <c r="C108" t="s">
        <v>28</v>
      </c>
      <c r="D108" t="str">
        <f t="shared" si="7"/>
        <v>FAB1_1L  Sel Des Deslactosada</v>
      </c>
      <c r="E108">
        <v>2024</v>
      </c>
      <c r="F108">
        <v>16</v>
      </c>
      <c r="G108">
        <f t="shared" si="8"/>
        <v>4</v>
      </c>
      <c r="H108" s="1">
        <f t="shared" si="9"/>
        <v>45397</v>
      </c>
      <c r="I108" s="1">
        <f t="shared" si="10"/>
        <v>45383</v>
      </c>
      <c r="J108">
        <v>238445.94</v>
      </c>
      <c r="K108">
        <v>10020</v>
      </c>
      <c r="L108">
        <f t="shared" si="6"/>
        <v>23.797000000000001</v>
      </c>
      <c r="M108">
        <v>835</v>
      </c>
      <c r="N108" s="2">
        <f t="shared" si="11"/>
        <v>285.56400000000002</v>
      </c>
      <c r="O108">
        <v>12</v>
      </c>
    </row>
    <row r="109" spans="1:15" x14ac:dyDescent="0.25">
      <c r="A109" t="s">
        <v>46</v>
      </c>
      <c r="B109" t="s">
        <v>14</v>
      </c>
      <c r="C109" t="s">
        <v>28</v>
      </c>
      <c r="D109" t="str">
        <f t="shared" si="7"/>
        <v>FAB1_1L  Sel Des Deslactosada</v>
      </c>
      <c r="E109">
        <v>2024</v>
      </c>
      <c r="F109">
        <v>17</v>
      </c>
      <c r="G109">
        <f t="shared" si="8"/>
        <v>4</v>
      </c>
      <c r="H109" s="1">
        <f t="shared" si="9"/>
        <v>45404</v>
      </c>
      <c r="I109" s="1">
        <f t="shared" si="10"/>
        <v>45383</v>
      </c>
      <c r="J109">
        <v>263524.78000000009</v>
      </c>
      <c r="K109">
        <v>11460</v>
      </c>
      <c r="L109">
        <f t="shared" si="6"/>
        <v>22.995181500872608</v>
      </c>
      <c r="M109">
        <v>955</v>
      </c>
      <c r="N109" s="2">
        <f t="shared" si="11"/>
        <v>275.94217801047131</v>
      </c>
      <c r="O109">
        <v>12</v>
      </c>
    </row>
    <row r="110" spans="1:15" x14ac:dyDescent="0.25">
      <c r="A110" t="s">
        <v>46</v>
      </c>
      <c r="B110" t="s">
        <v>14</v>
      </c>
      <c r="C110" t="s">
        <v>28</v>
      </c>
      <c r="D110" t="str">
        <f t="shared" si="7"/>
        <v>FAB1_1L  Sel Des Deslactosada</v>
      </c>
      <c r="E110">
        <v>2024</v>
      </c>
      <c r="F110">
        <v>18</v>
      </c>
      <c r="G110">
        <f t="shared" si="8"/>
        <v>5</v>
      </c>
      <c r="H110" s="1">
        <f t="shared" si="9"/>
        <v>45411</v>
      </c>
      <c r="I110" s="1">
        <f t="shared" si="10"/>
        <v>45413</v>
      </c>
      <c r="J110">
        <v>352057.21000000008</v>
      </c>
      <c r="K110">
        <v>15468</v>
      </c>
      <c r="L110">
        <f t="shared" si="6"/>
        <v>22.760357512283427</v>
      </c>
      <c r="M110">
        <v>1289</v>
      </c>
      <c r="N110" s="2">
        <f t="shared" si="11"/>
        <v>273.12429014740115</v>
      </c>
      <c r="O110">
        <v>12</v>
      </c>
    </row>
    <row r="111" spans="1:15" x14ac:dyDescent="0.25">
      <c r="A111" t="s">
        <v>46</v>
      </c>
      <c r="B111" t="s">
        <v>14</v>
      </c>
      <c r="C111" t="s">
        <v>28</v>
      </c>
      <c r="D111" t="str">
        <f t="shared" si="7"/>
        <v>FAB1_1L  Sel Des Deslactosada</v>
      </c>
      <c r="E111">
        <v>2024</v>
      </c>
      <c r="F111">
        <v>19</v>
      </c>
      <c r="G111">
        <f t="shared" si="8"/>
        <v>5</v>
      </c>
      <c r="H111" s="1">
        <f t="shared" si="9"/>
        <v>45418</v>
      </c>
      <c r="I111" s="1">
        <f t="shared" si="10"/>
        <v>45413</v>
      </c>
      <c r="J111">
        <v>310340.62</v>
      </c>
      <c r="K111">
        <v>13392</v>
      </c>
      <c r="L111">
        <f t="shared" si="6"/>
        <v>23.173582735961769</v>
      </c>
      <c r="M111">
        <v>1116</v>
      </c>
      <c r="N111" s="2">
        <f t="shared" si="11"/>
        <v>278.08299283154122</v>
      </c>
      <c r="O111">
        <v>12</v>
      </c>
    </row>
    <row r="112" spans="1:15" x14ac:dyDescent="0.25">
      <c r="A112" t="s">
        <v>46</v>
      </c>
      <c r="B112" t="s">
        <v>14</v>
      </c>
      <c r="C112" t="s">
        <v>28</v>
      </c>
      <c r="D112" t="str">
        <f t="shared" si="7"/>
        <v>FAB1_1L  Sel Des Deslactosada</v>
      </c>
      <c r="E112">
        <v>2024</v>
      </c>
      <c r="F112">
        <v>20</v>
      </c>
      <c r="G112">
        <f t="shared" si="8"/>
        <v>5</v>
      </c>
      <c r="H112" s="1">
        <f t="shared" si="9"/>
        <v>45425</v>
      </c>
      <c r="I112" s="1">
        <f t="shared" si="10"/>
        <v>45413</v>
      </c>
      <c r="J112">
        <v>268988.53000000009</v>
      </c>
      <c r="K112">
        <v>11652</v>
      </c>
      <c r="L112">
        <f t="shared" si="6"/>
        <v>23.085181084792318</v>
      </c>
      <c r="M112">
        <v>971</v>
      </c>
      <c r="N112" s="2">
        <f t="shared" si="11"/>
        <v>277.02217301750784</v>
      </c>
      <c r="O112">
        <v>12</v>
      </c>
    </row>
    <row r="113" spans="1:15" x14ac:dyDescent="0.25">
      <c r="A113" t="s">
        <v>46</v>
      </c>
      <c r="B113" t="s">
        <v>14</v>
      </c>
      <c r="C113" t="s">
        <v>28</v>
      </c>
      <c r="D113" t="str">
        <f t="shared" si="7"/>
        <v>FAB1_1L  Sel Des Deslactosada</v>
      </c>
      <c r="E113">
        <v>2024</v>
      </c>
      <c r="F113">
        <v>21</v>
      </c>
      <c r="G113">
        <f t="shared" si="8"/>
        <v>5</v>
      </c>
      <c r="H113" s="1">
        <f t="shared" si="9"/>
        <v>45432</v>
      </c>
      <c r="I113" s="1">
        <f t="shared" si="10"/>
        <v>45413</v>
      </c>
      <c r="J113">
        <v>244407.43</v>
      </c>
      <c r="K113">
        <v>10464</v>
      </c>
      <c r="L113">
        <f t="shared" si="6"/>
        <v>23.356979166666665</v>
      </c>
      <c r="M113">
        <v>872</v>
      </c>
      <c r="N113" s="2">
        <f t="shared" si="11"/>
        <v>280.28375</v>
      </c>
      <c r="O113">
        <v>12</v>
      </c>
    </row>
    <row r="114" spans="1:15" x14ac:dyDescent="0.25">
      <c r="A114" t="s">
        <v>46</v>
      </c>
      <c r="B114" t="s">
        <v>14</v>
      </c>
      <c r="C114" t="s">
        <v>28</v>
      </c>
      <c r="D114" t="str">
        <f t="shared" si="7"/>
        <v>FAB1_1L  Sel Des Deslactosada</v>
      </c>
      <c r="E114">
        <v>2024</v>
      </c>
      <c r="F114">
        <v>22</v>
      </c>
      <c r="G114">
        <f t="shared" si="8"/>
        <v>5</v>
      </c>
      <c r="H114" s="1">
        <f t="shared" si="9"/>
        <v>45439</v>
      </c>
      <c r="I114" s="1">
        <f t="shared" si="10"/>
        <v>45413</v>
      </c>
      <c r="J114">
        <v>256518.42999999996</v>
      </c>
      <c r="K114">
        <v>10752</v>
      </c>
      <c r="L114">
        <f t="shared" si="6"/>
        <v>23.857740885416664</v>
      </c>
      <c r="M114">
        <v>896</v>
      </c>
      <c r="N114" s="2">
        <f t="shared" si="11"/>
        <v>286.29289062499998</v>
      </c>
      <c r="O114">
        <v>12</v>
      </c>
    </row>
    <row r="115" spans="1:15" x14ac:dyDescent="0.25">
      <c r="A115" t="s">
        <v>46</v>
      </c>
      <c r="B115" t="s">
        <v>14</v>
      </c>
      <c r="C115" t="s">
        <v>28</v>
      </c>
      <c r="D115" t="str">
        <f t="shared" si="7"/>
        <v>FAB1_1L  Sel Des Deslactosada</v>
      </c>
      <c r="E115">
        <v>2024</v>
      </c>
      <c r="F115">
        <v>23</v>
      </c>
      <c r="G115">
        <f t="shared" si="8"/>
        <v>6</v>
      </c>
      <c r="H115" s="1">
        <f t="shared" si="9"/>
        <v>45446</v>
      </c>
      <c r="I115" s="1">
        <f t="shared" si="10"/>
        <v>45444</v>
      </c>
      <c r="J115">
        <v>315924.75000000006</v>
      </c>
      <c r="K115">
        <v>13248</v>
      </c>
      <c r="L115">
        <f t="shared" si="6"/>
        <v>23.846976902173918</v>
      </c>
      <c r="M115">
        <v>1104</v>
      </c>
      <c r="N115" s="2">
        <f t="shared" si="11"/>
        <v>286.163722826087</v>
      </c>
      <c r="O115">
        <v>12</v>
      </c>
    </row>
    <row r="116" spans="1:15" x14ac:dyDescent="0.25">
      <c r="A116" t="s">
        <v>46</v>
      </c>
      <c r="B116" t="s">
        <v>14</v>
      </c>
      <c r="C116" t="s">
        <v>28</v>
      </c>
      <c r="D116" t="str">
        <f t="shared" si="7"/>
        <v>FAB1_1L  Sel Des Deslactosada</v>
      </c>
      <c r="E116">
        <v>2024</v>
      </c>
      <c r="F116">
        <v>24</v>
      </c>
      <c r="G116">
        <f t="shared" si="8"/>
        <v>6</v>
      </c>
      <c r="H116" s="1">
        <f t="shared" si="9"/>
        <v>45453</v>
      </c>
      <c r="I116" s="1">
        <f t="shared" si="10"/>
        <v>45444</v>
      </c>
      <c r="J116">
        <v>271085.89999999991</v>
      </c>
      <c r="K116">
        <v>11544</v>
      </c>
      <c r="L116">
        <f t="shared" si="6"/>
        <v>23.482839570339561</v>
      </c>
      <c r="M116">
        <v>962</v>
      </c>
      <c r="N116" s="2">
        <f t="shared" si="11"/>
        <v>281.79407484407477</v>
      </c>
      <c r="O116">
        <v>12</v>
      </c>
    </row>
    <row r="117" spans="1:15" x14ac:dyDescent="0.25">
      <c r="A117" t="s">
        <v>46</v>
      </c>
      <c r="B117" t="s">
        <v>14</v>
      </c>
      <c r="C117" t="s">
        <v>28</v>
      </c>
      <c r="D117" t="str">
        <f t="shared" si="7"/>
        <v>FAB1_1L  Sel Des Deslactosada</v>
      </c>
      <c r="E117">
        <v>2024</v>
      </c>
      <c r="F117">
        <v>25</v>
      </c>
      <c r="G117">
        <f t="shared" si="8"/>
        <v>6</v>
      </c>
      <c r="H117" s="1">
        <f t="shared" si="9"/>
        <v>45460</v>
      </c>
      <c r="I117" s="1">
        <f t="shared" si="10"/>
        <v>45444</v>
      </c>
      <c r="J117">
        <v>326427.63000000006</v>
      </c>
      <c r="K117">
        <v>14172</v>
      </c>
      <c r="L117">
        <f t="shared" si="6"/>
        <v>23.033279000846743</v>
      </c>
      <c r="M117">
        <v>1181</v>
      </c>
      <c r="N117" s="2">
        <f t="shared" si="11"/>
        <v>276.39934801016091</v>
      </c>
      <c r="O117">
        <v>12</v>
      </c>
    </row>
    <row r="118" spans="1:15" x14ac:dyDescent="0.25">
      <c r="A118" t="s">
        <v>46</v>
      </c>
      <c r="B118" t="s">
        <v>14</v>
      </c>
      <c r="C118" t="s">
        <v>28</v>
      </c>
      <c r="D118" t="str">
        <f t="shared" si="7"/>
        <v>FAB1_1L  Sel Des Deslactosada</v>
      </c>
      <c r="E118">
        <v>2024</v>
      </c>
      <c r="F118">
        <v>26</v>
      </c>
      <c r="G118">
        <f t="shared" si="8"/>
        <v>6</v>
      </c>
      <c r="H118" s="1">
        <f t="shared" si="9"/>
        <v>45467</v>
      </c>
      <c r="I118" s="1">
        <f t="shared" si="10"/>
        <v>45444</v>
      </c>
      <c r="J118">
        <v>254759.97000000012</v>
      </c>
      <c r="K118">
        <v>11064</v>
      </c>
      <c r="L118">
        <f t="shared" si="6"/>
        <v>23.026027657266823</v>
      </c>
      <c r="M118">
        <v>922</v>
      </c>
      <c r="N118" s="2">
        <f t="shared" si="11"/>
        <v>276.31233188720188</v>
      </c>
      <c r="O118">
        <v>12</v>
      </c>
    </row>
    <row r="119" spans="1:15" x14ac:dyDescent="0.25">
      <c r="A119" t="s">
        <v>46</v>
      </c>
      <c r="B119" t="s">
        <v>14</v>
      </c>
      <c r="C119" t="s">
        <v>28</v>
      </c>
      <c r="D119" t="str">
        <f t="shared" si="7"/>
        <v>FAB1_1L  Sel Des Deslactosada</v>
      </c>
      <c r="E119">
        <v>2024</v>
      </c>
      <c r="F119">
        <v>27</v>
      </c>
      <c r="G119">
        <f t="shared" si="8"/>
        <v>7</v>
      </c>
      <c r="H119" s="1">
        <f t="shared" si="9"/>
        <v>45474</v>
      </c>
      <c r="I119" s="1">
        <f t="shared" si="10"/>
        <v>45474</v>
      </c>
      <c r="J119">
        <v>345026.95000000007</v>
      </c>
      <c r="K119">
        <v>15048</v>
      </c>
      <c r="L119">
        <f t="shared" si="6"/>
        <v>22.92842570441255</v>
      </c>
      <c r="M119">
        <v>1254</v>
      </c>
      <c r="N119" s="2">
        <f t="shared" si="11"/>
        <v>275.14110845295062</v>
      </c>
      <c r="O119">
        <v>12</v>
      </c>
    </row>
    <row r="120" spans="1:15" x14ac:dyDescent="0.25">
      <c r="A120" t="s">
        <v>46</v>
      </c>
      <c r="B120" t="s">
        <v>14</v>
      </c>
      <c r="C120" t="s">
        <v>28</v>
      </c>
      <c r="D120" t="str">
        <f t="shared" si="7"/>
        <v>FAB1_1L  Sel Des Deslactosada</v>
      </c>
      <c r="E120">
        <v>2024</v>
      </c>
      <c r="F120">
        <v>28</v>
      </c>
      <c r="G120">
        <f t="shared" si="8"/>
        <v>7</v>
      </c>
      <c r="H120" s="1">
        <f t="shared" si="9"/>
        <v>45481</v>
      </c>
      <c r="I120" s="1">
        <f t="shared" si="10"/>
        <v>45474</v>
      </c>
      <c r="J120">
        <v>290608.73000000016</v>
      </c>
      <c r="K120">
        <v>12816</v>
      </c>
      <c r="L120">
        <f t="shared" si="6"/>
        <v>22.675462702871425</v>
      </c>
      <c r="M120">
        <v>1068</v>
      </c>
      <c r="N120" s="2">
        <f t="shared" si="11"/>
        <v>272.10555243445708</v>
      </c>
      <c r="O120">
        <v>12</v>
      </c>
    </row>
    <row r="121" spans="1:15" x14ac:dyDescent="0.25">
      <c r="A121" t="s">
        <v>46</v>
      </c>
      <c r="B121" t="s">
        <v>14</v>
      </c>
      <c r="C121" t="s">
        <v>28</v>
      </c>
      <c r="D121" t="str">
        <f t="shared" si="7"/>
        <v>FAB1_1L  Sel Des Deslactosada</v>
      </c>
      <c r="E121">
        <v>2024</v>
      </c>
      <c r="F121">
        <v>29</v>
      </c>
      <c r="G121">
        <f t="shared" si="8"/>
        <v>7</v>
      </c>
      <c r="H121" s="1">
        <f t="shared" si="9"/>
        <v>45488</v>
      </c>
      <c r="I121" s="1">
        <f t="shared" si="10"/>
        <v>45474</v>
      </c>
      <c r="J121">
        <v>334417.33000000013</v>
      </c>
      <c r="K121">
        <v>14808</v>
      </c>
      <c r="L121">
        <f t="shared" si="6"/>
        <v>22.583558211777426</v>
      </c>
      <c r="M121">
        <v>1234</v>
      </c>
      <c r="N121" s="2">
        <f t="shared" si="11"/>
        <v>271.0026985413291</v>
      </c>
      <c r="O121">
        <v>12</v>
      </c>
    </row>
    <row r="122" spans="1:15" x14ac:dyDescent="0.25">
      <c r="A122" t="s">
        <v>46</v>
      </c>
      <c r="B122" t="s">
        <v>14</v>
      </c>
      <c r="C122" t="s">
        <v>28</v>
      </c>
      <c r="D122" t="str">
        <f t="shared" si="7"/>
        <v>FAB1_1L  Sel Des Deslactosada</v>
      </c>
      <c r="E122">
        <v>2024</v>
      </c>
      <c r="F122">
        <v>30</v>
      </c>
      <c r="G122">
        <f t="shared" si="8"/>
        <v>7</v>
      </c>
      <c r="H122" s="1">
        <f t="shared" si="9"/>
        <v>45495</v>
      </c>
      <c r="I122" s="1">
        <f t="shared" si="10"/>
        <v>45474</v>
      </c>
      <c r="J122">
        <v>296528.13000000018</v>
      </c>
      <c r="K122">
        <v>13200</v>
      </c>
      <c r="L122">
        <f t="shared" si="6"/>
        <v>22.464252272727286</v>
      </c>
      <c r="M122">
        <v>1100</v>
      </c>
      <c r="N122" s="2">
        <f t="shared" si="11"/>
        <v>269.57102727272746</v>
      </c>
      <c r="O122">
        <v>12</v>
      </c>
    </row>
    <row r="123" spans="1:15" x14ac:dyDescent="0.25">
      <c r="A123" t="s">
        <v>46</v>
      </c>
      <c r="B123" t="s">
        <v>14</v>
      </c>
      <c r="C123" t="s">
        <v>28</v>
      </c>
      <c r="D123" t="str">
        <f t="shared" si="7"/>
        <v>FAB1_1L  Sel Des Deslactosada</v>
      </c>
      <c r="E123">
        <v>2024</v>
      </c>
      <c r="F123">
        <v>31</v>
      </c>
      <c r="G123">
        <f t="shared" si="8"/>
        <v>8</v>
      </c>
      <c r="H123" s="1">
        <f t="shared" si="9"/>
        <v>45502</v>
      </c>
      <c r="I123" s="1">
        <f t="shared" si="10"/>
        <v>45505</v>
      </c>
      <c r="J123">
        <v>340673.17000000004</v>
      </c>
      <c r="K123">
        <v>14664</v>
      </c>
      <c r="L123">
        <f t="shared" si="6"/>
        <v>23.231940125477362</v>
      </c>
      <c r="M123">
        <v>1222</v>
      </c>
      <c r="N123" s="2">
        <f t="shared" si="11"/>
        <v>278.78328150572833</v>
      </c>
      <c r="O123">
        <v>12</v>
      </c>
    </row>
    <row r="124" spans="1:15" x14ac:dyDescent="0.25">
      <c r="A124" t="s">
        <v>46</v>
      </c>
      <c r="B124" t="s">
        <v>14</v>
      </c>
      <c r="C124" t="s">
        <v>28</v>
      </c>
      <c r="D124" t="str">
        <f t="shared" si="7"/>
        <v>FAB1_1L  Sel Des Deslactosada</v>
      </c>
      <c r="E124">
        <v>2024</v>
      </c>
      <c r="F124">
        <v>32</v>
      </c>
      <c r="G124">
        <f t="shared" si="8"/>
        <v>8</v>
      </c>
      <c r="H124" s="1">
        <f t="shared" si="9"/>
        <v>45509</v>
      </c>
      <c r="I124" s="1">
        <f t="shared" si="10"/>
        <v>45505</v>
      </c>
      <c r="J124">
        <v>296323.34999999998</v>
      </c>
      <c r="K124">
        <v>12432</v>
      </c>
      <c r="L124">
        <f t="shared" si="6"/>
        <v>23.8355333011583</v>
      </c>
      <c r="M124">
        <v>1036</v>
      </c>
      <c r="N124" s="2">
        <f t="shared" si="11"/>
        <v>286.02639961389957</v>
      </c>
      <c r="O124">
        <v>12</v>
      </c>
    </row>
    <row r="125" spans="1:15" x14ac:dyDescent="0.25">
      <c r="A125" t="s">
        <v>46</v>
      </c>
      <c r="B125" t="s">
        <v>14</v>
      </c>
      <c r="C125" t="s">
        <v>28</v>
      </c>
      <c r="D125" t="str">
        <f t="shared" si="7"/>
        <v>FAB1_1L  Sel Des Deslactosada</v>
      </c>
      <c r="E125">
        <v>2024</v>
      </c>
      <c r="F125">
        <v>33</v>
      </c>
      <c r="G125">
        <f t="shared" si="8"/>
        <v>8</v>
      </c>
      <c r="H125" s="1">
        <f t="shared" si="9"/>
        <v>45516</v>
      </c>
      <c r="I125" s="1">
        <f t="shared" si="10"/>
        <v>45505</v>
      </c>
      <c r="J125">
        <v>314162.98999999993</v>
      </c>
      <c r="K125">
        <v>13548</v>
      </c>
      <c r="L125">
        <f t="shared" si="6"/>
        <v>23.188883229997042</v>
      </c>
      <c r="M125">
        <v>1129</v>
      </c>
      <c r="N125" s="2">
        <f t="shared" si="11"/>
        <v>278.2665987599645</v>
      </c>
      <c r="O125">
        <v>12</v>
      </c>
    </row>
    <row r="126" spans="1:15" x14ac:dyDescent="0.25">
      <c r="A126" t="s">
        <v>46</v>
      </c>
      <c r="B126" t="s">
        <v>14</v>
      </c>
      <c r="C126" t="s">
        <v>28</v>
      </c>
      <c r="D126" t="str">
        <f t="shared" si="7"/>
        <v>FAB1_1L  Sel Des Deslactosada</v>
      </c>
      <c r="E126">
        <v>2024</v>
      </c>
      <c r="F126">
        <v>34</v>
      </c>
      <c r="G126">
        <f t="shared" si="8"/>
        <v>8</v>
      </c>
      <c r="H126" s="1">
        <f t="shared" si="9"/>
        <v>45523</v>
      </c>
      <c r="I126" s="1">
        <f t="shared" si="10"/>
        <v>45505</v>
      </c>
      <c r="J126">
        <v>329872.07000000007</v>
      </c>
      <c r="K126">
        <v>14292</v>
      </c>
      <c r="L126">
        <f t="shared" si="6"/>
        <v>23.080889308704176</v>
      </c>
      <c r="M126">
        <v>1191</v>
      </c>
      <c r="N126" s="2">
        <f t="shared" si="11"/>
        <v>276.97067170445007</v>
      </c>
      <c r="O126">
        <v>12</v>
      </c>
    </row>
    <row r="127" spans="1:15" x14ac:dyDescent="0.25">
      <c r="A127" t="s">
        <v>46</v>
      </c>
      <c r="B127" t="s">
        <v>14</v>
      </c>
      <c r="C127" t="s">
        <v>28</v>
      </c>
      <c r="D127" t="str">
        <f t="shared" si="7"/>
        <v>FAB1_1L  Sel Des Deslactosada</v>
      </c>
      <c r="E127">
        <v>2024</v>
      </c>
      <c r="F127">
        <v>35</v>
      </c>
      <c r="G127">
        <f t="shared" si="8"/>
        <v>8</v>
      </c>
      <c r="H127" s="1">
        <f t="shared" si="9"/>
        <v>45530</v>
      </c>
      <c r="I127" s="1">
        <f t="shared" si="10"/>
        <v>45505</v>
      </c>
      <c r="J127">
        <v>244605.65999999997</v>
      </c>
      <c r="K127">
        <v>9936</v>
      </c>
      <c r="L127">
        <f t="shared" si="6"/>
        <v>24.618121980676325</v>
      </c>
      <c r="M127">
        <v>828</v>
      </c>
      <c r="N127" s="2">
        <f t="shared" si="11"/>
        <v>295.41746376811591</v>
      </c>
      <c r="O127">
        <v>12</v>
      </c>
    </row>
    <row r="128" spans="1:15" x14ac:dyDescent="0.25">
      <c r="A128" t="s">
        <v>46</v>
      </c>
      <c r="B128" t="s">
        <v>14</v>
      </c>
      <c r="C128" t="s">
        <v>28</v>
      </c>
      <c r="D128" t="str">
        <f t="shared" si="7"/>
        <v>FAB1_1L  Sel Des Deslactosada</v>
      </c>
      <c r="E128">
        <v>2024</v>
      </c>
      <c r="F128">
        <v>36</v>
      </c>
      <c r="G128">
        <f t="shared" si="8"/>
        <v>9</v>
      </c>
      <c r="H128" s="1">
        <f t="shared" si="9"/>
        <v>45537</v>
      </c>
      <c r="I128" s="1">
        <f t="shared" si="10"/>
        <v>45536</v>
      </c>
      <c r="J128">
        <v>272387.33999999985</v>
      </c>
      <c r="K128">
        <v>11088</v>
      </c>
      <c r="L128">
        <f t="shared" si="6"/>
        <v>24.565957792207779</v>
      </c>
      <c r="M128">
        <v>924</v>
      </c>
      <c r="N128" s="2">
        <f t="shared" si="11"/>
        <v>294.79149350649334</v>
      </c>
      <c r="O128">
        <v>12</v>
      </c>
    </row>
    <row r="129" spans="1:15" x14ac:dyDescent="0.25">
      <c r="A129" t="s">
        <v>46</v>
      </c>
      <c r="B129" t="s">
        <v>14</v>
      </c>
      <c r="C129" t="s">
        <v>28</v>
      </c>
      <c r="D129" t="str">
        <f t="shared" si="7"/>
        <v>FAB1_1L  Sel Des Deslactosada</v>
      </c>
      <c r="E129">
        <v>2024</v>
      </c>
      <c r="F129">
        <v>37</v>
      </c>
      <c r="G129">
        <f t="shared" si="8"/>
        <v>9</v>
      </c>
      <c r="H129" s="1">
        <f t="shared" si="9"/>
        <v>45544</v>
      </c>
      <c r="I129" s="1">
        <f t="shared" si="10"/>
        <v>45536</v>
      </c>
      <c r="J129">
        <v>239494.86000000002</v>
      </c>
      <c r="K129">
        <v>9648</v>
      </c>
      <c r="L129">
        <f t="shared" si="6"/>
        <v>24.823264925373135</v>
      </c>
      <c r="M129">
        <v>804</v>
      </c>
      <c r="N129" s="2">
        <f t="shared" si="11"/>
        <v>297.87917910447766</v>
      </c>
      <c r="O129">
        <v>12</v>
      </c>
    </row>
    <row r="130" spans="1:15" x14ac:dyDescent="0.25">
      <c r="A130" t="s">
        <v>46</v>
      </c>
      <c r="B130" t="s">
        <v>14</v>
      </c>
      <c r="C130" t="s">
        <v>28</v>
      </c>
      <c r="D130" t="str">
        <f t="shared" si="7"/>
        <v>FAB1_1L  Sel Des Deslactosada</v>
      </c>
      <c r="E130">
        <v>2024</v>
      </c>
      <c r="F130">
        <v>38</v>
      </c>
      <c r="G130">
        <f t="shared" si="8"/>
        <v>9</v>
      </c>
      <c r="H130" s="1">
        <f t="shared" si="9"/>
        <v>45551</v>
      </c>
      <c r="I130" s="1">
        <f t="shared" si="10"/>
        <v>45536</v>
      </c>
      <c r="J130">
        <v>261220.29999999996</v>
      </c>
      <c r="K130">
        <v>10212</v>
      </c>
      <c r="L130">
        <f t="shared" ref="L130:L193" si="12">J130/K130</f>
        <v>25.579739522130822</v>
      </c>
      <c r="M130">
        <v>851</v>
      </c>
      <c r="N130" s="2">
        <f t="shared" si="11"/>
        <v>306.95687426556987</v>
      </c>
      <c r="O130">
        <v>12</v>
      </c>
    </row>
    <row r="131" spans="1:15" x14ac:dyDescent="0.25">
      <c r="A131" t="s">
        <v>46</v>
      </c>
      <c r="B131" t="s">
        <v>14</v>
      </c>
      <c r="C131" t="s">
        <v>28</v>
      </c>
      <c r="D131" t="str">
        <f t="shared" ref="D131:D194" si="13">B131&amp;"_"&amp;C131</f>
        <v>FAB1_1L  Sel Des Deslactosada</v>
      </c>
      <c r="E131">
        <v>2024</v>
      </c>
      <c r="F131">
        <v>39</v>
      </c>
      <c r="G131">
        <f t="shared" ref="G131:G194" si="14">MONTH(DATE(E131,1,4)+(F131-1)*7-WEEKDAY(DATE(E131,1,4),2)+4)</f>
        <v>9</v>
      </c>
      <c r="H131" s="1">
        <f t="shared" ref="H131:H194" si="15">DATE(E131,1,-2)-WEEKDAY(DATE(E131,1,3))+F131*7</f>
        <v>45558</v>
      </c>
      <c r="I131" s="1">
        <f t="shared" ref="I131:I194" si="16">DATE(E131,G131,1)</f>
        <v>45536</v>
      </c>
      <c r="J131">
        <v>203077.05999999997</v>
      </c>
      <c r="K131">
        <v>7956</v>
      </c>
      <c r="L131">
        <f t="shared" si="12"/>
        <v>25.525020110608342</v>
      </c>
      <c r="M131">
        <v>663</v>
      </c>
      <c r="N131" s="2">
        <f t="shared" ref="N131:N194" si="17">J131/M131</f>
        <v>306.30024132730011</v>
      </c>
      <c r="O131">
        <v>12</v>
      </c>
    </row>
    <row r="132" spans="1:15" x14ac:dyDescent="0.25">
      <c r="A132" t="s">
        <v>46</v>
      </c>
      <c r="B132" t="s">
        <v>14</v>
      </c>
      <c r="C132" t="s">
        <v>28</v>
      </c>
      <c r="D132" t="str">
        <f t="shared" si="13"/>
        <v>FAB1_1L  Sel Des Deslactosada</v>
      </c>
      <c r="E132">
        <v>2024</v>
      </c>
      <c r="F132">
        <v>40</v>
      </c>
      <c r="G132">
        <f t="shared" si="14"/>
        <v>10</v>
      </c>
      <c r="H132" s="1">
        <f t="shared" si="15"/>
        <v>45565</v>
      </c>
      <c r="I132" s="1">
        <f t="shared" si="16"/>
        <v>45566</v>
      </c>
      <c r="J132">
        <v>270738.45999999996</v>
      </c>
      <c r="K132">
        <v>10656</v>
      </c>
      <c r="L132">
        <f t="shared" si="12"/>
        <v>25.407137762762758</v>
      </c>
      <c r="M132">
        <v>888</v>
      </c>
      <c r="N132" s="2">
        <f t="shared" si="17"/>
        <v>304.8856531531531</v>
      </c>
      <c r="O132">
        <v>12</v>
      </c>
    </row>
    <row r="133" spans="1:15" x14ac:dyDescent="0.25">
      <c r="A133" t="s">
        <v>46</v>
      </c>
      <c r="B133" t="s">
        <v>14</v>
      </c>
      <c r="C133" t="s">
        <v>28</v>
      </c>
      <c r="D133" t="str">
        <f t="shared" si="13"/>
        <v>FAB1_1L  Sel Des Deslactosada</v>
      </c>
      <c r="E133">
        <v>2024</v>
      </c>
      <c r="F133">
        <v>41</v>
      </c>
      <c r="G133">
        <f t="shared" si="14"/>
        <v>10</v>
      </c>
      <c r="H133" s="1">
        <f t="shared" si="15"/>
        <v>45572</v>
      </c>
      <c r="I133" s="1">
        <f t="shared" si="16"/>
        <v>45566</v>
      </c>
      <c r="J133">
        <v>236725.61999999997</v>
      </c>
      <c r="K133">
        <v>9288</v>
      </c>
      <c r="L133">
        <f t="shared" si="12"/>
        <v>25.48725452196382</v>
      </c>
      <c r="M133">
        <v>774</v>
      </c>
      <c r="N133" s="2">
        <f t="shared" si="17"/>
        <v>305.84705426356584</v>
      </c>
      <c r="O133">
        <v>12</v>
      </c>
    </row>
    <row r="134" spans="1:15" x14ac:dyDescent="0.25">
      <c r="A134" t="s">
        <v>46</v>
      </c>
      <c r="B134" t="s">
        <v>14</v>
      </c>
      <c r="C134" t="s">
        <v>28</v>
      </c>
      <c r="D134" t="str">
        <f t="shared" si="13"/>
        <v>FAB1_1L  Sel Des Deslactosada</v>
      </c>
      <c r="E134">
        <v>2024</v>
      </c>
      <c r="F134">
        <v>42</v>
      </c>
      <c r="G134">
        <f t="shared" si="14"/>
        <v>10</v>
      </c>
      <c r="H134" s="1">
        <f t="shared" si="15"/>
        <v>45579</v>
      </c>
      <c r="I134" s="1">
        <f t="shared" si="16"/>
        <v>45566</v>
      </c>
      <c r="J134">
        <v>239988.77999999994</v>
      </c>
      <c r="K134">
        <v>9492</v>
      </c>
      <c r="L134">
        <f t="shared" si="12"/>
        <v>25.283268015170663</v>
      </c>
      <c r="M134">
        <v>791</v>
      </c>
      <c r="N134" s="2">
        <f t="shared" si="17"/>
        <v>303.39921618204795</v>
      </c>
      <c r="O134">
        <v>12</v>
      </c>
    </row>
    <row r="135" spans="1:15" x14ac:dyDescent="0.25">
      <c r="A135" t="s">
        <v>46</v>
      </c>
      <c r="B135" t="s">
        <v>14</v>
      </c>
      <c r="C135" t="s">
        <v>28</v>
      </c>
      <c r="D135" t="str">
        <f t="shared" si="13"/>
        <v>FAB1_1L  Sel Des Deslactosada</v>
      </c>
      <c r="E135">
        <v>2024</v>
      </c>
      <c r="F135">
        <v>43</v>
      </c>
      <c r="G135">
        <f t="shared" si="14"/>
        <v>10</v>
      </c>
      <c r="H135" s="1">
        <f t="shared" si="15"/>
        <v>45586</v>
      </c>
      <c r="I135" s="1">
        <f t="shared" si="16"/>
        <v>45566</v>
      </c>
      <c r="J135">
        <v>269850.40999999997</v>
      </c>
      <c r="K135">
        <v>10560</v>
      </c>
      <c r="L135">
        <f t="shared" si="12"/>
        <v>25.554016098484848</v>
      </c>
      <c r="M135">
        <v>880</v>
      </c>
      <c r="N135" s="2">
        <f t="shared" si="17"/>
        <v>306.64819318181816</v>
      </c>
      <c r="O135">
        <v>12</v>
      </c>
    </row>
    <row r="136" spans="1:15" x14ac:dyDescent="0.25">
      <c r="A136" t="s">
        <v>46</v>
      </c>
      <c r="B136" t="s">
        <v>14</v>
      </c>
      <c r="C136" t="s">
        <v>28</v>
      </c>
      <c r="D136" t="str">
        <f t="shared" si="13"/>
        <v>FAB1_1L  Sel Des Deslactosada</v>
      </c>
      <c r="E136">
        <v>2024</v>
      </c>
      <c r="F136">
        <v>44</v>
      </c>
      <c r="G136">
        <f t="shared" si="14"/>
        <v>10</v>
      </c>
      <c r="H136" s="1">
        <f t="shared" si="15"/>
        <v>45593</v>
      </c>
      <c r="I136" s="1">
        <f t="shared" si="16"/>
        <v>45566</v>
      </c>
      <c r="J136">
        <v>204126.92999999996</v>
      </c>
      <c r="K136">
        <v>8160</v>
      </c>
      <c r="L136">
        <f t="shared" si="12"/>
        <v>25.015555147058819</v>
      </c>
      <c r="M136">
        <v>680</v>
      </c>
      <c r="N136" s="2">
        <f t="shared" si="17"/>
        <v>300.18666176470583</v>
      </c>
      <c r="O136">
        <v>12</v>
      </c>
    </row>
    <row r="137" spans="1:15" x14ac:dyDescent="0.25">
      <c r="A137" t="s">
        <v>46</v>
      </c>
      <c r="B137" t="s">
        <v>14</v>
      </c>
      <c r="C137" t="s">
        <v>28</v>
      </c>
      <c r="D137" t="str">
        <f t="shared" si="13"/>
        <v>FAB1_1L  Sel Des Deslactosada</v>
      </c>
      <c r="E137">
        <v>2024</v>
      </c>
      <c r="F137">
        <v>45</v>
      </c>
      <c r="G137">
        <f t="shared" si="14"/>
        <v>11</v>
      </c>
      <c r="H137" s="1">
        <f t="shared" si="15"/>
        <v>45600</v>
      </c>
      <c r="I137" s="1">
        <f t="shared" si="16"/>
        <v>45597</v>
      </c>
      <c r="J137">
        <v>295309.27999999991</v>
      </c>
      <c r="K137">
        <v>12540</v>
      </c>
      <c r="L137">
        <f t="shared" si="12"/>
        <v>23.549384370015943</v>
      </c>
      <c r="M137">
        <v>1045</v>
      </c>
      <c r="N137" s="2">
        <f t="shared" si="17"/>
        <v>282.59261244019132</v>
      </c>
      <c r="O137">
        <v>12</v>
      </c>
    </row>
    <row r="138" spans="1:15" x14ac:dyDescent="0.25">
      <c r="A138" t="s">
        <v>46</v>
      </c>
      <c r="B138" t="s">
        <v>14</v>
      </c>
      <c r="C138" t="s">
        <v>28</v>
      </c>
      <c r="D138" t="str">
        <f t="shared" si="13"/>
        <v>FAB1_1L  Sel Des Deslactosada</v>
      </c>
      <c r="E138">
        <v>2024</v>
      </c>
      <c r="F138">
        <v>46</v>
      </c>
      <c r="G138">
        <f t="shared" si="14"/>
        <v>11</v>
      </c>
      <c r="H138" s="1">
        <f t="shared" si="15"/>
        <v>45607</v>
      </c>
      <c r="I138" s="1">
        <f t="shared" si="16"/>
        <v>45597</v>
      </c>
      <c r="J138">
        <v>339094.42999999993</v>
      </c>
      <c r="K138">
        <v>14376</v>
      </c>
      <c r="L138">
        <f t="shared" si="12"/>
        <v>23.587536867000551</v>
      </c>
      <c r="M138">
        <v>1198</v>
      </c>
      <c r="N138" s="2">
        <f t="shared" si="17"/>
        <v>283.05044240400662</v>
      </c>
      <c r="O138">
        <v>12</v>
      </c>
    </row>
    <row r="139" spans="1:15" x14ac:dyDescent="0.25">
      <c r="A139" t="s">
        <v>46</v>
      </c>
      <c r="B139" t="s">
        <v>14</v>
      </c>
      <c r="C139" t="s">
        <v>28</v>
      </c>
      <c r="D139" t="str">
        <f t="shared" si="13"/>
        <v>FAB1_1L  Sel Des Deslactosada</v>
      </c>
      <c r="E139">
        <v>2024</v>
      </c>
      <c r="F139">
        <v>47</v>
      </c>
      <c r="G139">
        <f t="shared" si="14"/>
        <v>11</v>
      </c>
      <c r="H139" s="1">
        <f t="shared" si="15"/>
        <v>45614</v>
      </c>
      <c r="I139" s="1">
        <f t="shared" si="16"/>
        <v>45597</v>
      </c>
      <c r="J139">
        <v>354238.08999999997</v>
      </c>
      <c r="K139">
        <v>15000</v>
      </c>
      <c r="L139">
        <f t="shared" si="12"/>
        <v>23.615872666666665</v>
      </c>
      <c r="M139">
        <v>1250</v>
      </c>
      <c r="N139" s="2">
        <f t="shared" si="17"/>
        <v>283.39047199999999</v>
      </c>
      <c r="O139">
        <v>12</v>
      </c>
    </row>
    <row r="140" spans="1:15" x14ac:dyDescent="0.25">
      <c r="A140" t="s">
        <v>46</v>
      </c>
      <c r="B140" t="s">
        <v>14</v>
      </c>
      <c r="C140" t="s">
        <v>28</v>
      </c>
      <c r="D140" t="str">
        <f t="shared" si="13"/>
        <v>FAB1_1L  Sel Des Deslactosada</v>
      </c>
      <c r="E140">
        <v>2024</v>
      </c>
      <c r="F140">
        <v>48</v>
      </c>
      <c r="G140">
        <f t="shared" si="14"/>
        <v>11</v>
      </c>
      <c r="H140" s="1">
        <f t="shared" si="15"/>
        <v>45621</v>
      </c>
      <c r="I140" s="1">
        <f t="shared" si="16"/>
        <v>45597</v>
      </c>
      <c r="J140">
        <v>249419.66999999998</v>
      </c>
      <c r="K140">
        <v>10668</v>
      </c>
      <c r="L140">
        <f t="shared" si="12"/>
        <v>23.380171541057365</v>
      </c>
      <c r="M140">
        <v>889</v>
      </c>
      <c r="N140" s="2">
        <f t="shared" si="17"/>
        <v>280.56205849268838</v>
      </c>
      <c r="O140">
        <v>12</v>
      </c>
    </row>
    <row r="141" spans="1:15" x14ac:dyDescent="0.25">
      <c r="A141" t="s">
        <v>46</v>
      </c>
      <c r="B141" t="s">
        <v>14</v>
      </c>
      <c r="C141" t="s">
        <v>28</v>
      </c>
      <c r="D141" t="str">
        <f t="shared" si="13"/>
        <v>FAB1_1L  Sel Des Deslactosada</v>
      </c>
      <c r="E141">
        <v>2024</v>
      </c>
      <c r="F141">
        <v>49</v>
      </c>
      <c r="G141">
        <f t="shared" si="14"/>
        <v>12</v>
      </c>
      <c r="H141" s="1">
        <f t="shared" si="15"/>
        <v>45628</v>
      </c>
      <c r="I141" s="1">
        <f t="shared" si="16"/>
        <v>45627</v>
      </c>
      <c r="J141">
        <v>294695.03999999998</v>
      </c>
      <c r="K141">
        <v>12540</v>
      </c>
      <c r="L141">
        <f t="shared" si="12"/>
        <v>23.500401913875596</v>
      </c>
      <c r="M141">
        <v>1045</v>
      </c>
      <c r="N141" s="2">
        <f t="shared" si="17"/>
        <v>282.00482296650716</v>
      </c>
      <c r="O141">
        <v>12</v>
      </c>
    </row>
    <row r="142" spans="1:15" x14ac:dyDescent="0.25">
      <c r="A142" t="s">
        <v>46</v>
      </c>
      <c r="B142" t="s">
        <v>14</v>
      </c>
      <c r="C142" t="s">
        <v>28</v>
      </c>
      <c r="D142" t="str">
        <f t="shared" si="13"/>
        <v>FAB1_1L  Sel Des Deslactosada</v>
      </c>
      <c r="E142">
        <v>2024</v>
      </c>
      <c r="F142">
        <v>50</v>
      </c>
      <c r="G142">
        <f t="shared" si="14"/>
        <v>12</v>
      </c>
      <c r="H142" s="1">
        <f t="shared" si="15"/>
        <v>45635</v>
      </c>
      <c r="I142" s="1">
        <f t="shared" si="16"/>
        <v>45627</v>
      </c>
      <c r="J142">
        <v>292562.96999999997</v>
      </c>
      <c r="K142">
        <v>12432</v>
      </c>
      <c r="L142">
        <f t="shared" si="12"/>
        <v>23.533057432432429</v>
      </c>
      <c r="M142">
        <v>1036</v>
      </c>
      <c r="N142" s="2">
        <f t="shared" si="17"/>
        <v>282.39668918918915</v>
      </c>
      <c r="O142">
        <v>12</v>
      </c>
    </row>
    <row r="143" spans="1:15" x14ac:dyDescent="0.25">
      <c r="A143" t="s">
        <v>46</v>
      </c>
      <c r="B143" t="s">
        <v>14</v>
      </c>
      <c r="C143" t="s">
        <v>28</v>
      </c>
      <c r="D143" t="str">
        <f t="shared" si="13"/>
        <v>FAB1_1L  Sel Des Deslactosada</v>
      </c>
      <c r="E143">
        <v>2024</v>
      </c>
      <c r="F143">
        <v>51</v>
      </c>
      <c r="G143">
        <f t="shared" si="14"/>
        <v>12</v>
      </c>
      <c r="H143" s="1">
        <f t="shared" si="15"/>
        <v>45642</v>
      </c>
      <c r="I143" s="1">
        <f t="shared" si="16"/>
        <v>45627</v>
      </c>
      <c r="J143">
        <v>294793.7099999999</v>
      </c>
      <c r="K143">
        <v>12408</v>
      </c>
      <c r="L143">
        <f t="shared" si="12"/>
        <v>23.758358317214693</v>
      </c>
      <c r="M143">
        <v>1034</v>
      </c>
      <c r="N143" s="2">
        <f t="shared" si="17"/>
        <v>285.10029980657629</v>
      </c>
      <c r="O143">
        <v>12</v>
      </c>
    </row>
    <row r="144" spans="1:15" x14ac:dyDescent="0.25">
      <c r="A144" t="s">
        <v>46</v>
      </c>
      <c r="B144" t="s">
        <v>14</v>
      </c>
      <c r="C144" t="s">
        <v>28</v>
      </c>
      <c r="D144" t="str">
        <f t="shared" si="13"/>
        <v>FAB1_1L  Sel Des Deslactosada</v>
      </c>
      <c r="E144">
        <v>2024</v>
      </c>
      <c r="F144">
        <v>52</v>
      </c>
      <c r="G144">
        <f t="shared" si="14"/>
        <v>12</v>
      </c>
      <c r="H144" s="1">
        <f t="shared" si="15"/>
        <v>45649</v>
      </c>
      <c r="I144" s="1">
        <f t="shared" si="16"/>
        <v>45627</v>
      </c>
      <c r="J144">
        <v>246850.78999999992</v>
      </c>
      <c r="K144">
        <v>10476</v>
      </c>
      <c r="L144">
        <f t="shared" si="12"/>
        <v>23.563458381061466</v>
      </c>
      <c r="M144">
        <v>873</v>
      </c>
      <c r="N144" s="2">
        <f t="shared" si="17"/>
        <v>282.76150057273759</v>
      </c>
      <c r="O144">
        <v>12</v>
      </c>
    </row>
    <row r="145" spans="1:15" x14ac:dyDescent="0.25">
      <c r="A145" t="s">
        <v>46</v>
      </c>
      <c r="B145" t="s">
        <v>14</v>
      </c>
      <c r="C145" t="s">
        <v>28</v>
      </c>
      <c r="D145" t="str">
        <f t="shared" si="13"/>
        <v>FAB1_1L  Sel Des Deslactosada</v>
      </c>
      <c r="E145">
        <v>2025</v>
      </c>
      <c r="F145">
        <v>1</v>
      </c>
      <c r="G145">
        <f t="shared" si="14"/>
        <v>1</v>
      </c>
      <c r="H145" s="1">
        <f t="shared" si="15"/>
        <v>45656</v>
      </c>
      <c r="I145" s="1">
        <f t="shared" si="16"/>
        <v>45658</v>
      </c>
      <c r="J145">
        <v>309309.42999999988</v>
      </c>
      <c r="K145">
        <v>13188</v>
      </c>
      <c r="L145">
        <f t="shared" si="12"/>
        <v>23.453854261449795</v>
      </c>
      <c r="M145">
        <v>1099</v>
      </c>
      <c r="N145" s="2">
        <f t="shared" si="17"/>
        <v>281.4462511373975</v>
      </c>
      <c r="O145">
        <v>12</v>
      </c>
    </row>
    <row r="146" spans="1:15" x14ac:dyDescent="0.25">
      <c r="A146" t="s">
        <v>46</v>
      </c>
      <c r="B146" t="s">
        <v>14</v>
      </c>
      <c r="C146" t="s">
        <v>28</v>
      </c>
      <c r="D146" t="str">
        <f t="shared" si="13"/>
        <v>FAB1_1L  Sel Des Deslactosada</v>
      </c>
      <c r="E146">
        <v>2025</v>
      </c>
      <c r="F146">
        <v>2</v>
      </c>
      <c r="G146">
        <f t="shared" si="14"/>
        <v>1</v>
      </c>
      <c r="H146" s="1">
        <f t="shared" si="15"/>
        <v>45663</v>
      </c>
      <c r="I146" s="1">
        <f t="shared" si="16"/>
        <v>45658</v>
      </c>
      <c r="J146">
        <v>288331.06999999989</v>
      </c>
      <c r="K146">
        <v>12324</v>
      </c>
      <c r="L146">
        <f t="shared" si="12"/>
        <v>23.395899870172013</v>
      </c>
      <c r="M146">
        <v>1027</v>
      </c>
      <c r="N146" s="2">
        <f t="shared" si="17"/>
        <v>280.75079844206414</v>
      </c>
      <c r="O146">
        <v>12</v>
      </c>
    </row>
    <row r="147" spans="1:15" x14ac:dyDescent="0.25">
      <c r="A147" t="s">
        <v>46</v>
      </c>
      <c r="B147" t="s">
        <v>14</v>
      </c>
      <c r="C147" t="s">
        <v>28</v>
      </c>
      <c r="D147" t="str">
        <f t="shared" si="13"/>
        <v>FAB1_1L  Sel Des Deslactosada</v>
      </c>
      <c r="E147">
        <v>2025</v>
      </c>
      <c r="F147">
        <v>3</v>
      </c>
      <c r="G147">
        <f t="shared" si="14"/>
        <v>1</v>
      </c>
      <c r="H147" s="1">
        <f t="shared" si="15"/>
        <v>45670</v>
      </c>
      <c r="I147" s="1">
        <f t="shared" si="16"/>
        <v>45658</v>
      </c>
      <c r="J147">
        <v>293076.8299999999</v>
      </c>
      <c r="K147">
        <v>12660</v>
      </c>
      <c r="L147">
        <f t="shared" si="12"/>
        <v>23.149828593996833</v>
      </c>
      <c r="M147">
        <v>1055</v>
      </c>
      <c r="N147" s="2">
        <f t="shared" si="17"/>
        <v>277.79794312796201</v>
      </c>
      <c r="O147">
        <v>12</v>
      </c>
    </row>
    <row r="148" spans="1:15" x14ac:dyDescent="0.25">
      <c r="A148" t="s">
        <v>46</v>
      </c>
      <c r="B148" t="s">
        <v>14</v>
      </c>
      <c r="C148" t="s">
        <v>28</v>
      </c>
      <c r="D148" t="str">
        <f t="shared" si="13"/>
        <v>FAB1_1L  Sel Des Deslactosada</v>
      </c>
      <c r="E148">
        <v>2025</v>
      </c>
      <c r="F148">
        <v>4</v>
      </c>
      <c r="G148">
        <f t="shared" si="14"/>
        <v>1</v>
      </c>
      <c r="H148" s="1">
        <f t="shared" si="15"/>
        <v>45677</v>
      </c>
      <c r="I148" s="1">
        <f t="shared" si="16"/>
        <v>45658</v>
      </c>
      <c r="J148">
        <v>296914.41999999987</v>
      </c>
      <c r="K148">
        <v>12804</v>
      </c>
      <c r="L148">
        <f t="shared" si="12"/>
        <v>23.189192439862534</v>
      </c>
      <c r="M148">
        <v>1067</v>
      </c>
      <c r="N148" s="2">
        <f t="shared" si="17"/>
        <v>278.2703092783504</v>
      </c>
      <c r="O148">
        <v>12</v>
      </c>
    </row>
    <row r="149" spans="1:15" x14ac:dyDescent="0.25">
      <c r="A149" t="s">
        <v>46</v>
      </c>
      <c r="B149" t="s">
        <v>14</v>
      </c>
      <c r="C149" t="s">
        <v>28</v>
      </c>
      <c r="D149" t="str">
        <f t="shared" si="13"/>
        <v>FAB1_1L  Sel Des Deslactosada</v>
      </c>
      <c r="E149">
        <v>2025</v>
      </c>
      <c r="F149">
        <v>5</v>
      </c>
      <c r="G149">
        <f t="shared" si="14"/>
        <v>1</v>
      </c>
      <c r="H149" s="1">
        <f t="shared" si="15"/>
        <v>45684</v>
      </c>
      <c r="I149" s="1">
        <f t="shared" si="16"/>
        <v>45658</v>
      </c>
      <c r="J149">
        <v>314203.91000000003</v>
      </c>
      <c r="K149">
        <v>13380</v>
      </c>
      <c r="L149">
        <f t="shared" si="12"/>
        <v>23.483102391629298</v>
      </c>
      <c r="M149">
        <v>1115</v>
      </c>
      <c r="N149" s="2">
        <f t="shared" si="17"/>
        <v>281.79722869955162</v>
      </c>
      <c r="O149">
        <v>12</v>
      </c>
    </row>
    <row r="150" spans="1:15" x14ac:dyDescent="0.25">
      <c r="A150" t="s">
        <v>46</v>
      </c>
      <c r="B150" t="s">
        <v>14</v>
      </c>
      <c r="C150" t="s">
        <v>28</v>
      </c>
      <c r="D150" t="str">
        <f t="shared" si="13"/>
        <v>FAB1_1L  Sel Des Deslactosada</v>
      </c>
      <c r="E150">
        <v>2025</v>
      </c>
      <c r="F150">
        <v>6</v>
      </c>
      <c r="G150">
        <f t="shared" si="14"/>
        <v>2</v>
      </c>
      <c r="H150" s="1">
        <f t="shared" si="15"/>
        <v>45691</v>
      </c>
      <c r="I150" s="1">
        <f t="shared" si="16"/>
        <v>45689</v>
      </c>
      <c r="J150">
        <v>311760.56</v>
      </c>
      <c r="K150">
        <v>12972</v>
      </c>
      <c r="L150">
        <f t="shared" si="12"/>
        <v>24.033345667591735</v>
      </c>
      <c r="M150">
        <v>1081</v>
      </c>
      <c r="N150" s="2">
        <f t="shared" si="17"/>
        <v>288.40014801110084</v>
      </c>
      <c r="O150">
        <v>12</v>
      </c>
    </row>
    <row r="151" spans="1:15" x14ac:dyDescent="0.25">
      <c r="A151" t="s">
        <v>46</v>
      </c>
      <c r="B151" t="s">
        <v>14</v>
      </c>
      <c r="C151" t="s">
        <v>28</v>
      </c>
      <c r="D151" t="str">
        <f t="shared" si="13"/>
        <v>FAB1_1L  Sel Des Deslactosada</v>
      </c>
      <c r="E151">
        <v>2025</v>
      </c>
      <c r="F151">
        <v>7</v>
      </c>
      <c r="G151">
        <f t="shared" si="14"/>
        <v>2</v>
      </c>
      <c r="H151" s="1">
        <f t="shared" si="15"/>
        <v>45698</v>
      </c>
      <c r="I151" s="1">
        <f t="shared" si="16"/>
        <v>45689</v>
      </c>
      <c r="J151">
        <v>300191.36999999994</v>
      </c>
      <c r="K151">
        <v>12540</v>
      </c>
      <c r="L151">
        <f t="shared" si="12"/>
        <v>23.938705741626791</v>
      </c>
      <c r="M151">
        <v>1045</v>
      </c>
      <c r="N151" s="2">
        <f t="shared" si="17"/>
        <v>287.26446889952149</v>
      </c>
      <c r="O151">
        <v>12</v>
      </c>
    </row>
    <row r="152" spans="1:15" x14ac:dyDescent="0.25">
      <c r="A152" t="s">
        <v>46</v>
      </c>
      <c r="B152" t="s">
        <v>14</v>
      </c>
      <c r="C152" t="s">
        <v>28</v>
      </c>
      <c r="D152" t="str">
        <f t="shared" si="13"/>
        <v>FAB1_1L  Sel Des Deslactosada</v>
      </c>
      <c r="E152">
        <v>2025</v>
      </c>
      <c r="F152">
        <v>8</v>
      </c>
      <c r="G152">
        <f t="shared" si="14"/>
        <v>2</v>
      </c>
      <c r="H152" s="1">
        <f t="shared" si="15"/>
        <v>45705</v>
      </c>
      <c r="I152" s="1">
        <f t="shared" si="16"/>
        <v>45689</v>
      </c>
      <c r="J152">
        <v>259632.58000000005</v>
      </c>
      <c r="K152">
        <v>10788</v>
      </c>
      <c r="L152">
        <f t="shared" si="12"/>
        <v>24.066794586577682</v>
      </c>
      <c r="M152">
        <v>899</v>
      </c>
      <c r="N152" s="2">
        <f t="shared" si="17"/>
        <v>288.80153503893217</v>
      </c>
      <c r="O152">
        <v>12</v>
      </c>
    </row>
    <row r="153" spans="1:15" x14ac:dyDescent="0.25">
      <c r="A153" t="s">
        <v>46</v>
      </c>
      <c r="B153" t="s">
        <v>14</v>
      </c>
      <c r="C153" t="s">
        <v>28</v>
      </c>
      <c r="D153" t="str">
        <f t="shared" si="13"/>
        <v>FAB1_1L  Sel Des Deslactosada</v>
      </c>
      <c r="E153">
        <v>2025</v>
      </c>
      <c r="F153">
        <v>9</v>
      </c>
      <c r="G153">
        <f t="shared" si="14"/>
        <v>2</v>
      </c>
      <c r="H153" s="1">
        <f t="shared" si="15"/>
        <v>45712</v>
      </c>
      <c r="I153" s="1">
        <f t="shared" si="16"/>
        <v>45689</v>
      </c>
      <c r="J153">
        <v>253877.64999999994</v>
      </c>
      <c r="K153">
        <v>10584</v>
      </c>
      <c r="L153">
        <f t="shared" si="12"/>
        <v>23.98692838246409</v>
      </c>
      <c r="M153">
        <v>882</v>
      </c>
      <c r="N153" s="2">
        <f t="shared" si="17"/>
        <v>287.84314058956909</v>
      </c>
      <c r="O153">
        <v>12</v>
      </c>
    </row>
    <row r="154" spans="1:15" x14ac:dyDescent="0.25">
      <c r="A154" t="s">
        <v>46</v>
      </c>
      <c r="B154" t="s">
        <v>14</v>
      </c>
      <c r="C154" t="s">
        <v>28</v>
      </c>
      <c r="D154" t="str">
        <f t="shared" si="13"/>
        <v>FAB1_1L  Sel Des Deslactosada</v>
      </c>
      <c r="E154">
        <v>2025</v>
      </c>
      <c r="F154">
        <v>10</v>
      </c>
      <c r="G154">
        <f t="shared" si="14"/>
        <v>3</v>
      </c>
      <c r="H154" s="1">
        <f t="shared" si="15"/>
        <v>45719</v>
      </c>
      <c r="I154" s="1">
        <f t="shared" si="16"/>
        <v>45717</v>
      </c>
      <c r="J154">
        <v>215286.90000000002</v>
      </c>
      <c r="K154">
        <v>8460</v>
      </c>
      <c r="L154">
        <f t="shared" si="12"/>
        <v>25.447624113475179</v>
      </c>
      <c r="M154">
        <v>705</v>
      </c>
      <c r="N154" s="2">
        <f t="shared" si="17"/>
        <v>305.37148936170217</v>
      </c>
      <c r="O154">
        <v>12</v>
      </c>
    </row>
    <row r="155" spans="1:15" x14ac:dyDescent="0.25">
      <c r="A155" t="s">
        <v>46</v>
      </c>
      <c r="B155" t="s">
        <v>14</v>
      </c>
      <c r="C155" t="s">
        <v>28</v>
      </c>
      <c r="D155" t="str">
        <f t="shared" si="13"/>
        <v>FAB1_1L  Sel Des Deslactosada</v>
      </c>
      <c r="E155">
        <v>2025</v>
      </c>
      <c r="F155">
        <v>11</v>
      </c>
      <c r="G155">
        <f t="shared" si="14"/>
        <v>3</v>
      </c>
      <c r="H155" s="1">
        <f t="shared" si="15"/>
        <v>45726</v>
      </c>
      <c r="I155" s="1">
        <f t="shared" si="16"/>
        <v>45717</v>
      </c>
      <c r="J155">
        <v>186804.30999999997</v>
      </c>
      <c r="K155">
        <v>7488</v>
      </c>
      <c r="L155">
        <f t="shared" si="12"/>
        <v>24.947156784188032</v>
      </c>
      <c r="M155">
        <v>624</v>
      </c>
      <c r="N155" s="2">
        <f t="shared" si="17"/>
        <v>299.36588141025635</v>
      </c>
      <c r="O155">
        <v>12</v>
      </c>
    </row>
    <row r="156" spans="1:15" x14ac:dyDescent="0.25">
      <c r="A156" t="s">
        <v>46</v>
      </c>
      <c r="B156" t="s">
        <v>14</v>
      </c>
      <c r="C156" t="s">
        <v>28</v>
      </c>
      <c r="D156" t="str">
        <f t="shared" si="13"/>
        <v>FAB1_1L  Sel Des Deslactosada</v>
      </c>
      <c r="E156">
        <v>2025</v>
      </c>
      <c r="F156">
        <v>12</v>
      </c>
      <c r="G156">
        <f t="shared" si="14"/>
        <v>3</v>
      </c>
      <c r="H156" s="1">
        <f t="shared" si="15"/>
        <v>45733</v>
      </c>
      <c r="I156" s="1">
        <f t="shared" si="16"/>
        <v>45717</v>
      </c>
      <c r="J156">
        <v>238082.48000000004</v>
      </c>
      <c r="K156">
        <v>9576</v>
      </c>
      <c r="L156">
        <f t="shared" si="12"/>
        <v>24.862414369256477</v>
      </c>
      <c r="M156">
        <v>798</v>
      </c>
      <c r="N156" s="2">
        <f t="shared" si="17"/>
        <v>298.34897243107775</v>
      </c>
      <c r="O156">
        <v>12</v>
      </c>
    </row>
    <row r="157" spans="1:15" x14ac:dyDescent="0.25">
      <c r="A157" t="s">
        <v>46</v>
      </c>
      <c r="B157" t="s">
        <v>14</v>
      </c>
      <c r="C157" t="s">
        <v>28</v>
      </c>
      <c r="D157" t="str">
        <f t="shared" si="13"/>
        <v>FAB1_1L  Sel Des Deslactosada</v>
      </c>
      <c r="E157">
        <v>2025</v>
      </c>
      <c r="F157">
        <v>13</v>
      </c>
      <c r="G157">
        <f t="shared" si="14"/>
        <v>3</v>
      </c>
      <c r="H157" s="1">
        <f t="shared" si="15"/>
        <v>45740</v>
      </c>
      <c r="I157" s="1">
        <f t="shared" si="16"/>
        <v>45717</v>
      </c>
      <c r="J157">
        <v>198177.15999999997</v>
      </c>
      <c r="K157">
        <v>7920</v>
      </c>
      <c r="L157">
        <f t="shared" si="12"/>
        <v>25.022368686868685</v>
      </c>
      <c r="M157">
        <v>660</v>
      </c>
      <c r="N157" s="2">
        <f t="shared" si="17"/>
        <v>300.2684242424242</v>
      </c>
      <c r="O157">
        <v>12</v>
      </c>
    </row>
    <row r="158" spans="1:15" x14ac:dyDescent="0.25">
      <c r="A158" t="s">
        <v>46</v>
      </c>
      <c r="B158" t="s">
        <v>14</v>
      </c>
      <c r="C158" t="s">
        <v>28</v>
      </c>
      <c r="D158" t="str">
        <f t="shared" si="13"/>
        <v>FAB1_1L  Sel Des Deslactosada</v>
      </c>
      <c r="E158">
        <v>2025</v>
      </c>
      <c r="F158">
        <v>14</v>
      </c>
      <c r="G158">
        <f t="shared" si="14"/>
        <v>4</v>
      </c>
      <c r="H158" s="1">
        <f t="shared" si="15"/>
        <v>45747</v>
      </c>
      <c r="I158" s="1">
        <f t="shared" si="16"/>
        <v>45748</v>
      </c>
      <c r="J158">
        <v>249179.34000000003</v>
      </c>
      <c r="K158">
        <v>9756</v>
      </c>
      <c r="L158">
        <f t="shared" si="12"/>
        <v>25.541137761377616</v>
      </c>
      <c r="M158">
        <v>813</v>
      </c>
      <c r="N158" s="2">
        <f t="shared" si="17"/>
        <v>306.49365313653141</v>
      </c>
      <c r="O158">
        <v>12</v>
      </c>
    </row>
    <row r="159" spans="1:15" x14ac:dyDescent="0.25">
      <c r="A159" t="s">
        <v>46</v>
      </c>
      <c r="B159" t="s">
        <v>14</v>
      </c>
      <c r="C159" t="s">
        <v>28</v>
      </c>
      <c r="D159" t="str">
        <f t="shared" si="13"/>
        <v>FAB1_1L  Sel Des Deslactosada</v>
      </c>
      <c r="E159">
        <v>2025</v>
      </c>
      <c r="F159">
        <v>15</v>
      </c>
      <c r="G159">
        <f t="shared" si="14"/>
        <v>4</v>
      </c>
      <c r="H159" s="1">
        <f t="shared" si="15"/>
        <v>45754</v>
      </c>
      <c r="I159" s="1">
        <f t="shared" si="16"/>
        <v>45748</v>
      </c>
      <c r="J159">
        <v>183754.96000000002</v>
      </c>
      <c r="K159">
        <v>6972</v>
      </c>
      <c r="L159">
        <f t="shared" si="12"/>
        <v>26.356133103843952</v>
      </c>
      <c r="M159">
        <v>581</v>
      </c>
      <c r="N159" s="2">
        <f t="shared" si="17"/>
        <v>316.27359724612739</v>
      </c>
      <c r="O159">
        <v>12</v>
      </c>
    </row>
    <row r="160" spans="1:15" x14ac:dyDescent="0.25">
      <c r="A160" t="s">
        <v>46</v>
      </c>
      <c r="B160" t="s">
        <v>14</v>
      </c>
      <c r="C160" t="s">
        <v>28</v>
      </c>
      <c r="D160" t="str">
        <f t="shared" si="13"/>
        <v>FAB1_1L  Sel Des Deslactosada</v>
      </c>
      <c r="E160">
        <v>2025</v>
      </c>
      <c r="F160">
        <v>16</v>
      </c>
      <c r="G160">
        <f t="shared" si="14"/>
        <v>4</v>
      </c>
      <c r="H160" s="1">
        <f t="shared" si="15"/>
        <v>45761</v>
      </c>
      <c r="I160" s="1">
        <f t="shared" si="16"/>
        <v>45748</v>
      </c>
      <c r="J160">
        <v>228031.89999999994</v>
      </c>
      <c r="K160">
        <v>8688</v>
      </c>
      <c r="L160">
        <f t="shared" si="12"/>
        <v>26.246765653775316</v>
      </c>
      <c r="M160">
        <v>724</v>
      </c>
      <c r="N160" s="2">
        <f t="shared" si="17"/>
        <v>314.96118784530375</v>
      </c>
      <c r="O160">
        <v>12</v>
      </c>
    </row>
    <row r="161" spans="1:15" x14ac:dyDescent="0.25">
      <c r="A161" t="s">
        <v>46</v>
      </c>
      <c r="B161" t="s">
        <v>14</v>
      </c>
      <c r="C161" t="s">
        <v>28</v>
      </c>
      <c r="D161" t="str">
        <f t="shared" si="13"/>
        <v>FAB1_1L  Sel Des Deslactosada</v>
      </c>
      <c r="E161">
        <v>2025</v>
      </c>
      <c r="F161">
        <v>17</v>
      </c>
      <c r="G161">
        <f t="shared" si="14"/>
        <v>4</v>
      </c>
      <c r="H161" s="1">
        <f t="shared" si="15"/>
        <v>45768</v>
      </c>
      <c r="I161" s="1">
        <f t="shared" si="16"/>
        <v>45748</v>
      </c>
      <c r="J161">
        <v>194064.97999999995</v>
      </c>
      <c r="K161">
        <v>7416</v>
      </c>
      <c r="L161">
        <f t="shared" si="12"/>
        <v>26.168416936353822</v>
      </c>
      <c r="M161">
        <v>618</v>
      </c>
      <c r="N161" s="2">
        <f t="shared" si="17"/>
        <v>314.02100323624586</v>
      </c>
      <c r="O161">
        <v>12</v>
      </c>
    </row>
    <row r="162" spans="1:15" x14ac:dyDescent="0.25">
      <c r="A162" t="s">
        <v>46</v>
      </c>
      <c r="B162" t="s">
        <v>14</v>
      </c>
      <c r="C162" t="s">
        <v>28</v>
      </c>
      <c r="D162" t="str">
        <f t="shared" si="13"/>
        <v>FAB1_1L  Sel Des Deslactosada</v>
      </c>
      <c r="E162">
        <v>2025</v>
      </c>
      <c r="F162">
        <v>18</v>
      </c>
      <c r="G162">
        <f t="shared" si="14"/>
        <v>5</v>
      </c>
      <c r="H162" s="1">
        <f t="shared" si="15"/>
        <v>45775</v>
      </c>
      <c r="I162" s="1">
        <f t="shared" si="16"/>
        <v>45778</v>
      </c>
      <c r="J162">
        <v>286693.88999999972</v>
      </c>
      <c r="K162">
        <v>11712</v>
      </c>
      <c r="L162">
        <f t="shared" si="12"/>
        <v>24.478644979508172</v>
      </c>
      <c r="M162">
        <v>976</v>
      </c>
      <c r="N162" s="2">
        <f t="shared" si="17"/>
        <v>293.7437397540981</v>
      </c>
      <c r="O162">
        <v>12</v>
      </c>
    </row>
    <row r="163" spans="1:15" x14ac:dyDescent="0.25">
      <c r="A163" t="s">
        <v>46</v>
      </c>
      <c r="B163" t="s">
        <v>14</v>
      </c>
      <c r="C163" t="s">
        <v>28</v>
      </c>
      <c r="D163" t="str">
        <f t="shared" si="13"/>
        <v>FAB1_1L  Sel Des Deslactosada</v>
      </c>
      <c r="E163">
        <v>2025</v>
      </c>
      <c r="F163">
        <v>19</v>
      </c>
      <c r="G163">
        <f t="shared" si="14"/>
        <v>5</v>
      </c>
      <c r="H163" s="1">
        <f t="shared" si="15"/>
        <v>45782</v>
      </c>
      <c r="I163" s="1">
        <f t="shared" si="16"/>
        <v>45778</v>
      </c>
      <c r="J163">
        <v>282240.09999999992</v>
      </c>
      <c r="K163">
        <v>11424</v>
      </c>
      <c r="L163">
        <f t="shared" si="12"/>
        <v>24.705891106442571</v>
      </c>
      <c r="M163">
        <v>952</v>
      </c>
      <c r="N163" s="2">
        <f t="shared" si="17"/>
        <v>296.47069327731083</v>
      </c>
      <c r="O163">
        <v>12</v>
      </c>
    </row>
    <row r="164" spans="1:15" x14ac:dyDescent="0.25">
      <c r="A164" t="s">
        <v>46</v>
      </c>
      <c r="B164" t="s">
        <v>14</v>
      </c>
      <c r="C164" t="s">
        <v>28</v>
      </c>
      <c r="D164" t="str">
        <f t="shared" si="13"/>
        <v>FAB1_1L  Sel Des Deslactosada</v>
      </c>
      <c r="E164">
        <v>2025</v>
      </c>
      <c r="F164">
        <v>20</v>
      </c>
      <c r="G164">
        <f t="shared" si="14"/>
        <v>5</v>
      </c>
      <c r="H164" s="1">
        <f t="shared" si="15"/>
        <v>45789</v>
      </c>
      <c r="I164" s="1">
        <f t="shared" si="16"/>
        <v>45778</v>
      </c>
      <c r="J164">
        <v>204881.19999999998</v>
      </c>
      <c r="K164">
        <v>8184</v>
      </c>
      <c r="L164">
        <f t="shared" si="12"/>
        <v>25.034359726295207</v>
      </c>
      <c r="M164">
        <v>682</v>
      </c>
      <c r="N164" s="2">
        <f t="shared" si="17"/>
        <v>300.41231671554249</v>
      </c>
      <c r="O164">
        <v>12</v>
      </c>
    </row>
    <row r="165" spans="1:15" x14ac:dyDescent="0.25">
      <c r="A165" t="s">
        <v>46</v>
      </c>
      <c r="B165" t="s">
        <v>14</v>
      </c>
      <c r="C165" t="s">
        <v>28</v>
      </c>
      <c r="D165" t="str">
        <f t="shared" si="13"/>
        <v>FAB1_1L  Sel Des Deslactosada</v>
      </c>
      <c r="E165">
        <v>2025</v>
      </c>
      <c r="F165">
        <v>21</v>
      </c>
      <c r="G165">
        <f t="shared" si="14"/>
        <v>5</v>
      </c>
      <c r="H165" s="1">
        <f t="shared" si="15"/>
        <v>45796</v>
      </c>
      <c r="I165" s="1">
        <f t="shared" si="16"/>
        <v>45778</v>
      </c>
      <c r="J165">
        <v>183968.85</v>
      </c>
      <c r="K165">
        <v>7380</v>
      </c>
      <c r="L165">
        <f t="shared" si="12"/>
        <v>24.928028455284554</v>
      </c>
      <c r="M165">
        <v>615</v>
      </c>
      <c r="N165" s="2">
        <f t="shared" si="17"/>
        <v>299.13634146341462</v>
      </c>
      <c r="O165">
        <v>12</v>
      </c>
    </row>
    <row r="166" spans="1:15" x14ac:dyDescent="0.25">
      <c r="A166" t="s">
        <v>46</v>
      </c>
      <c r="B166" t="s">
        <v>14</v>
      </c>
      <c r="C166" t="s">
        <v>28</v>
      </c>
      <c r="D166" t="str">
        <f t="shared" si="13"/>
        <v>FAB1_1L  Sel Des Deslactosada</v>
      </c>
      <c r="E166">
        <v>2025</v>
      </c>
      <c r="F166">
        <v>22</v>
      </c>
      <c r="G166">
        <f t="shared" si="14"/>
        <v>5</v>
      </c>
      <c r="H166" s="1">
        <f t="shared" si="15"/>
        <v>45803</v>
      </c>
      <c r="I166" s="1">
        <f t="shared" si="16"/>
        <v>45778</v>
      </c>
      <c r="J166">
        <v>188035.96</v>
      </c>
      <c r="K166">
        <v>7380</v>
      </c>
      <c r="L166">
        <f t="shared" si="12"/>
        <v>25.479127371273712</v>
      </c>
      <c r="M166">
        <v>615</v>
      </c>
      <c r="N166" s="2">
        <f t="shared" si="17"/>
        <v>305.74952845528452</v>
      </c>
      <c r="O166">
        <v>12</v>
      </c>
    </row>
    <row r="167" spans="1:15" x14ac:dyDescent="0.25">
      <c r="A167" t="s">
        <v>46</v>
      </c>
      <c r="B167" t="s">
        <v>14</v>
      </c>
      <c r="C167" t="s">
        <v>28</v>
      </c>
      <c r="D167" t="str">
        <f t="shared" si="13"/>
        <v>FAB1_1L  Sel Des Deslactosada</v>
      </c>
      <c r="E167">
        <v>2025</v>
      </c>
      <c r="F167">
        <v>23</v>
      </c>
      <c r="G167">
        <f t="shared" si="14"/>
        <v>6</v>
      </c>
      <c r="H167" s="1">
        <f t="shared" si="15"/>
        <v>45810</v>
      </c>
      <c r="I167" s="1">
        <f t="shared" si="16"/>
        <v>45809</v>
      </c>
      <c r="J167">
        <v>235901.67000000004</v>
      </c>
      <c r="K167">
        <v>8988</v>
      </c>
      <c r="L167">
        <f t="shared" si="12"/>
        <v>26.246291722296402</v>
      </c>
      <c r="M167">
        <v>749</v>
      </c>
      <c r="N167" s="2">
        <f t="shared" si="17"/>
        <v>314.95550066755681</v>
      </c>
      <c r="O167">
        <v>12</v>
      </c>
    </row>
    <row r="168" spans="1:15" x14ac:dyDescent="0.25">
      <c r="A168" t="s">
        <v>46</v>
      </c>
      <c r="B168" t="s">
        <v>14</v>
      </c>
      <c r="C168" t="s">
        <v>28</v>
      </c>
      <c r="D168" t="str">
        <f t="shared" si="13"/>
        <v>FAB1_1L  Sel Des Deslactosada</v>
      </c>
      <c r="E168">
        <v>2025</v>
      </c>
      <c r="F168">
        <v>24</v>
      </c>
      <c r="G168">
        <f t="shared" si="14"/>
        <v>6</v>
      </c>
      <c r="H168" s="1">
        <f t="shared" si="15"/>
        <v>45817</v>
      </c>
      <c r="I168" s="1">
        <f t="shared" si="16"/>
        <v>45809</v>
      </c>
      <c r="J168">
        <v>190194.25000000003</v>
      </c>
      <c r="K168">
        <v>7236</v>
      </c>
      <c r="L168">
        <f t="shared" si="12"/>
        <v>26.284445826423443</v>
      </c>
      <c r="M168">
        <v>603</v>
      </c>
      <c r="N168" s="2">
        <f t="shared" si="17"/>
        <v>315.41334991708129</v>
      </c>
      <c r="O168">
        <v>12</v>
      </c>
    </row>
    <row r="169" spans="1:15" x14ac:dyDescent="0.25">
      <c r="A169" t="s">
        <v>46</v>
      </c>
      <c r="B169" t="s">
        <v>14</v>
      </c>
      <c r="C169" t="s">
        <v>28</v>
      </c>
      <c r="D169" t="str">
        <f t="shared" si="13"/>
        <v>FAB1_1L  Sel Des Deslactosada</v>
      </c>
      <c r="E169">
        <v>2025</v>
      </c>
      <c r="F169">
        <v>25</v>
      </c>
      <c r="G169">
        <f t="shared" si="14"/>
        <v>6</v>
      </c>
      <c r="H169" s="1">
        <f t="shared" si="15"/>
        <v>45824</v>
      </c>
      <c r="I169" s="1">
        <f t="shared" si="16"/>
        <v>45809</v>
      </c>
      <c r="J169">
        <v>191692.53999999998</v>
      </c>
      <c r="K169">
        <v>7284</v>
      </c>
      <c r="L169">
        <f t="shared" si="12"/>
        <v>26.316933003844039</v>
      </c>
      <c r="M169">
        <v>607</v>
      </c>
      <c r="N169" s="2">
        <f t="shared" si="17"/>
        <v>315.80319604612845</v>
      </c>
      <c r="O169">
        <v>12</v>
      </c>
    </row>
    <row r="170" spans="1:15" x14ac:dyDescent="0.25">
      <c r="A170" t="s">
        <v>46</v>
      </c>
      <c r="B170" t="s">
        <v>14</v>
      </c>
      <c r="C170" t="s">
        <v>28</v>
      </c>
      <c r="D170" t="str">
        <f t="shared" si="13"/>
        <v>FAB1_1L  Sel Des Deslactosada</v>
      </c>
      <c r="E170">
        <v>2025</v>
      </c>
      <c r="F170">
        <v>26</v>
      </c>
      <c r="G170">
        <f t="shared" si="14"/>
        <v>6</v>
      </c>
      <c r="H170" s="1">
        <f t="shared" si="15"/>
        <v>45831</v>
      </c>
      <c r="I170" s="1">
        <f t="shared" si="16"/>
        <v>45809</v>
      </c>
      <c r="J170">
        <v>168539.87999999998</v>
      </c>
      <c r="K170">
        <v>6396</v>
      </c>
      <c r="L170">
        <f t="shared" si="12"/>
        <v>26.350825515947463</v>
      </c>
      <c r="M170">
        <v>533</v>
      </c>
      <c r="N170" s="2">
        <f t="shared" si="17"/>
        <v>316.20990619136956</v>
      </c>
      <c r="O170">
        <v>12</v>
      </c>
    </row>
    <row r="171" spans="1:15" x14ac:dyDescent="0.25">
      <c r="A171" t="s">
        <v>46</v>
      </c>
      <c r="B171" t="s">
        <v>14</v>
      </c>
      <c r="C171" t="s">
        <v>28</v>
      </c>
      <c r="D171" t="str">
        <f t="shared" si="13"/>
        <v>FAB1_1L  Sel Des Deslactosada</v>
      </c>
      <c r="E171">
        <v>2025</v>
      </c>
      <c r="F171">
        <v>27</v>
      </c>
      <c r="G171">
        <f t="shared" si="14"/>
        <v>7</v>
      </c>
      <c r="H171" s="1">
        <f t="shared" si="15"/>
        <v>45838</v>
      </c>
      <c r="I171" s="1">
        <f t="shared" si="16"/>
        <v>45839</v>
      </c>
      <c r="J171">
        <v>214959.74999999997</v>
      </c>
      <c r="K171">
        <v>8424</v>
      </c>
      <c r="L171">
        <f t="shared" si="12"/>
        <v>25.517539173789171</v>
      </c>
      <c r="M171">
        <v>702</v>
      </c>
      <c r="N171" s="2">
        <f t="shared" si="17"/>
        <v>306.21047008547004</v>
      </c>
      <c r="O171">
        <v>12</v>
      </c>
    </row>
    <row r="172" spans="1:15" x14ac:dyDescent="0.25">
      <c r="A172" t="s">
        <v>46</v>
      </c>
      <c r="B172" t="s">
        <v>14</v>
      </c>
      <c r="C172" t="s">
        <v>28</v>
      </c>
      <c r="D172" t="str">
        <f t="shared" si="13"/>
        <v>FAB1_1L  Sel Des Deslactosada</v>
      </c>
      <c r="E172">
        <v>2025</v>
      </c>
      <c r="F172">
        <v>28</v>
      </c>
      <c r="G172">
        <f t="shared" si="14"/>
        <v>7</v>
      </c>
      <c r="H172" s="1">
        <f t="shared" si="15"/>
        <v>45845</v>
      </c>
      <c r="I172" s="1">
        <f t="shared" si="16"/>
        <v>45839</v>
      </c>
      <c r="J172">
        <v>198335.4599999999</v>
      </c>
      <c r="K172">
        <v>8304</v>
      </c>
      <c r="L172">
        <f t="shared" si="12"/>
        <v>23.884328034682071</v>
      </c>
      <c r="M172">
        <v>692</v>
      </c>
      <c r="N172" s="2">
        <f t="shared" si="17"/>
        <v>286.61193641618485</v>
      </c>
      <c r="O172">
        <v>12</v>
      </c>
    </row>
    <row r="173" spans="1:15" x14ac:dyDescent="0.25">
      <c r="A173" t="s">
        <v>46</v>
      </c>
      <c r="B173" t="s">
        <v>14</v>
      </c>
      <c r="C173" t="s">
        <v>28</v>
      </c>
      <c r="D173" t="str">
        <f t="shared" si="13"/>
        <v>FAB1_1L  Sel Des Deslactosada</v>
      </c>
      <c r="E173">
        <v>2025</v>
      </c>
      <c r="F173">
        <v>29</v>
      </c>
      <c r="G173">
        <f t="shared" si="14"/>
        <v>7</v>
      </c>
      <c r="H173" s="1">
        <f t="shared" si="15"/>
        <v>45852</v>
      </c>
      <c r="I173" s="1">
        <f t="shared" si="16"/>
        <v>45839</v>
      </c>
      <c r="J173">
        <v>206745.67</v>
      </c>
      <c r="K173">
        <v>8568</v>
      </c>
      <c r="L173">
        <f t="shared" si="12"/>
        <v>24.129980158730159</v>
      </c>
      <c r="M173">
        <v>714</v>
      </c>
      <c r="N173" s="2">
        <f t="shared" si="17"/>
        <v>289.5597619047619</v>
      </c>
      <c r="O173">
        <v>12</v>
      </c>
    </row>
    <row r="174" spans="1:15" x14ac:dyDescent="0.25">
      <c r="A174" t="s">
        <v>46</v>
      </c>
      <c r="B174" t="s">
        <v>14</v>
      </c>
      <c r="C174" t="s">
        <v>28</v>
      </c>
      <c r="D174" t="str">
        <f t="shared" si="13"/>
        <v>FAB1_1L  Sel Des Deslactosada</v>
      </c>
      <c r="E174">
        <v>2025</v>
      </c>
      <c r="F174">
        <v>30</v>
      </c>
      <c r="G174">
        <f t="shared" si="14"/>
        <v>7</v>
      </c>
      <c r="H174" s="1">
        <f t="shared" si="15"/>
        <v>45859</v>
      </c>
      <c r="I174" s="1">
        <f t="shared" si="16"/>
        <v>45839</v>
      </c>
      <c r="J174">
        <v>197326.00999999998</v>
      </c>
      <c r="K174">
        <v>8124</v>
      </c>
      <c r="L174">
        <f t="shared" si="12"/>
        <v>24.289267602166419</v>
      </c>
      <c r="M174">
        <v>677</v>
      </c>
      <c r="N174" s="2">
        <f t="shared" si="17"/>
        <v>291.47121122599702</v>
      </c>
      <c r="O174">
        <v>12</v>
      </c>
    </row>
    <row r="175" spans="1:15" x14ac:dyDescent="0.25">
      <c r="A175" t="s">
        <v>46</v>
      </c>
      <c r="B175" t="s">
        <v>14</v>
      </c>
      <c r="C175" t="s">
        <v>28</v>
      </c>
      <c r="D175" t="str">
        <f t="shared" si="13"/>
        <v>FAB1_1L  Sel Des Deslactosada</v>
      </c>
      <c r="E175">
        <v>2025</v>
      </c>
      <c r="F175">
        <v>31</v>
      </c>
      <c r="G175">
        <f t="shared" si="14"/>
        <v>7</v>
      </c>
      <c r="H175" s="1">
        <f t="shared" si="15"/>
        <v>45866</v>
      </c>
      <c r="I175" s="1">
        <f t="shared" si="16"/>
        <v>45839</v>
      </c>
      <c r="J175">
        <v>238945.77</v>
      </c>
      <c r="K175">
        <v>9852</v>
      </c>
      <c r="L175">
        <f t="shared" si="12"/>
        <v>24.253529232643118</v>
      </c>
      <c r="M175">
        <v>821</v>
      </c>
      <c r="N175" s="2">
        <f t="shared" si="17"/>
        <v>291.04235079171741</v>
      </c>
      <c r="O175">
        <v>12</v>
      </c>
    </row>
    <row r="176" spans="1:15" x14ac:dyDescent="0.25">
      <c r="A176" t="s">
        <v>46</v>
      </c>
      <c r="B176" t="s">
        <v>14</v>
      </c>
      <c r="C176" t="s">
        <v>29</v>
      </c>
      <c r="D176" t="str">
        <f t="shared" si="13"/>
        <v>FAB1_1L  Sele En Selecta Entera</v>
      </c>
      <c r="E176">
        <v>2022</v>
      </c>
      <c r="F176">
        <v>1</v>
      </c>
      <c r="G176">
        <f t="shared" si="14"/>
        <v>1</v>
      </c>
      <c r="H176" s="1">
        <f t="shared" si="15"/>
        <v>44564</v>
      </c>
      <c r="I176" s="1">
        <f t="shared" si="16"/>
        <v>44562</v>
      </c>
      <c r="J176">
        <v>403630</v>
      </c>
      <c r="K176">
        <v>20184</v>
      </c>
      <c r="L176">
        <f t="shared" si="12"/>
        <v>19.997522790328972</v>
      </c>
      <c r="M176">
        <v>1682</v>
      </c>
      <c r="N176" s="2">
        <f t="shared" si="17"/>
        <v>239.97027348394769</v>
      </c>
      <c r="O176">
        <v>12</v>
      </c>
    </row>
    <row r="177" spans="1:15" x14ac:dyDescent="0.25">
      <c r="A177" t="s">
        <v>46</v>
      </c>
      <c r="B177" t="s">
        <v>14</v>
      </c>
      <c r="C177" t="s">
        <v>29</v>
      </c>
      <c r="D177" t="str">
        <f t="shared" si="13"/>
        <v>FAB1_1L  Sele En Selecta Entera</v>
      </c>
      <c r="E177">
        <v>2022</v>
      </c>
      <c r="F177">
        <v>2</v>
      </c>
      <c r="G177">
        <f t="shared" si="14"/>
        <v>1</v>
      </c>
      <c r="H177" s="1">
        <f t="shared" si="15"/>
        <v>44571</v>
      </c>
      <c r="I177" s="1">
        <f t="shared" si="16"/>
        <v>44562</v>
      </c>
      <c r="J177">
        <v>306720</v>
      </c>
      <c r="K177">
        <v>15336</v>
      </c>
      <c r="L177">
        <f t="shared" si="12"/>
        <v>20</v>
      </c>
      <c r="M177">
        <v>1278</v>
      </c>
      <c r="N177" s="2">
        <f t="shared" si="17"/>
        <v>240</v>
      </c>
      <c r="O177">
        <v>12</v>
      </c>
    </row>
    <row r="178" spans="1:15" x14ac:dyDescent="0.25">
      <c r="A178" t="s">
        <v>46</v>
      </c>
      <c r="B178" t="s">
        <v>14</v>
      </c>
      <c r="C178" t="s">
        <v>29</v>
      </c>
      <c r="D178" t="str">
        <f t="shared" si="13"/>
        <v>FAB1_1L  Sele En Selecta Entera</v>
      </c>
      <c r="E178">
        <v>2022</v>
      </c>
      <c r="F178">
        <v>3</v>
      </c>
      <c r="G178">
        <f t="shared" si="14"/>
        <v>1</v>
      </c>
      <c r="H178" s="1">
        <f t="shared" si="15"/>
        <v>44578</v>
      </c>
      <c r="I178" s="1">
        <f t="shared" si="16"/>
        <v>44562</v>
      </c>
      <c r="J178">
        <v>727142.1</v>
      </c>
      <c r="K178">
        <v>39588</v>
      </c>
      <c r="L178">
        <f t="shared" si="12"/>
        <v>18.367740224310396</v>
      </c>
      <c r="M178">
        <v>3299</v>
      </c>
      <c r="N178" s="2">
        <f t="shared" si="17"/>
        <v>220.41288269172475</v>
      </c>
      <c r="O178">
        <v>12</v>
      </c>
    </row>
    <row r="179" spans="1:15" x14ac:dyDescent="0.25">
      <c r="A179" t="s">
        <v>46</v>
      </c>
      <c r="B179" t="s">
        <v>14</v>
      </c>
      <c r="C179" t="s">
        <v>29</v>
      </c>
      <c r="D179" t="str">
        <f t="shared" si="13"/>
        <v>FAB1_1L  Sele En Selecta Entera</v>
      </c>
      <c r="E179">
        <v>2022</v>
      </c>
      <c r="F179">
        <v>4</v>
      </c>
      <c r="G179">
        <f t="shared" si="14"/>
        <v>1</v>
      </c>
      <c r="H179" s="1">
        <f t="shared" si="15"/>
        <v>44585</v>
      </c>
      <c r="I179" s="1">
        <f t="shared" si="16"/>
        <v>44562</v>
      </c>
      <c r="J179">
        <v>692377.64</v>
      </c>
      <c r="K179">
        <v>37740</v>
      </c>
      <c r="L179">
        <f t="shared" si="12"/>
        <v>18.345989401165873</v>
      </c>
      <c r="M179">
        <v>3145</v>
      </c>
      <c r="N179" s="2">
        <f t="shared" si="17"/>
        <v>220.15187281399048</v>
      </c>
      <c r="O179">
        <v>12</v>
      </c>
    </row>
    <row r="180" spans="1:15" x14ac:dyDescent="0.25">
      <c r="A180" t="s">
        <v>46</v>
      </c>
      <c r="B180" t="s">
        <v>14</v>
      </c>
      <c r="C180" t="s">
        <v>29</v>
      </c>
      <c r="D180" t="str">
        <f t="shared" si="13"/>
        <v>FAB1_1L  Sele En Selecta Entera</v>
      </c>
      <c r="E180">
        <v>2022</v>
      </c>
      <c r="F180">
        <v>5</v>
      </c>
      <c r="G180">
        <f t="shared" si="14"/>
        <v>2</v>
      </c>
      <c r="H180" s="1">
        <f t="shared" si="15"/>
        <v>44592</v>
      </c>
      <c r="I180" s="1">
        <f t="shared" si="16"/>
        <v>44593</v>
      </c>
      <c r="J180">
        <v>532738.84000000008</v>
      </c>
      <c r="K180">
        <v>27600</v>
      </c>
      <c r="L180">
        <f t="shared" si="12"/>
        <v>19.302131884057975</v>
      </c>
      <c r="M180">
        <v>2300</v>
      </c>
      <c r="N180" s="2">
        <f t="shared" si="17"/>
        <v>231.62558260869568</v>
      </c>
      <c r="O180">
        <v>12</v>
      </c>
    </row>
    <row r="181" spans="1:15" x14ac:dyDescent="0.25">
      <c r="A181" t="s">
        <v>46</v>
      </c>
      <c r="B181" t="s">
        <v>14</v>
      </c>
      <c r="C181" t="s">
        <v>29</v>
      </c>
      <c r="D181" t="str">
        <f t="shared" si="13"/>
        <v>FAB1_1L  Sele En Selecta Entera</v>
      </c>
      <c r="E181">
        <v>2022</v>
      </c>
      <c r="F181">
        <v>6</v>
      </c>
      <c r="G181">
        <f t="shared" si="14"/>
        <v>2</v>
      </c>
      <c r="H181" s="1">
        <f t="shared" si="15"/>
        <v>44599</v>
      </c>
      <c r="I181" s="1">
        <f t="shared" si="16"/>
        <v>44593</v>
      </c>
      <c r="J181">
        <v>717632.19000000006</v>
      </c>
      <c r="K181">
        <v>38076</v>
      </c>
      <c r="L181">
        <f t="shared" si="12"/>
        <v>18.847362905767415</v>
      </c>
      <c r="M181">
        <v>3173</v>
      </c>
      <c r="N181" s="2">
        <f t="shared" si="17"/>
        <v>226.16835486920897</v>
      </c>
      <c r="O181">
        <v>12</v>
      </c>
    </row>
    <row r="182" spans="1:15" x14ac:dyDescent="0.25">
      <c r="A182" t="s">
        <v>46</v>
      </c>
      <c r="B182" t="s">
        <v>14</v>
      </c>
      <c r="C182" t="s">
        <v>29</v>
      </c>
      <c r="D182" t="str">
        <f t="shared" si="13"/>
        <v>FAB1_1L  Sele En Selecta Entera</v>
      </c>
      <c r="E182">
        <v>2022</v>
      </c>
      <c r="F182">
        <v>7</v>
      </c>
      <c r="G182">
        <f t="shared" si="14"/>
        <v>2</v>
      </c>
      <c r="H182" s="1">
        <f t="shared" si="15"/>
        <v>44606</v>
      </c>
      <c r="I182" s="1">
        <f t="shared" si="16"/>
        <v>44593</v>
      </c>
      <c r="J182">
        <v>1406849.8000000005</v>
      </c>
      <c r="K182">
        <v>74784</v>
      </c>
      <c r="L182">
        <f t="shared" si="12"/>
        <v>18.812176401369285</v>
      </c>
      <c r="M182">
        <v>6232</v>
      </c>
      <c r="N182" s="2">
        <f t="shared" si="17"/>
        <v>225.7461168164314</v>
      </c>
      <c r="O182">
        <v>12</v>
      </c>
    </row>
    <row r="183" spans="1:15" x14ac:dyDescent="0.25">
      <c r="A183" t="s">
        <v>46</v>
      </c>
      <c r="B183" t="s">
        <v>14</v>
      </c>
      <c r="C183" t="s">
        <v>29</v>
      </c>
      <c r="D183" t="str">
        <f t="shared" si="13"/>
        <v>FAB1_1L  Sele En Selecta Entera</v>
      </c>
      <c r="E183">
        <v>2022</v>
      </c>
      <c r="F183">
        <v>8</v>
      </c>
      <c r="G183">
        <f t="shared" si="14"/>
        <v>2</v>
      </c>
      <c r="H183" s="1">
        <f t="shared" si="15"/>
        <v>44613</v>
      </c>
      <c r="I183" s="1">
        <f t="shared" si="16"/>
        <v>44593</v>
      </c>
      <c r="J183">
        <v>461295.36000000004</v>
      </c>
      <c r="K183">
        <v>23064</v>
      </c>
      <c r="L183">
        <f t="shared" si="12"/>
        <v>20.000665972944851</v>
      </c>
      <c r="M183">
        <v>1922</v>
      </c>
      <c r="N183" s="2">
        <f t="shared" si="17"/>
        <v>240.00799167533822</v>
      </c>
      <c r="O183">
        <v>12</v>
      </c>
    </row>
    <row r="184" spans="1:15" x14ac:dyDescent="0.25">
      <c r="A184" t="s">
        <v>46</v>
      </c>
      <c r="B184" t="s">
        <v>14</v>
      </c>
      <c r="C184" t="s">
        <v>29</v>
      </c>
      <c r="D184" t="str">
        <f t="shared" si="13"/>
        <v>FAB1_1L  Sele En Selecta Entera</v>
      </c>
      <c r="E184">
        <v>2022</v>
      </c>
      <c r="F184">
        <v>9</v>
      </c>
      <c r="G184">
        <f t="shared" si="14"/>
        <v>3</v>
      </c>
      <c r="H184" s="1">
        <f t="shared" si="15"/>
        <v>44620</v>
      </c>
      <c r="I184" s="1">
        <f t="shared" si="16"/>
        <v>44621</v>
      </c>
      <c r="J184">
        <v>588495.84000000008</v>
      </c>
      <c r="K184">
        <v>29424</v>
      </c>
      <c r="L184">
        <f t="shared" si="12"/>
        <v>20.000538336052205</v>
      </c>
      <c r="M184">
        <v>2452</v>
      </c>
      <c r="N184" s="2">
        <f t="shared" si="17"/>
        <v>240.00646003262645</v>
      </c>
      <c r="O184">
        <v>12</v>
      </c>
    </row>
    <row r="185" spans="1:15" x14ac:dyDescent="0.25">
      <c r="A185" t="s">
        <v>46</v>
      </c>
      <c r="B185" t="s">
        <v>14</v>
      </c>
      <c r="C185" t="s">
        <v>29</v>
      </c>
      <c r="D185" t="str">
        <f t="shared" si="13"/>
        <v>FAB1_1L  Sele En Selecta Entera</v>
      </c>
      <c r="E185">
        <v>2022</v>
      </c>
      <c r="F185">
        <v>10</v>
      </c>
      <c r="G185">
        <f t="shared" si="14"/>
        <v>3</v>
      </c>
      <c r="H185" s="1">
        <f t="shared" si="15"/>
        <v>44627</v>
      </c>
      <c r="I185" s="1">
        <f t="shared" si="16"/>
        <v>44621</v>
      </c>
      <c r="J185">
        <v>395536.07999999996</v>
      </c>
      <c r="K185">
        <v>19764</v>
      </c>
      <c r="L185">
        <f t="shared" si="12"/>
        <v>20.012956891317543</v>
      </c>
      <c r="M185">
        <v>1647</v>
      </c>
      <c r="N185" s="2">
        <f t="shared" si="17"/>
        <v>240.15548269581055</v>
      </c>
      <c r="O185">
        <v>12</v>
      </c>
    </row>
    <row r="186" spans="1:15" x14ac:dyDescent="0.25">
      <c r="A186" t="s">
        <v>46</v>
      </c>
      <c r="B186" t="s">
        <v>14</v>
      </c>
      <c r="C186" t="s">
        <v>29</v>
      </c>
      <c r="D186" t="str">
        <f t="shared" si="13"/>
        <v>FAB1_1L  Sele En Selecta Entera</v>
      </c>
      <c r="E186">
        <v>2022</v>
      </c>
      <c r="F186">
        <v>11</v>
      </c>
      <c r="G186">
        <f t="shared" si="14"/>
        <v>3</v>
      </c>
      <c r="H186" s="1">
        <f t="shared" si="15"/>
        <v>44634</v>
      </c>
      <c r="I186" s="1">
        <f t="shared" si="16"/>
        <v>44621</v>
      </c>
      <c r="J186">
        <v>432247.67999999993</v>
      </c>
      <c r="K186">
        <v>21600</v>
      </c>
      <c r="L186">
        <f t="shared" si="12"/>
        <v>20.011466666666664</v>
      </c>
      <c r="M186">
        <v>1800</v>
      </c>
      <c r="N186" s="2">
        <f t="shared" si="17"/>
        <v>240.13759999999996</v>
      </c>
      <c r="O186">
        <v>12</v>
      </c>
    </row>
    <row r="187" spans="1:15" x14ac:dyDescent="0.25">
      <c r="A187" t="s">
        <v>46</v>
      </c>
      <c r="B187" t="s">
        <v>14</v>
      </c>
      <c r="C187" t="s">
        <v>29</v>
      </c>
      <c r="D187" t="str">
        <f t="shared" si="13"/>
        <v>FAB1_1L  Sele En Selecta Entera</v>
      </c>
      <c r="E187">
        <v>2022</v>
      </c>
      <c r="F187">
        <v>12</v>
      </c>
      <c r="G187">
        <f t="shared" si="14"/>
        <v>3</v>
      </c>
      <c r="H187" s="1">
        <f t="shared" si="15"/>
        <v>44641</v>
      </c>
      <c r="I187" s="1">
        <f t="shared" si="16"/>
        <v>44621</v>
      </c>
      <c r="J187">
        <v>398787.78000000009</v>
      </c>
      <c r="K187">
        <v>20124</v>
      </c>
      <c r="L187">
        <f t="shared" si="12"/>
        <v>19.81652653548003</v>
      </c>
      <c r="M187">
        <v>1677</v>
      </c>
      <c r="N187" s="2">
        <f t="shared" si="17"/>
        <v>237.79831842576033</v>
      </c>
      <c r="O187">
        <v>12</v>
      </c>
    </row>
    <row r="188" spans="1:15" x14ac:dyDescent="0.25">
      <c r="A188" t="s">
        <v>46</v>
      </c>
      <c r="B188" t="s">
        <v>14</v>
      </c>
      <c r="C188" t="s">
        <v>29</v>
      </c>
      <c r="D188" t="str">
        <f t="shared" si="13"/>
        <v>FAB1_1L  Sele En Selecta Entera</v>
      </c>
      <c r="E188">
        <v>2022</v>
      </c>
      <c r="F188">
        <v>13</v>
      </c>
      <c r="G188">
        <f t="shared" si="14"/>
        <v>3</v>
      </c>
      <c r="H188" s="1">
        <f t="shared" si="15"/>
        <v>44648</v>
      </c>
      <c r="I188" s="1">
        <f t="shared" si="16"/>
        <v>44621</v>
      </c>
      <c r="J188">
        <v>504731.63999999978</v>
      </c>
      <c r="K188">
        <v>25692</v>
      </c>
      <c r="L188">
        <f t="shared" si="12"/>
        <v>19.645478748248472</v>
      </c>
      <c r="M188">
        <v>2141</v>
      </c>
      <c r="N188" s="2">
        <f t="shared" si="17"/>
        <v>235.74574497898169</v>
      </c>
      <c r="O188">
        <v>12</v>
      </c>
    </row>
    <row r="189" spans="1:15" x14ac:dyDescent="0.25">
      <c r="A189" t="s">
        <v>46</v>
      </c>
      <c r="B189" t="s">
        <v>14</v>
      </c>
      <c r="C189" t="s">
        <v>29</v>
      </c>
      <c r="D189" t="str">
        <f t="shared" si="13"/>
        <v>FAB1_1L  Sele En Selecta Entera</v>
      </c>
      <c r="E189">
        <v>2022</v>
      </c>
      <c r="F189">
        <v>14</v>
      </c>
      <c r="G189">
        <f t="shared" si="14"/>
        <v>4</v>
      </c>
      <c r="H189" s="1">
        <f t="shared" si="15"/>
        <v>44655</v>
      </c>
      <c r="I189" s="1">
        <f t="shared" si="16"/>
        <v>44652</v>
      </c>
      <c r="J189">
        <v>463646.18000000005</v>
      </c>
      <c r="K189">
        <v>23268</v>
      </c>
      <c r="L189">
        <f t="shared" si="12"/>
        <v>19.926344335568164</v>
      </c>
      <c r="M189">
        <v>1939</v>
      </c>
      <c r="N189" s="2">
        <f t="shared" si="17"/>
        <v>239.11613202681798</v>
      </c>
      <c r="O189">
        <v>12</v>
      </c>
    </row>
    <row r="190" spans="1:15" x14ac:dyDescent="0.25">
      <c r="A190" t="s">
        <v>46</v>
      </c>
      <c r="B190" t="s">
        <v>14</v>
      </c>
      <c r="C190" t="s">
        <v>29</v>
      </c>
      <c r="D190" t="str">
        <f t="shared" si="13"/>
        <v>FAB1_1L  Sele En Selecta Entera</v>
      </c>
      <c r="E190">
        <v>2022</v>
      </c>
      <c r="F190">
        <v>15</v>
      </c>
      <c r="G190">
        <f t="shared" si="14"/>
        <v>4</v>
      </c>
      <c r="H190" s="1">
        <f t="shared" si="15"/>
        <v>44662</v>
      </c>
      <c r="I190" s="1">
        <f t="shared" si="16"/>
        <v>44652</v>
      </c>
      <c r="J190">
        <v>417029.53999999986</v>
      </c>
      <c r="K190">
        <v>21348</v>
      </c>
      <c r="L190">
        <f t="shared" si="12"/>
        <v>19.534829492224091</v>
      </c>
      <c r="M190">
        <v>1779</v>
      </c>
      <c r="N190" s="2">
        <f t="shared" si="17"/>
        <v>234.41795390668906</v>
      </c>
      <c r="O190">
        <v>12</v>
      </c>
    </row>
    <row r="191" spans="1:15" x14ac:dyDescent="0.25">
      <c r="A191" t="s">
        <v>46</v>
      </c>
      <c r="B191" t="s">
        <v>14</v>
      </c>
      <c r="C191" t="s">
        <v>29</v>
      </c>
      <c r="D191" t="str">
        <f t="shared" si="13"/>
        <v>FAB1_1L  Sele En Selecta Entera</v>
      </c>
      <c r="E191">
        <v>2022</v>
      </c>
      <c r="F191">
        <v>16</v>
      </c>
      <c r="G191">
        <f t="shared" si="14"/>
        <v>4</v>
      </c>
      <c r="H191" s="1">
        <f t="shared" si="15"/>
        <v>44669</v>
      </c>
      <c r="I191" s="1">
        <f t="shared" si="16"/>
        <v>44652</v>
      </c>
      <c r="J191">
        <v>495017.87999999989</v>
      </c>
      <c r="K191">
        <v>25380</v>
      </c>
      <c r="L191">
        <f t="shared" si="12"/>
        <v>19.504250591016543</v>
      </c>
      <c r="M191">
        <v>2115</v>
      </c>
      <c r="N191" s="2">
        <f t="shared" si="17"/>
        <v>234.05100709219852</v>
      </c>
      <c r="O191">
        <v>12</v>
      </c>
    </row>
    <row r="192" spans="1:15" x14ac:dyDescent="0.25">
      <c r="A192" t="s">
        <v>46</v>
      </c>
      <c r="B192" t="s">
        <v>14</v>
      </c>
      <c r="C192" t="s">
        <v>29</v>
      </c>
      <c r="D192" t="str">
        <f t="shared" si="13"/>
        <v>FAB1_1L  Sele En Selecta Entera</v>
      </c>
      <c r="E192">
        <v>2022</v>
      </c>
      <c r="F192">
        <v>17</v>
      </c>
      <c r="G192">
        <f t="shared" si="14"/>
        <v>4</v>
      </c>
      <c r="H192" s="1">
        <f t="shared" si="15"/>
        <v>44676</v>
      </c>
      <c r="I192" s="1">
        <f t="shared" si="16"/>
        <v>44652</v>
      </c>
      <c r="J192">
        <v>433594.45999999985</v>
      </c>
      <c r="K192">
        <v>22152</v>
      </c>
      <c r="L192">
        <f t="shared" si="12"/>
        <v>19.573603286384969</v>
      </c>
      <c r="M192">
        <v>1846</v>
      </c>
      <c r="N192" s="2">
        <f t="shared" si="17"/>
        <v>234.88323943661965</v>
      </c>
      <c r="O192">
        <v>12</v>
      </c>
    </row>
    <row r="193" spans="1:15" x14ac:dyDescent="0.25">
      <c r="A193" t="s">
        <v>46</v>
      </c>
      <c r="B193" t="s">
        <v>14</v>
      </c>
      <c r="C193" t="s">
        <v>29</v>
      </c>
      <c r="D193" t="str">
        <f t="shared" si="13"/>
        <v>FAB1_1L  Sele En Selecta Entera</v>
      </c>
      <c r="E193">
        <v>2022</v>
      </c>
      <c r="F193">
        <v>18</v>
      </c>
      <c r="G193">
        <f t="shared" si="14"/>
        <v>5</v>
      </c>
      <c r="H193" s="1">
        <f t="shared" si="15"/>
        <v>44683</v>
      </c>
      <c r="I193" s="1">
        <f t="shared" si="16"/>
        <v>44682</v>
      </c>
      <c r="J193">
        <v>524088.88000000018</v>
      </c>
      <c r="K193">
        <v>26328</v>
      </c>
      <c r="L193">
        <f t="shared" si="12"/>
        <v>19.906140990580379</v>
      </c>
      <c r="M193">
        <v>2194</v>
      </c>
      <c r="N193" s="2">
        <f t="shared" si="17"/>
        <v>238.87369188696454</v>
      </c>
      <c r="O193">
        <v>12</v>
      </c>
    </row>
    <row r="194" spans="1:15" x14ac:dyDescent="0.25">
      <c r="A194" t="s">
        <v>46</v>
      </c>
      <c r="B194" t="s">
        <v>14</v>
      </c>
      <c r="C194" t="s">
        <v>29</v>
      </c>
      <c r="D194" t="str">
        <f t="shared" si="13"/>
        <v>FAB1_1L  Sele En Selecta Entera</v>
      </c>
      <c r="E194">
        <v>2022</v>
      </c>
      <c r="F194">
        <v>19</v>
      </c>
      <c r="G194">
        <f t="shared" si="14"/>
        <v>5</v>
      </c>
      <c r="H194" s="1">
        <f t="shared" si="15"/>
        <v>44690</v>
      </c>
      <c r="I194" s="1">
        <f t="shared" si="16"/>
        <v>44682</v>
      </c>
      <c r="J194">
        <v>397922.73999999993</v>
      </c>
      <c r="K194">
        <v>20088</v>
      </c>
      <c r="L194">
        <f t="shared" ref="L194:L257" si="18">J194/K194</f>
        <v>19.808977499004378</v>
      </c>
      <c r="M194">
        <v>1674</v>
      </c>
      <c r="N194" s="2">
        <f t="shared" si="17"/>
        <v>237.70772998805253</v>
      </c>
      <c r="O194">
        <v>12</v>
      </c>
    </row>
    <row r="195" spans="1:15" x14ac:dyDescent="0.25">
      <c r="A195" t="s">
        <v>46</v>
      </c>
      <c r="B195" t="s">
        <v>14</v>
      </c>
      <c r="C195" t="s">
        <v>29</v>
      </c>
      <c r="D195" t="str">
        <f t="shared" ref="D195:D258" si="19">B195&amp;"_"&amp;C195</f>
        <v>FAB1_1L  Sele En Selecta Entera</v>
      </c>
      <c r="E195">
        <v>2022</v>
      </c>
      <c r="F195">
        <v>20</v>
      </c>
      <c r="G195">
        <f t="shared" ref="G195:G258" si="20">MONTH(DATE(E195,1,4)+(F195-1)*7-WEEKDAY(DATE(E195,1,4),2)+4)</f>
        <v>5</v>
      </c>
      <c r="H195" s="1">
        <f t="shared" ref="H195:H258" si="21">DATE(E195,1,-2)-WEEKDAY(DATE(E195,1,3))+F195*7</f>
        <v>44697</v>
      </c>
      <c r="I195" s="1">
        <f t="shared" ref="I195:I258" si="22">DATE(E195,G195,1)</f>
        <v>44682</v>
      </c>
      <c r="J195">
        <v>489613.91</v>
      </c>
      <c r="K195">
        <v>25068</v>
      </c>
      <c r="L195">
        <f t="shared" si="18"/>
        <v>19.531430907930428</v>
      </c>
      <c r="M195">
        <v>2089</v>
      </c>
      <c r="N195" s="2">
        <f t="shared" ref="N195:N258" si="23">J195/M195</f>
        <v>234.37717089516514</v>
      </c>
      <c r="O195">
        <v>12</v>
      </c>
    </row>
    <row r="196" spans="1:15" x14ac:dyDescent="0.25">
      <c r="A196" t="s">
        <v>46</v>
      </c>
      <c r="B196" t="s">
        <v>14</v>
      </c>
      <c r="C196" t="s">
        <v>29</v>
      </c>
      <c r="D196" t="str">
        <f t="shared" si="19"/>
        <v>FAB1_1L  Sele En Selecta Entera</v>
      </c>
      <c r="E196">
        <v>2022</v>
      </c>
      <c r="F196">
        <v>21</v>
      </c>
      <c r="G196">
        <f t="shared" si="20"/>
        <v>5</v>
      </c>
      <c r="H196" s="1">
        <f t="shared" si="21"/>
        <v>44704</v>
      </c>
      <c r="I196" s="1">
        <f t="shared" si="22"/>
        <v>44682</v>
      </c>
      <c r="J196">
        <v>368683.03</v>
      </c>
      <c r="K196">
        <v>18636</v>
      </c>
      <c r="L196">
        <f t="shared" si="18"/>
        <v>19.783377870787724</v>
      </c>
      <c r="M196">
        <v>1553</v>
      </c>
      <c r="N196" s="2">
        <f t="shared" si="23"/>
        <v>237.40053444945269</v>
      </c>
      <c r="O196">
        <v>12</v>
      </c>
    </row>
    <row r="197" spans="1:15" x14ac:dyDescent="0.25">
      <c r="A197" t="s">
        <v>46</v>
      </c>
      <c r="B197" t="s">
        <v>14</v>
      </c>
      <c r="C197" t="s">
        <v>29</v>
      </c>
      <c r="D197" t="str">
        <f t="shared" si="19"/>
        <v>FAB1_1L  Sele En Selecta Entera</v>
      </c>
      <c r="E197">
        <v>2022</v>
      </c>
      <c r="F197">
        <v>22</v>
      </c>
      <c r="G197">
        <f t="shared" si="20"/>
        <v>6</v>
      </c>
      <c r="H197" s="1">
        <f t="shared" si="21"/>
        <v>44711</v>
      </c>
      <c r="I197" s="1">
        <f t="shared" si="22"/>
        <v>44713</v>
      </c>
      <c r="J197">
        <v>458489.61</v>
      </c>
      <c r="K197">
        <v>23280</v>
      </c>
      <c r="L197">
        <f t="shared" si="18"/>
        <v>19.694570876288658</v>
      </c>
      <c r="M197">
        <v>1940</v>
      </c>
      <c r="N197" s="2">
        <f t="shared" si="23"/>
        <v>236.3348505154639</v>
      </c>
      <c r="O197">
        <v>12</v>
      </c>
    </row>
    <row r="198" spans="1:15" x14ac:dyDescent="0.25">
      <c r="A198" t="s">
        <v>46</v>
      </c>
      <c r="B198" t="s">
        <v>14</v>
      </c>
      <c r="C198" t="s">
        <v>29</v>
      </c>
      <c r="D198" t="str">
        <f t="shared" si="19"/>
        <v>FAB1_1L  Sele En Selecta Entera</v>
      </c>
      <c r="E198">
        <v>2022</v>
      </c>
      <c r="F198">
        <v>23</v>
      </c>
      <c r="G198">
        <f t="shared" si="20"/>
        <v>6</v>
      </c>
      <c r="H198" s="1">
        <f t="shared" si="21"/>
        <v>44718</v>
      </c>
      <c r="I198" s="1">
        <f t="shared" si="22"/>
        <v>44713</v>
      </c>
      <c r="J198">
        <v>388456.78</v>
      </c>
      <c r="K198">
        <v>19740</v>
      </c>
      <c r="L198">
        <f t="shared" si="18"/>
        <v>19.678661600810539</v>
      </c>
      <c r="M198">
        <v>1645</v>
      </c>
      <c r="N198" s="2">
        <f t="shared" si="23"/>
        <v>236.14393920972645</v>
      </c>
      <c r="O198">
        <v>12</v>
      </c>
    </row>
    <row r="199" spans="1:15" x14ac:dyDescent="0.25">
      <c r="A199" t="s">
        <v>46</v>
      </c>
      <c r="B199" t="s">
        <v>14</v>
      </c>
      <c r="C199" t="s">
        <v>29</v>
      </c>
      <c r="D199" t="str">
        <f t="shared" si="19"/>
        <v>FAB1_1L  Sele En Selecta Entera</v>
      </c>
      <c r="E199">
        <v>2022</v>
      </c>
      <c r="F199">
        <v>24</v>
      </c>
      <c r="G199">
        <f t="shared" si="20"/>
        <v>6</v>
      </c>
      <c r="H199" s="1">
        <f t="shared" si="21"/>
        <v>44725</v>
      </c>
      <c r="I199" s="1">
        <f t="shared" si="22"/>
        <v>44713</v>
      </c>
      <c r="J199">
        <v>422773.28</v>
      </c>
      <c r="K199">
        <v>21456</v>
      </c>
      <c r="L199">
        <f t="shared" si="18"/>
        <v>19.70419835943326</v>
      </c>
      <c r="M199">
        <v>1788</v>
      </c>
      <c r="N199" s="2">
        <f t="shared" si="23"/>
        <v>236.45038031319913</v>
      </c>
      <c r="O199">
        <v>12</v>
      </c>
    </row>
    <row r="200" spans="1:15" x14ac:dyDescent="0.25">
      <c r="A200" t="s">
        <v>46</v>
      </c>
      <c r="B200" t="s">
        <v>14</v>
      </c>
      <c r="C200" t="s">
        <v>29</v>
      </c>
      <c r="D200" t="str">
        <f t="shared" si="19"/>
        <v>FAB1_1L  Sele En Selecta Entera</v>
      </c>
      <c r="E200">
        <v>2022</v>
      </c>
      <c r="F200">
        <v>25</v>
      </c>
      <c r="G200">
        <f t="shared" si="20"/>
        <v>6</v>
      </c>
      <c r="H200" s="1">
        <f t="shared" si="21"/>
        <v>44732</v>
      </c>
      <c r="I200" s="1">
        <f t="shared" si="22"/>
        <v>44713</v>
      </c>
      <c r="J200">
        <v>446083.29999999993</v>
      </c>
      <c r="K200">
        <v>23508</v>
      </c>
      <c r="L200">
        <f t="shared" si="18"/>
        <v>18.975808235494299</v>
      </c>
      <c r="M200">
        <v>1959</v>
      </c>
      <c r="N200" s="2">
        <f t="shared" si="23"/>
        <v>227.70969882593155</v>
      </c>
      <c r="O200">
        <v>12</v>
      </c>
    </row>
    <row r="201" spans="1:15" x14ac:dyDescent="0.25">
      <c r="A201" t="s">
        <v>46</v>
      </c>
      <c r="B201" t="s">
        <v>14</v>
      </c>
      <c r="C201" t="s">
        <v>29</v>
      </c>
      <c r="D201" t="str">
        <f t="shared" si="19"/>
        <v>FAB1_1L  Sele En Selecta Entera</v>
      </c>
      <c r="E201">
        <v>2022</v>
      </c>
      <c r="F201">
        <v>26</v>
      </c>
      <c r="G201">
        <f t="shared" si="20"/>
        <v>6</v>
      </c>
      <c r="H201" s="1">
        <f t="shared" si="21"/>
        <v>44739</v>
      </c>
      <c r="I201" s="1">
        <f t="shared" si="22"/>
        <v>44713</v>
      </c>
      <c r="J201">
        <v>437851.84999999992</v>
      </c>
      <c r="K201">
        <v>23244</v>
      </c>
      <c r="L201">
        <f t="shared" si="18"/>
        <v>18.837198847014278</v>
      </c>
      <c r="M201">
        <v>1937</v>
      </c>
      <c r="N201" s="2">
        <f t="shared" si="23"/>
        <v>226.04638616417137</v>
      </c>
      <c r="O201">
        <v>12</v>
      </c>
    </row>
    <row r="202" spans="1:15" x14ac:dyDescent="0.25">
      <c r="A202" t="s">
        <v>46</v>
      </c>
      <c r="B202" t="s">
        <v>14</v>
      </c>
      <c r="C202" t="s">
        <v>29</v>
      </c>
      <c r="D202" t="str">
        <f t="shared" si="19"/>
        <v>FAB1_1L  Sele En Selecta Entera</v>
      </c>
      <c r="E202">
        <v>2022</v>
      </c>
      <c r="F202">
        <v>27</v>
      </c>
      <c r="G202">
        <f t="shared" si="20"/>
        <v>7</v>
      </c>
      <c r="H202" s="1">
        <f t="shared" si="21"/>
        <v>44746</v>
      </c>
      <c r="I202" s="1">
        <f t="shared" si="22"/>
        <v>44743</v>
      </c>
      <c r="J202">
        <v>502680.26999999996</v>
      </c>
      <c r="K202">
        <v>26376</v>
      </c>
      <c r="L202">
        <f t="shared" si="18"/>
        <v>19.058244995450409</v>
      </c>
      <c r="M202">
        <v>2198</v>
      </c>
      <c r="N202" s="2">
        <f t="shared" si="23"/>
        <v>228.6989399454049</v>
      </c>
      <c r="O202">
        <v>12</v>
      </c>
    </row>
    <row r="203" spans="1:15" x14ac:dyDescent="0.25">
      <c r="A203" t="s">
        <v>46</v>
      </c>
      <c r="B203" t="s">
        <v>14</v>
      </c>
      <c r="C203" t="s">
        <v>29</v>
      </c>
      <c r="D203" t="str">
        <f t="shared" si="19"/>
        <v>FAB1_1L  Sele En Selecta Entera</v>
      </c>
      <c r="E203">
        <v>2022</v>
      </c>
      <c r="F203">
        <v>28</v>
      </c>
      <c r="G203">
        <f t="shared" si="20"/>
        <v>7</v>
      </c>
      <c r="H203" s="1">
        <f t="shared" si="21"/>
        <v>44753</v>
      </c>
      <c r="I203" s="1">
        <f t="shared" si="22"/>
        <v>44743</v>
      </c>
      <c r="J203">
        <v>489894.94999999995</v>
      </c>
      <c r="K203">
        <v>25908</v>
      </c>
      <c r="L203">
        <f t="shared" si="18"/>
        <v>18.909022309711283</v>
      </c>
      <c r="M203">
        <v>2159</v>
      </c>
      <c r="N203" s="2">
        <f t="shared" si="23"/>
        <v>226.90826771653542</v>
      </c>
      <c r="O203">
        <v>12</v>
      </c>
    </row>
    <row r="204" spans="1:15" x14ac:dyDescent="0.25">
      <c r="A204" t="s">
        <v>46</v>
      </c>
      <c r="B204" t="s">
        <v>14</v>
      </c>
      <c r="C204" t="s">
        <v>29</v>
      </c>
      <c r="D204" t="str">
        <f t="shared" si="19"/>
        <v>FAB1_1L  Sele En Selecta Entera</v>
      </c>
      <c r="E204">
        <v>2022</v>
      </c>
      <c r="F204">
        <v>29</v>
      </c>
      <c r="G204">
        <f t="shared" si="20"/>
        <v>7</v>
      </c>
      <c r="H204" s="1">
        <f t="shared" si="21"/>
        <v>44760</v>
      </c>
      <c r="I204" s="1">
        <f t="shared" si="22"/>
        <v>44743</v>
      </c>
      <c r="J204">
        <v>430747.2199999998</v>
      </c>
      <c r="K204">
        <v>21180</v>
      </c>
      <c r="L204">
        <f t="shared" si="18"/>
        <v>20.337451369216232</v>
      </c>
      <c r="M204">
        <v>1765</v>
      </c>
      <c r="N204" s="2">
        <f t="shared" si="23"/>
        <v>244.04941643059479</v>
      </c>
      <c r="O204">
        <v>12</v>
      </c>
    </row>
    <row r="205" spans="1:15" x14ac:dyDescent="0.25">
      <c r="A205" t="s">
        <v>46</v>
      </c>
      <c r="B205" t="s">
        <v>14</v>
      </c>
      <c r="C205" t="s">
        <v>29</v>
      </c>
      <c r="D205" t="str">
        <f t="shared" si="19"/>
        <v>FAB1_1L  Sele En Selecta Entera</v>
      </c>
      <c r="E205">
        <v>2022</v>
      </c>
      <c r="F205">
        <v>30</v>
      </c>
      <c r="G205">
        <f t="shared" si="20"/>
        <v>7</v>
      </c>
      <c r="H205" s="1">
        <f t="shared" si="21"/>
        <v>44767</v>
      </c>
      <c r="I205" s="1">
        <f t="shared" si="22"/>
        <v>44743</v>
      </c>
      <c r="J205">
        <v>390584.79999999976</v>
      </c>
      <c r="K205">
        <v>19200</v>
      </c>
      <c r="L205">
        <f t="shared" si="18"/>
        <v>20.342958333333321</v>
      </c>
      <c r="M205">
        <v>1600</v>
      </c>
      <c r="N205" s="2">
        <f t="shared" si="23"/>
        <v>244.11549999999986</v>
      </c>
      <c r="O205">
        <v>12</v>
      </c>
    </row>
    <row r="206" spans="1:15" x14ac:dyDescent="0.25">
      <c r="A206" t="s">
        <v>46</v>
      </c>
      <c r="B206" t="s">
        <v>14</v>
      </c>
      <c r="C206" t="s">
        <v>29</v>
      </c>
      <c r="D206" t="str">
        <f t="shared" si="19"/>
        <v>FAB1_1L  Sele En Selecta Entera</v>
      </c>
      <c r="E206">
        <v>2022</v>
      </c>
      <c r="F206">
        <v>31</v>
      </c>
      <c r="G206">
        <f t="shared" si="20"/>
        <v>8</v>
      </c>
      <c r="H206" s="1">
        <f t="shared" si="21"/>
        <v>44774</v>
      </c>
      <c r="I206" s="1">
        <f t="shared" si="22"/>
        <v>44774</v>
      </c>
      <c r="J206">
        <v>456755.5399999998</v>
      </c>
      <c r="K206">
        <v>22452</v>
      </c>
      <c r="L206">
        <f t="shared" si="18"/>
        <v>20.343646000356308</v>
      </c>
      <c r="M206">
        <v>1871</v>
      </c>
      <c r="N206" s="2">
        <f t="shared" si="23"/>
        <v>244.12375200427567</v>
      </c>
      <c r="O206">
        <v>12</v>
      </c>
    </row>
    <row r="207" spans="1:15" x14ac:dyDescent="0.25">
      <c r="A207" t="s">
        <v>46</v>
      </c>
      <c r="B207" t="s">
        <v>14</v>
      </c>
      <c r="C207" t="s">
        <v>29</v>
      </c>
      <c r="D207" t="str">
        <f t="shared" si="19"/>
        <v>FAB1_1L  Sele En Selecta Entera</v>
      </c>
      <c r="E207">
        <v>2022</v>
      </c>
      <c r="F207">
        <v>32</v>
      </c>
      <c r="G207">
        <f t="shared" si="20"/>
        <v>8</v>
      </c>
      <c r="H207" s="1">
        <f t="shared" si="21"/>
        <v>44781</v>
      </c>
      <c r="I207" s="1">
        <f t="shared" si="22"/>
        <v>44774</v>
      </c>
      <c r="J207">
        <v>351964.0199999999</v>
      </c>
      <c r="K207">
        <v>17856</v>
      </c>
      <c r="L207">
        <f t="shared" si="18"/>
        <v>19.711246639784942</v>
      </c>
      <c r="M207">
        <v>1488</v>
      </c>
      <c r="N207" s="2">
        <f t="shared" si="23"/>
        <v>236.53495967741929</v>
      </c>
      <c r="O207">
        <v>12</v>
      </c>
    </row>
    <row r="208" spans="1:15" x14ac:dyDescent="0.25">
      <c r="A208" t="s">
        <v>46</v>
      </c>
      <c r="B208" t="s">
        <v>14</v>
      </c>
      <c r="C208" t="s">
        <v>29</v>
      </c>
      <c r="D208" t="str">
        <f t="shared" si="19"/>
        <v>FAB1_1L  Sele En Selecta Entera</v>
      </c>
      <c r="E208">
        <v>2022</v>
      </c>
      <c r="F208">
        <v>33</v>
      </c>
      <c r="G208">
        <f t="shared" si="20"/>
        <v>8</v>
      </c>
      <c r="H208" s="1">
        <f t="shared" si="21"/>
        <v>44788</v>
      </c>
      <c r="I208" s="1">
        <f t="shared" si="22"/>
        <v>44774</v>
      </c>
      <c r="J208">
        <v>286435.33999999997</v>
      </c>
      <c r="K208">
        <v>14964</v>
      </c>
      <c r="L208">
        <f t="shared" si="18"/>
        <v>19.141629243517773</v>
      </c>
      <c r="M208">
        <v>1247</v>
      </c>
      <c r="N208" s="2">
        <f t="shared" si="23"/>
        <v>229.69955092221329</v>
      </c>
      <c r="O208">
        <v>12</v>
      </c>
    </row>
    <row r="209" spans="1:15" x14ac:dyDescent="0.25">
      <c r="A209" t="s">
        <v>46</v>
      </c>
      <c r="B209" t="s">
        <v>14</v>
      </c>
      <c r="C209" t="s">
        <v>29</v>
      </c>
      <c r="D209" t="str">
        <f t="shared" si="19"/>
        <v>FAB1_1L  Sele En Selecta Entera</v>
      </c>
      <c r="E209">
        <v>2022</v>
      </c>
      <c r="F209">
        <v>34</v>
      </c>
      <c r="G209">
        <f t="shared" si="20"/>
        <v>8</v>
      </c>
      <c r="H209" s="1">
        <f t="shared" si="21"/>
        <v>44795</v>
      </c>
      <c r="I209" s="1">
        <f t="shared" si="22"/>
        <v>44774</v>
      </c>
      <c r="J209">
        <v>118148.31</v>
      </c>
      <c r="K209">
        <v>5772</v>
      </c>
      <c r="L209">
        <f t="shared" si="18"/>
        <v>20.469215176715178</v>
      </c>
      <c r="M209">
        <v>481</v>
      </c>
      <c r="N209" s="2">
        <f t="shared" si="23"/>
        <v>245.63058212058212</v>
      </c>
      <c r="O209">
        <v>12</v>
      </c>
    </row>
    <row r="210" spans="1:15" x14ac:dyDescent="0.25">
      <c r="A210" t="s">
        <v>46</v>
      </c>
      <c r="B210" t="s">
        <v>14</v>
      </c>
      <c r="C210" t="s">
        <v>29</v>
      </c>
      <c r="D210" t="str">
        <f t="shared" si="19"/>
        <v>FAB1_1L  Sele En Selecta Entera</v>
      </c>
      <c r="E210">
        <v>2022</v>
      </c>
      <c r="F210">
        <v>35</v>
      </c>
      <c r="G210">
        <f t="shared" si="20"/>
        <v>9</v>
      </c>
      <c r="H210" s="1">
        <f t="shared" si="21"/>
        <v>44802</v>
      </c>
      <c r="I210" s="1">
        <f t="shared" si="22"/>
        <v>44805</v>
      </c>
      <c r="J210">
        <v>194393.86999999997</v>
      </c>
      <c r="K210">
        <v>9324</v>
      </c>
      <c r="L210">
        <f t="shared" si="18"/>
        <v>20.848763406263402</v>
      </c>
      <c r="M210">
        <v>777</v>
      </c>
      <c r="N210" s="2">
        <f t="shared" si="23"/>
        <v>250.18516087516082</v>
      </c>
      <c r="O210">
        <v>12</v>
      </c>
    </row>
    <row r="211" spans="1:15" x14ac:dyDescent="0.25">
      <c r="A211" t="s">
        <v>46</v>
      </c>
      <c r="B211" t="s">
        <v>14</v>
      </c>
      <c r="C211" t="s">
        <v>29</v>
      </c>
      <c r="D211" t="str">
        <f t="shared" si="19"/>
        <v>FAB1_1L  Sele En Selecta Entera</v>
      </c>
      <c r="E211">
        <v>2022</v>
      </c>
      <c r="F211">
        <v>36</v>
      </c>
      <c r="G211">
        <f t="shared" si="20"/>
        <v>9</v>
      </c>
      <c r="H211" s="1">
        <f t="shared" si="21"/>
        <v>44809</v>
      </c>
      <c r="I211" s="1">
        <f t="shared" si="22"/>
        <v>44805</v>
      </c>
      <c r="J211">
        <v>312664.71000000002</v>
      </c>
      <c r="K211">
        <v>15024</v>
      </c>
      <c r="L211">
        <f t="shared" si="18"/>
        <v>20.81101637380192</v>
      </c>
      <c r="M211">
        <v>1252</v>
      </c>
      <c r="N211" s="2">
        <f t="shared" si="23"/>
        <v>249.73219648562301</v>
      </c>
      <c r="O211">
        <v>12</v>
      </c>
    </row>
    <row r="212" spans="1:15" x14ac:dyDescent="0.25">
      <c r="A212" t="s">
        <v>46</v>
      </c>
      <c r="B212" t="s">
        <v>14</v>
      </c>
      <c r="C212" t="s">
        <v>29</v>
      </c>
      <c r="D212" t="str">
        <f t="shared" si="19"/>
        <v>FAB1_1L  Sele En Selecta Entera</v>
      </c>
      <c r="E212">
        <v>2022</v>
      </c>
      <c r="F212">
        <v>37</v>
      </c>
      <c r="G212">
        <f t="shared" si="20"/>
        <v>9</v>
      </c>
      <c r="H212" s="1">
        <f t="shared" si="21"/>
        <v>44816</v>
      </c>
      <c r="I212" s="1">
        <f t="shared" si="22"/>
        <v>44805</v>
      </c>
      <c r="J212">
        <v>321499.70999999996</v>
      </c>
      <c r="K212">
        <v>15396</v>
      </c>
      <c r="L212">
        <f t="shared" si="18"/>
        <v>20.882028448947775</v>
      </c>
      <c r="M212">
        <v>1283</v>
      </c>
      <c r="N212" s="2">
        <f t="shared" si="23"/>
        <v>250.58434138737331</v>
      </c>
      <c r="O212">
        <v>12</v>
      </c>
    </row>
    <row r="213" spans="1:15" x14ac:dyDescent="0.25">
      <c r="A213" t="s">
        <v>46</v>
      </c>
      <c r="B213" t="s">
        <v>14</v>
      </c>
      <c r="C213" t="s">
        <v>29</v>
      </c>
      <c r="D213" t="str">
        <f t="shared" si="19"/>
        <v>FAB1_1L  Sele En Selecta Entera</v>
      </c>
      <c r="E213">
        <v>2022</v>
      </c>
      <c r="F213">
        <v>38</v>
      </c>
      <c r="G213">
        <f t="shared" si="20"/>
        <v>9</v>
      </c>
      <c r="H213" s="1">
        <f t="shared" si="21"/>
        <v>44823</v>
      </c>
      <c r="I213" s="1">
        <f t="shared" si="22"/>
        <v>44805</v>
      </c>
      <c r="J213">
        <v>344077.08</v>
      </c>
      <c r="K213">
        <v>16248</v>
      </c>
      <c r="L213">
        <f t="shared" si="18"/>
        <v>21.176580502215657</v>
      </c>
      <c r="M213">
        <v>1354</v>
      </c>
      <c r="N213" s="2">
        <f t="shared" si="23"/>
        <v>254.11896602658791</v>
      </c>
      <c r="O213">
        <v>12</v>
      </c>
    </row>
    <row r="214" spans="1:15" x14ac:dyDescent="0.25">
      <c r="A214" t="s">
        <v>46</v>
      </c>
      <c r="B214" t="s">
        <v>14</v>
      </c>
      <c r="C214" t="s">
        <v>29</v>
      </c>
      <c r="D214" t="str">
        <f t="shared" si="19"/>
        <v>FAB1_1L  Sele En Selecta Entera</v>
      </c>
      <c r="E214">
        <v>2022</v>
      </c>
      <c r="F214">
        <v>39</v>
      </c>
      <c r="G214">
        <f t="shared" si="20"/>
        <v>9</v>
      </c>
      <c r="H214" s="1">
        <f t="shared" si="21"/>
        <v>44830</v>
      </c>
      <c r="I214" s="1">
        <f t="shared" si="22"/>
        <v>44805</v>
      </c>
      <c r="J214">
        <v>350701.92</v>
      </c>
      <c r="K214">
        <v>16560</v>
      </c>
      <c r="L214">
        <f t="shared" si="18"/>
        <v>21.177652173913042</v>
      </c>
      <c r="M214">
        <v>1380</v>
      </c>
      <c r="N214" s="2">
        <f t="shared" si="23"/>
        <v>254.13182608695652</v>
      </c>
      <c r="O214">
        <v>12</v>
      </c>
    </row>
    <row r="215" spans="1:15" x14ac:dyDescent="0.25">
      <c r="A215" t="s">
        <v>46</v>
      </c>
      <c r="B215" t="s">
        <v>14</v>
      </c>
      <c r="C215" t="s">
        <v>29</v>
      </c>
      <c r="D215" t="str">
        <f t="shared" si="19"/>
        <v>FAB1_1L  Sele En Selecta Entera</v>
      </c>
      <c r="E215">
        <v>2022</v>
      </c>
      <c r="F215">
        <v>40</v>
      </c>
      <c r="G215">
        <f t="shared" si="20"/>
        <v>10</v>
      </c>
      <c r="H215" s="1">
        <f t="shared" si="21"/>
        <v>44837</v>
      </c>
      <c r="I215" s="1">
        <f t="shared" si="22"/>
        <v>44835</v>
      </c>
      <c r="J215">
        <v>414351.61000000004</v>
      </c>
      <c r="K215">
        <v>20052</v>
      </c>
      <c r="L215">
        <f t="shared" si="18"/>
        <v>20.663854478356274</v>
      </c>
      <c r="M215">
        <v>1671</v>
      </c>
      <c r="N215" s="2">
        <f t="shared" si="23"/>
        <v>247.96625374027531</v>
      </c>
      <c r="O215">
        <v>12</v>
      </c>
    </row>
    <row r="216" spans="1:15" x14ac:dyDescent="0.25">
      <c r="A216" t="s">
        <v>46</v>
      </c>
      <c r="B216" t="s">
        <v>14</v>
      </c>
      <c r="C216" t="s">
        <v>29</v>
      </c>
      <c r="D216" t="str">
        <f t="shared" si="19"/>
        <v>FAB1_1L  Sele En Selecta Entera</v>
      </c>
      <c r="E216">
        <v>2022</v>
      </c>
      <c r="F216">
        <v>41</v>
      </c>
      <c r="G216">
        <f t="shared" si="20"/>
        <v>10</v>
      </c>
      <c r="H216" s="1">
        <f t="shared" si="21"/>
        <v>44844</v>
      </c>
      <c r="I216" s="1">
        <f t="shared" si="22"/>
        <v>44835</v>
      </c>
      <c r="J216">
        <v>554330.75999999978</v>
      </c>
      <c r="K216">
        <v>28308</v>
      </c>
      <c r="L216">
        <f t="shared" si="18"/>
        <v>19.582123781263238</v>
      </c>
      <c r="M216">
        <v>2359</v>
      </c>
      <c r="N216" s="2">
        <f t="shared" si="23"/>
        <v>234.98548537515887</v>
      </c>
      <c r="O216">
        <v>12</v>
      </c>
    </row>
    <row r="217" spans="1:15" x14ac:dyDescent="0.25">
      <c r="A217" t="s">
        <v>46</v>
      </c>
      <c r="B217" t="s">
        <v>14</v>
      </c>
      <c r="C217" t="s">
        <v>29</v>
      </c>
      <c r="D217" t="str">
        <f t="shared" si="19"/>
        <v>FAB1_1L  Sele En Selecta Entera</v>
      </c>
      <c r="E217">
        <v>2022</v>
      </c>
      <c r="F217">
        <v>42</v>
      </c>
      <c r="G217">
        <f t="shared" si="20"/>
        <v>10</v>
      </c>
      <c r="H217" s="1">
        <f t="shared" si="21"/>
        <v>44851</v>
      </c>
      <c r="I217" s="1">
        <f t="shared" si="22"/>
        <v>44835</v>
      </c>
      <c r="J217">
        <v>505547.47999999986</v>
      </c>
      <c r="K217">
        <v>25080</v>
      </c>
      <c r="L217">
        <f t="shared" si="18"/>
        <v>20.157395534290266</v>
      </c>
      <c r="M217">
        <v>2090</v>
      </c>
      <c r="N217" s="2">
        <f t="shared" si="23"/>
        <v>241.8887464114832</v>
      </c>
      <c r="O217">
        <v>12</v>
      </c>
    </row>
    <row r="218" spans="1:15" x14ac:dyDescent="0.25">
      <c r="A218" t="s">
        <v>46</v>
      </c>
      <c r="B218" t="s">
        <v>14</v>
      </c>
      <c r="C218" t="s">
        <v>29</v>
      </c>
      <c r="D218" t="str">
        <f t="shared" si="19"/>
        <v>FAB1_1L  Sele En Selecta Entera</v>
      </c>
      <c r="E218">
        <v>2022</v>
      </c>
      <c r="F218">
        <v>43</v>
      </c>
      <c r="G218">
        <f t="shared" si="20"/>
        <v>10</v>
      </c>
      <c r="H218" s="1">
        <f t="shared" si="21"/>
        <v>44858</v>
      </c>
      <c r="I218" s="1">
        <f t="shared" si="22"/>
        <v>44835</v>
      </c>
      <c r="J218">
        <v>302787.27999999997</v>
      </c>
      <c r="K218">
        <v>14292</v>
      </c>
      <c r="L218">
        <f t="shared" si="18"/>
        <v>21.185787853344525</v>
      </c>
      <c r="M218">
        <v>1191</v>
      </c>
      <c r="N218" s="2">
        <f t="shared" si="23"/>
        <v>254.22945424013432</v>
      </c>
      <c r="O218">
        <v>12</v>
      </c>
    </row>
    <row r="219" spans="1:15" x14ac:dyDescent="0.25">
      <c r="A219" t="s">
        <v>46</v>
      </c>
      <c r="B219" t="s">
        <v>14</v>
      </c>
      <c r="C219" t="s">
        <v>29</v>
      </c>
      <c r="D219" t="str">
        <f t="shared" si="19"/>
        <v>FAB1_1L  Sele En Selecta Entera</v>
      </c>
      <c r="E219">
        <v>2022</v>
      </c>
      <c r="F219">
        <v>44</v>
      </c>
      <c r="G219">
        <f t="shared" si="20"/>
        <v>11</v>
      </c>
      <c r="H219" s="1">
        <f t="shared" si="21"/>
        <v>44865</v>
      </c>
      <c r="I219" s="1">
        <f t="shared" si="22"/>
        <v>44866</v>
      </c>
      <c r="J219">
        <v>451173.12000000017</v>
      </c>
      <c r="K219">
        <v>21720</v>
      </c>
      <c r="L219">
        <f t="shared" si="18"/>
        <v>20.772243093922661</v>
      </c>
      <c r="M219">
        <v>1810</v>
      </c>
      <c r="N219" s="2">
        <f t="shared" si="23"/>
        <v>249.26691712707191</v>
      </c>
      <c r="O219">
        <v>12</v>
      </c>
    </row>
    <row r="220" spans="1:15" x14ac:dyDescent="0.25">
      <c r="A220" t="s">
        <v>46</v>
      </c>
      <c r="B220" t="s">
        <v>14</v>
      </c>
      <c r="C220" t="s">
        <v>29</v>
      </c>
      <c r="D220" t="str">
        <f t="shared" si="19"/>
        <v>FAB1_1L  Sele En Selecta Entera</v>
      </c>
      <c r="E220">
        <v>2022</v>
      </c>
      <c r="F220">
        <v>45</v>
      </c>
      <c r="G220">
        <f t="shared" si="20"/>
        <v>11</v>
      </c>
      <c r="H220" s="1">
        <f t="shared" si="21"/>
        <v>44872</v>
      </c>
      <c r="I220" s="1">
        <f t="shared" si="22"/>
        <v>44866</v>
      </c>
      <c r="J220">
        <v>642564.07000000018</v>
      </c>
      <c r="K220">
        <v>33324</v>
      </c>
      <c r="L220">
        <f t="shared" si="18"/>
        <v>19.282321149921984</v>
      </c>
      <c r="M220">
        <v>2777</v>
      </c>
      <c r="N220" s="2">
        <f t="shared" si="23"/>
        <v>231.38785379906381</v>
      </c>
      <c r="O220">
        <v>12</v>
      </c>
    </row>
    <row r="221" spans="1:15" x14ac:dyDescent="0.25">
      <c r="A221" t="s">
        <v>46</v>
      </c>
      <c r="B221" t="s">
        <v>14</v>
      </c>
      <c r="C221" t="s">
        <v>29</v>
      </c>
      <c r="D221" t="str">
        <f t="shared" si="19"/>
        <v>FAB1_1L  Sele En Selecta Entera</v>
      </c>
      <c r="E221">
        <v>2022</v>
      </c>
      <c r="F221">
        <v>46</v>
      </c>
      <c r="G221">
        <f t="shared" si="20"/>
        <v>11</v>
      </c>
      <c r="H221" s="1">
        <f t="shared" si="21"/>
        <v>44879</v>
      </c>
      <c r="I221" s="1">
        <f t="shared" si="22"/>
        <v>44866</v>
      </c>
      <c r="J221">
        <v>739080.53999999992</v>
      </c>
      <c r="K221">
        <v>38616</v>
      </c>
      <c r="L221">
        <f t="shared" si="18"/>
        <v>19.139230888750774</v>
      </c>
      <c r="M221">
        <v>3218</v>
      </c>
      <c r="N221" s="2">
        <f t="shared" si="23"/>
        <v>229.67077066500929</v>
      </c>
      <c r="O221">
        <v>12</v>
      </c>
    </row>
    <row r="222" spans="1:15" x14ac:dyDescent="0.25">
      <c r="A222" t="s">
        <v>46</v>
      </c>
      <c r="B222" t="s">
        <v>14</v>
      </c>
      <c r="C222" t="s">
        <v>29</v>
      </c>
      <c r="D222" t="str">
        <f t="shared" si="19"/>
        <v>FAB1_1L  Sele En Selecta Entera</v>
      </c>
      <c r="E222">
        <v>2022</v>
      </c>
      <c r="F222">
        <v>47</v>
      </c>
      <c r="G222">
        <f t="shared" si="20"/>
        <v>11</v>
      </c>
      <c r="H222" s="1">
        <f t="shared" si="21"/>
        <v>44886</v>
      </c>
      <c r="I222" s="1">
        <f t="shared" si="22"/>
        <v>44866</v>
      </c>
      <c r="J222">
        <v>660180.06000000017</v>
      </c>
      <c r="K222">
        <v>34620</v>
      </c>
      <c r="L222">
        <f t="shared" si="18"/>
        <v>19.069325823223576</v>
      </c>
      <c r="M222">
        <v>2885</v>
      </c>
      <c r="N222" s="2">
        <f t="shared" si="23"/>
        <v>228.83190987868289</v>
      </c>
      <c r="O222">
        <v>12</v>
      </c>
    </row>
    <row r="223" spans="1:15" x14ac:dyDescent="0.25">
      <c r="A223" t="s">
        <v>46</v>
      </c>
      <c r="B223" t="s">
        <v>14</v>
      </c>
      <c r="C223" t="s">
        <v>29</v>
      </c>
      <c r="D223" t="str">
        <f t="shared" si="19"/>
        <v>FAB1_1L  Sele En Selecta Entera</v>
      </c>
      <c r="E223">
        <v>2022</v>
      </c>
      <c r="F223">
        <v>48</v>
      </c>
      <c r="G223">
        <f t="shared" si="20"/>
        <v>12</v>
      </c>
      <c r="H223" s="1">
        <f t="shared" si="21"/>
        <v>44893</v>
      </c>
      <c r="I223" s="1">
        <f t="shared" si="22"/>
        <v>44896</v>
      </c>
      <c r="J223">
        <v>399788.86999999994</v>
      </c>
      <c r="K223">
        <v>19908</v>
      </c>
      <c r="L223">
        <f t="shared" si="18"/>
        <v>20.081819871408477</v>
      </c>
      <c r="M223">
        <v>1659</v>
      </c>
      <c r="N223" s="2">
        <f t="shared" si="23"/>
        <v>240.9818384569017</v>
      </c>
      <c r="O223">
        <v>12</v>
      </c>
    </row>
    <row r="224" spans="1:15" x14ac:dyDescent="0.25">
      <c r="A224" t="s">
        <v>46</v>
      </c>
      <c r="B224" t="s">
        <v>14</v>
      </c>
      <c r="C224" t="s">
        <v>29</v>
      </c>
      <c r="D224" t="str">
        <f t="shared" si="19"/>
        <v>FAB1_1L  Sele En Selecta Entera</v>
      </c>
      <c r="E224">
        <v>2022</v>
      </c>
      <c r="F224">
        <v>49</v>
      </c>
      <c r="G224">
        <f t="shared" si="20"/>
        <v>12</v>
      </c>
      <c r="H224" s="1">
        <f t="shared" si="21"/>
        <v>44900</v>
      </c>
      <c r="I224" s="1">
        <f t="shared" si="22"/>
        <v>44896</v>
      </c>
      <c r="J224">
        <v>471643.16</v>
      </c>
      <c r="K224">
        <v>22908</v>
      </c>
      <c r="L224">
        <f t="shared" si="18"/>
        <v>20.588578662475989</v>
      </c>
      <c r="M224">
        <v>1909</v>
      </c>
      <c r="N224" s="2">
        <f t="shared" si="23"/>
        <v>247.06294394971187</v>
      </c>
      <c r="O224">
        <v>12</v>
      </c>
    </row>
    <row r="225" spans="1:15" x14ac:dyDescent="0.25">
      <c r="A225" t="s">
        <v>46</v>
      </c>
      <c r="B225" t="s">
        <v>14</v>
      </c>
      <c r="C225" t="s">
        <v>29</v>
      </c>
      <c r="D225" t="str">
        <f t="shared" si="19"/>
        <v>FAB1_1L  Sele En Selecta Entera</v>
      </c>
      <c r="E225">
        <v>2022</v>
      </c>
      <c r="F225">
        <v>50</v>
      </c>
      <c r="G225">
        <f t="shared" si="20"/>
        <v>12</v>
      </c>
      <c r="H225" s="1">
        <f t="shared" si="21"/>
        <v>44907</v>
      </c>
      <c r="I225" s="1">
        <f t="shared" si="22"/>
        <v>44896</v>
      </c>
      <c r="J225">
        <v>474129.23999999982</v>
      </c>
      <c r="K225">
        <v>23064</v>
      </c>
      <c r="L225">
        <f t="shared" si="18"/>
        <v>20.557112382934434</v>
      </c>
      <c r="M225">
        <v>1922</v>
      </c>
      <c r="N225" s="2">
        <f t="shared" si="23"/>
        <v>246.68534859521321</v>
      </c>
      <c r="O225">
        <v>12</v>
      </c>
    </row>
    <row r="226" spans="1:15" x14ac:dyDescent="0.25">
      <c r="A226" t="s">
        <v>46</v>
      </c>
      <c r="B226" t="s">
        <v>14</v>
      </c>
      <c r="C226" t="s">
        <v>29</v>
      </c>
      <c r="D226" t="str">
        <f t="shared" si="19"/>
        <v>FAB1_1L  Sele En Selecta Entera</v>
      </c>
      <c r="E226">
        <v>2022</v>
      </c>
      <c r="F226">
        <v>51</v>
      </c>
      <c r="G226">
        <f t="shared" si="20"/>
        <v>12</v>
      </c>
      <c r="H226" s="1">
        <f t="shared" si="21"/>
        <v>44914</v>
      </c>
      <c r="I226" s="1">
        <f t="shared" si="22"/>
        <v>44896</v>
      </c>
      <c r="J226">
        <v>515501.35</v>
      </c>
      <c r="K226">
        <v>25440</v>
      </c>
      <c r="L226">
        <f t="shared" si="18"/>
        <v>20.263417845911949</v>
      </c>
      <c r="M226">
        <v>2120</v>
      </c>
      <c r="N226" s="2">
        <f t="shared" si="23"/>
        <v>243.16101415094337</v>
      </c>
      <c r="O226">
        <v>12</v>
      </c>
    </row>
    <row r="227" spans="1:15" x14ac:dyDescent="0.25">
      <c r="A227" t="s">
        <v>46</v>
      </c>
      <c r="B227" t="s">
        <v>14</v>
      </c>
      <c r="C227" t="s">
        <v>29</v>
      </c>
      <c r="D227" t="str">
        <f t="shared" si="19"/>
        <v>FAB1_1L  Sele En Selecta Entera</v>
      </c>
      <c r="E227">
        <v>2022</v>
      </c>
      <c r="F227">
        <v>52</v>
      </c>
      <c r="G227">
        <f t="shared" si="20"/>
        <v>12</v>
      </c>
      <c r="H227" s="1">
        <f t="shared" si="21"/>
        <v>44921</v>
      </c>
      <c r="I227" s="1">
        <f t="shared" si="22"/>
        <v>44896</v>
      </c>
      <c r="J227">
        <v>448894.18999999994</v>
      </c>
      <c r="K227">
        <v>22092</v>
      </c>
      <c r="L227">
        <f t="shared" si="18"/>
        <v>20.319309704870538</v>
      </c>
      <c r="M227">
        <v>1841</v>
      </c>
      <c r="N227" s="2">
        <f t="shared" si="23"/>
        <v>243.83171645844646</v>
      </c>
      <c r="O227">
        <v>12</v>
      </c>
    </row>
    <row r="228" spans="1:15" x14ac:dyDescent="0.25">
      <c r="A228" t="s">
        <v>46</v>
      </c>
      <c r="B228" t="s">
        <v>14</v>
      </c>
      <c r="C228" t="s">
        <v>29</v>
      </c>
      <c r="D228" t="str">
        <f t="shared" si="19"/>
        <v>FAB1_1L  Sele En Selecta Entera</v>
      </c>
      <c r="E228">
        <v>2023</v>
      </c>
      <c r="F228">
        <v>1</v>
      </c>
      <c r="G228">
        <f t="shared" si="20"/>
        <v>1</v>
      </c>
      <c r="H228" s="1">
        <f t="shared" si="21"/>
        <v>44928</v>
      </c>
      <c r="I228" s="1">
        <f t="shared" si="22"/>
        <v>44927</v>
      </c>
      <c r="J228">
        <v>474983.68000000017</v>
      </c>
      <c r="K228">
        <v>23184</v>
      </c>
      <c r="L228">
        <f t="shared" si="18"/>
        <v>20.487563837129063</v>
      </c>
      <c r="M228">
        <v>1932</v>
      </c>
      <c r="N228" s="2">
        <f t="shared" si="23"/>
        <v>245.85076604554874</v>
      </c>
      <c r="O228">
        <v>12</v>
      </c>
    </row>
    <row r="229" spans="1:15" x14ac:dyDescent="0.25">
      <c r="A229" t="s">
        <v>46</v>
      </c>
      <c r="B229" t="s">
        <v>14</v>
      </c>
      <c r="C229" t="s">
        <v>29</v>
      </c>
      <c r="D229" t="str">
        <f t="shared" si="19"/>
        <v>FAB1_1L  Sele En Selecta Entera</v>
      </c>
      <c r="E229">
        <v>2023</v>
      </c>
      <c r="F229">
        <v>2</v>
      </c>
      <c r="G229">
        <f t="shared" si="20"/>
        <v>1</v>
      </c>
      <c r="H229" s="1">
        <f t="shared" si="21"/>
        <v>44935</v>
      </c>
      <c r="I229" s="1">
        <f t="shared" si="22"/>
        <v>44927</v>
      </c>
      <c r="J229">
        <v>384853.15999999986</v>
      </c>
      <c r="K229">
        <v>19116</v>
      </c>
      <c r="L229">
        <f t="shared" si="18"/>
        <v>20.132515170537761</v>
      </c>
      <c r="M229">
        <v>1593</v>
      </c>
      <c r="N229" s="2">
        <f t="shared" si="23"/>
        <v>241.59018204645315</v>
      </c>
      <c r="O229">
        <v>12</v>
      </c>
    </row>
    <row r="230" spans="1:15" x14ac:dyDescent="0.25">
      <c r="A230" t="s">
        <v>46</v>
      </c>
      <c r="B230" t="s">
        <v>14</v>
      </c>
      <c r="C230" t="s">
        <v>29</v>
      </c>
      <c r="D230" t="str">
        <f t="shared" si="19"/>
        <v>FAB1_1L  Sele En Selecta Entera</v>
      </c>
      <c r="E230">
        <v>2023</v>
      </c>
      <c r="F230">
        <v>3</v>
      </c>
      <c r="G230">
        <f t="shared" si="20"/>
        <v>1</v>
      </c>
      <c r="H230" s="1">
        <f t="shared" si="21"/>
        <v>44942</v>
      </c>
      <c r="I230" s="1">
        <f t="shared" si="22"/>
        <v>44927</v>
      </c>
      <c r="J230">
        <v>468755.97</v>
      </c>
      <c r="K230">
        <v>23316</v>
      </c>
      <c r="L230">
        <f t="shared" si="18"/>
        <v>20.104476325270198</v>
      </c>
      <c r="M230">
        <v>1943</v>
      </c>
      <c r="N230" s="2">
        <f t="shared" si="23"/>
        <v>241.25371590324238</v>
      </c>
      <c r="O230">
        <v>12</v>
      </c>
    </row>
    <row r="231" spans="1:15" x14ac:dyDescent="0.25">
      <c r="A231" t="s">
        <v>46</v>
      </c>
      <c r="B231" t="s">
        <v>14</v>
      </c>
      <c r="C231" t="s">
        <v>29</v>
      </c>
      <c r="D231" t="str">
        <f t="shared" si="19"/>
        <v>FAB1_1L  Sele En Selecta Entera</v>
      </c>
      <c r="E231">
        <v>2023</v>
      </c>
      <c r="F231">
        <v>4</v>
      </c>
      <c r="G231">
        <f t="shared" si="20"/>
        <v>1</v>
      </c>
      <c r="H231" s="1">
        <f t="shared" si="21"/>
        <v>44949</v>
      </c>
      <c r="I231" s="1">
        <f t="shared" si="22"/>
        <v>44927</v>
      </c>
      <c r="J231">
        <v>355777.92000000004</v>
      </c>
      <c r="K231">
        <v>17760</v>
      </c>
      <c r="L231">
        <f t="shared" si="18"/>
        <v>20.032540540540541</v>
      </c>
      <c r="M231">
        <v>1480</v>
      </c>
      <c r="N231" s="2">
        <f t="shared" si="23"/>
        <v>240.39048648648651</v>
      </c>
      <c r="O231">
        <v>12</v>
      </c>
    </row>
    <row r="232" spans="1:15" x14ac:dyDescent="0.25">
      <c r="A232" t="s">
        <v>46</v>
      </c>
      <c r="B232" t="s">
        <v>14</v>
      </c>
      <c r="C232" t="s">
        <v>29</v>
      </c>
      <c r="D232" t="str">
        <f t="shared" si="19"/>
        <v>FAB1_1L  Sele En Selecta Entera</v>
      </c>
      <c r="E232">
        <v>2023</v>
      </c>
      <c r="F232">
        <v>5</v>
      </c>
      <c r="G232">
        <f t="shared" si="20"/>
        <v>2</v>
      </c>
      <c r="H232" s="1">
        <f t="shared" si="21"/>
        <v>44956</v>
      </c>
      <c r="I232" s="1">
        <f t="shared" si="22"/>
        <v>44958</v>
      </c>
      <c r="J232">
        <v>505241.44999999995</v>
      </c>
      <c r="K232">
        <v>24396</v>
      </c>
      <c r="L232">
        <f t="shared" si="18"/>
        <v>20.710011887194621</v>
      </c>
      <c r="M232">
        <v>2033</v>
      </c>
      <c r="N232" s="2">
        <f t="shared" si="23"/>
        <v>248.52014264633544</v>
      </c>
      <c r="O232">
        <v>12</v>
      </c>
    </row>
    <row r="233" spans="1:15" x14ac:dyDescent="0.25">
      <c r="A233" t="s">
        <v>46</v>
      </c>
      <c r="B233" t="s">
        <v>14</v>
      </c>
      <c r="C233" t="s">
        <v>29</v>
      </c>
      <c r="D233" t="str">
        <f t="shared" si="19"/>
        <v>FAB1_1L  Sele En Selecta Entera</v>
      </c>
      <c r="E233">
        <v>2023</v>
      </c>
      <c r="F233">
        <v>6</v>
      </c>
      <c r="G233">
        <f t="shared" si="20"/>
        <v>2</v>
      </c>
      <c r="H233" s="1">
        <f t="shared" si="21"/>
        <v>44963</v>
      </c>
      <c r="I233" s="1">
        <f t="shared" si="22"/>
        <v>44958</v>
      </c>
      <c r="J233">
        <v>413180.62000000034</v>
      </c>
      <c r="K233">
        <v>20376</v>
      </c>
      <c r="L233">
        <f t="shared" si="18"/>
        <v>20.277808205732249</v>
      </c>
      <c r="M233">
        <v>1698</v>
      </c>
      <c r="N233" s="2">
        <f t="shared" si="23"/>
        <v>243.33369846878702</v>
      </c>
      <c r="O233">
        <v>12</v>
      </c>
    </row>
    <row r="234" spans="1:15" x14ac:dyDescent="0.25">
      <c r="A234" t="s">
        <v>46</v>
      </c>
      <c r="B234" t="s">
        <v>14</v>
      </c>
      <c r="C234" t="s">
        <v>29</v>
      </c>
      <c r="D234" t="str">
        <f t="shared" si="19"/>
        <v>FAB1_1L  Sele En Selecta Entera</v>
      </c>
      <c r="E234">
        <v>2023</v>
      </c>
      <c r="F234">
        <v>7</v>
      </c>
      <c r="G234">
        <f t="shared" si="20"/>
        <v>2</v>
      </c>
      <c r="H234" s="1">
        <f t="shared" si="21"/>
        <v>44970</v>
      </c>
      <c r="I234" s="1">
        <f t="shared" si="22"/>
        <v>44958</v>
      </c>
      <c r="J234">
        <v>514736.94999999978</v>
      </c>
      <c r="K234">
        <v>26352</v>
      </c>
      <c r="L234">
        <f t="shared" si="18"/>
        <v>19.533126517911345</v>
      </c>
      <c r="M234">
        <v>2196</v>
      </c>
      <c r="N234" s="2">
        <f t="shared" si="23"/>
        <v>234.39751821493616</v>
      </c>
      <c r="O234">
        <v>12</v>
      </c>
    </row>
    <row r="235" spans="1:15" x14ac:dyDescent="0.25">
      <c r="A235" t="s">
        <v>46</v>
      </c>
      <c r="B235" t="s">
        <v>14</v>
      </c>
      <c r="C235" t="s">
        <v>29</v>
      </c>
      <c r="D235" t="str">
        <f t="shared" si="19"/>
        <v>FAB1_1L  Sele En Selecta Entera</v>
      </c>
      <c r="E235">
        <v>2023</v>
      </c>
      <c r="F235">
        <v>8</v>
      </c>
      <c r="G235">
        <f t="shared" si="20"/>
        <v>2</v>
      </c>
      <c r="H235" s="1">
        <f t="shared" si="21"/>
        <v>44977</v>
      </c>
      <c r="I235" s="1">
        <f t="shared" si="22"/>
        <v>44958</v>
      </c>
      <c r="J235">
        <v>336131.62000000011</v>
      </c>
      <c r="K235">
        <v>16524</v>
      </c>
      <c r="L235">
        <f t="shared" si="18"/>
        <v>20.342024933430167</v>
      </c>
      <c r="M235">
        <v>1377</v>
      </c>
      <c r="N235" s="2">
        <f t="shared" si="23"/>
        <v>244.10429920116204</v>
      </c>
      <c r="O235">
        <v>12</v>
      </c>
    </row>
    <row r="236" spans="1:15" x14ac:dyDescent="0.25">
      <c r="A236" t="s">
        <v>46</v>
      </c>
      <c r="B236" t="s">
        <v>14</v>
      </c>
      <c r="C236" t="s">
        <v>29</v>
      </c>
      <c r="D236" t="str">
        <f t="shared" si="19"/>
        <v>FAB1_1L  Sele En Selecta Entera</v>
      </c>
      <c r="E236">
        <v>2023</v>
      </c>
      <c r="F236">
        <v>9</v>
      </c>
      <c r="G236">
        <f t="shared" si="20"/>
        <v>3</v>
      </c>
      <c r="H236" s="1">
        <f t="shared" si="21"/>
        <v>44984</v>
      </c>
      <c r="I236" s="1">
        <f t="shared" si="22"/>
        <v>44986</v>
      </c>
      <c r="J236">
        <v>442652.9599999999</v>
      </c>
      <c r="K236">
        <v>22284</v>
      </c>
      <c r="L236">
        <f t="shared" si="18"/>
        <v>19.864160832884576</v>
      </c>
      <c r="M236">
        <v>1857</v>
      </c>
      <c r="N236" s="2">
        <f t="shared" si="23"/>
        <v>238.36992999461492</v>
      </c>
      <c r="O236">
        <v>12</v>
      </c>
    </row>
    <row r="237" spans="1:15" x14ac:dyDescent="0.25">
      <c r="A237" t="s">
        <v>46</v>
      </c>
      <c r="B237" t="s">
        <v>14</v>
      </c>
      <c r="C237" t="s">
        <v>29</v>
      </c>
      <c r="D237" t="str">
        <f t="shared" si="19"/>
        <v>FAB1_1L  Sele En Selecta Entera</v>
      </c>
      <c r="E237">
        <v>2023</v>
      </c>
      <c r="F237">
        <v>10</v>
      </c>
      <c r="G237">
        <f t="shared" si="20"/>
        <v>3</v>
      </c>
      <c r="H237" s="1">
        <f t="shared" si="21"/>
        <v>44991</v>
      </c>
      <c r="I237" s="1">
        <f t="shared" si="22"/>
        <v>44986</v>
      </c>
      <c r="J237">
        <v>397906.74999999988</v>
      </c>
      <c r="K237">
        <v>20100</v>
      </c>
      <c r="L237">
        <f t="shared" si="18"/>
        <v>19.796355721393031</v>
      </c>
      <c r="M237">
        <v>1675</v>
      </c>
      <c r="N237" s="2">
        <f t="shared" si="23"/>
        <v>237.55626865671636</v>
      </c>
      <c r="O237">
        <v>12</v>
      </c>
    </row>
    <row r="238" spans="1:15" x14ac:dyDescent="0.25">
      <c r="A238" t="s">
        <v>46</v>
      </c>
      <c r="B238" t="s">
        <v>14</v>
      </c>
      <c r="C238" t="s">
        <v>29</v>
      </c>
      <c r="D238" t="str">
        <f t="shared" si="19"/>
        <v>FAB1_1L  Sele En Selecta Entera</v>
      </c>
      <c r="E238">
        <v>2023</v>
      </c>
      <c r="F238">
        <v>11</v>
      </c>
      <c r="G238">
        <f t="shared" si="20"/>
        <v>3</v>
      </c>
      <c r="H238" s="1">
        <f t="shared" si="21"/>
        <v>44998</v>
      </c>
      <c r="I238" s="1">
        <f t="shared" si="22"/>
        <v>44986</v>
      </c>
      <c r="J238">
        <v>400176.14999999997</v>
      </c>
      <c r="K238">
        <v>19920</v>
      </c>
      <c r="L238">
        <f t="shared" si="18"/>
        <v>20.089164156626506</v>
      </c>
      <c r="M238">
        <v>1660</v>
      </c>
      <c r="N238" s="2">
        <f t="shared" si="23"/>
        <v>241.06996987951806</v>
      </c>
      <c r="O238">
        <v>12</v>
      </c>
    </row>
    <row r="239" spans="1:15" x14ac:dyDescent="0.25">
      <c r="A239" t="s">
        <v>46</v>
      </c>
      <c r="B239" t="s">
        <v>14</v>
      </c>
      <c r="C239" t="s">
        <v>29</v>
      </c>
      <c r="D239" t="str">
        <f t="shared" si="19"/>
        <v>FAB1_1L  Sele En Selecta Entera</v>
      </c>
      <c r="E239">
        <v>2023</v>
      </c>
      <c r="F239">
        <v>12</v>
      </c>
      <c r="G239">
        <f t="shared" si="20"/>
        <v>3</v>
      </c>
      <c r="H239" s="1">
        <f t="shared" si="21"/>
        <v>45005</v>
      </c>
      <c r="I239" s="1">
        <f t="shared" si="22"/>
        <v>44986</v>
      </c>
      <c r="J239">
        <v>387507.1700000001</v>
      </c>
      <c r="K239">
        <v>19512</v>
      </c>
      <c r="L239">
        <f t="shared" si="18"/>
        <v>19.859941061910625</v>
      </c>
      <c r="M239">
        <v>1626</v>
      </c>
      <c r="N239" s="2">
        <f t="shared" si="23"/>
        <v>238.3192927429275</v>
      </c>
      <c r="O239">
        <v>12</v>
      </c>
    </row>
    <row r="240" spans="1:15" x14ac:dyDescent="0.25">
      <c r="A240" t="s">
        <v>46</v>
      </c>
      <c r="B240" t="s">
        <v>14</v>
      </c>
      <c r="C240" t="s">
        <v>29</v>
      </c>
      <c r="D240" t="str">
        <f t="shared" si="19"/>
        <v>FAB1_1L  Sele En Selecta Entera</v>
      </c>
      <c r="E240">
        <v>2023</v>
      </c>
      <c r="F240">
        <v>13</v>
      </c>
      <c r="G240">
        <f t="shared" si="20"/>
        <v>3</v>
      </c>
      <c r="H240" s="1">
        <f t="shared" si="21"/>
        <v>45012</v>
      </c>
      <c r="I240" s="1">
        <f t="shared" si="22"/>
        <v>44986</v>
      </c>
      <c r="J240">
        <v>430852.15000000008</v>
      </c>
      <c r="K240">
        <v>22008</v>
      </c>
      <c r="L240">
        <f t="shared" si="18"/>
        <v>19.577069701926575</v>
      </c>
      <c r="M240">
        <v>1834</v>
      </c>
      <c r="N240" s="2">
        <f t="shared" si="23"/>
        <v>234.9248364231189</v>
      </c>
      <c r="O240">
        <v>12</v>
      </c>
    </row>
    <row r="241" spans="1:15" x14ac:dyDescent="0.25">
      <c r="A241" t="s">
        <v>46</v>
      </c>
      <c r="B241" t="s">
        <v>14</v>
      </c>
      <c r="C241" t="s">
        <v>29</v>
      </c>
      <c r="D241" t="str">
        <f t="shared" si="19"/>
        <v>FAB1_1L  Sele En Selecta Entera</v>
      </c>
      <c r="E241">
        <v>2023</v>
      </c>
      <c r="F241">
        <v>14</v>
      </c>
      <c r="G241">
        <f t="shared" si="20"/>
        <v>4</v>
      </c>
      <c r="H241" s="1">
        <f t="shared" si="21"/>
        <v>45019</v>
      </c>
      <c r="I241" s="1">
        <f t="shared" si="22"/>
        <v>45017</v>
      </c>
      <c r="J241">
        <v>563548.01000000013</v>
      </c>
      <c r="K241">
        <v>29628</v>
      </c>
      <c r="L241">
        <f t="shared" si="18"/>
        <v>19.020791481031463</v>
      </c>
      <c r="M241">
        <v>2469</v>
      </c>
      <c r="N241" s="2">
        <f t="shared" si="23"/>
        <v>228.24949777237754</v>
      </c>
      <c r="O241">
        <v>12</v>
      </c>
    </row>
    <row r="242" spans="1:15" x14ac:dyDescent="0.25">
      <c r="A242" t="s">
        <v>46</v>
      </c>
      <c r="B242" t="s">
        <v>14</v>
      </c>
      <c r="C242" t="s">
        <v>29</v>
      </c>
      <c r="D242" t="str">
        <f t="shared" si="19"/>
        <v>FAB1_1L  Sele En Selecta Entera</v>
      </c>
      <c r="E242">
        <v>2023</v>
      </c>
      <c r="F242">
        <v>15</v>
      </c>
      <c r="G242">
        <f t="shared" si="20"/>
        <v>4</v>
      </c>
      <c r="H242" s="1">
        <f t="shared" si="21"/>
        <v>45026</v>
      </c>
      <c r="I242" s="1">
        <f t="shared" si="22"/>
        <v>45017</v>
      </c>
      <c r="J242">
        <v>478182.13999999996</v>
      </c>
      <c r="K242">
        <v>25128</v>
      </c>
      <c r="L242">
        <f t="shared" si="18"/>
        <v>19.02985275390003</v>
      </c>
      <c r="M242">
        <v>2094</v>
      </c>
      <c r="N242" s="2">
        <f t="shared" si="23"/>
        <v>228.35823304680036</v>
      </c>
      <c r="O242">
        <v>12</v>
      </c>
    </row>
    <row r="243" spans="1:15" x14ac:dyDescent="0.25">
      <c r="A243" t="s">
        <v>46</v>
      </c>
      <c r="B243" t="s">
        <v>14</v>
      </c>
      <c r="C243" t="s">
        <v>29</v>
      </c>
      <c r="D243" t="str">
        <f t="shared" si="19"/>
        <v>FAB1_1L  Sele En Selecta Entera</v>
      </c>
      <c r="E243">
        <v>2023</v>
      </c>
      <c r="F243">
        <v>16</v>
      </c>
      <c r="G243">
        <f t="shared" si="20"/>
        <v>4</v>
      </c>
      <c r="H243" s="1">
        <f t="shared" si="21"/>
        <v>45033</v>
      </c>
      <c r="I243" s="1">
        <f t="shared" si="22"/>
        <v>45017</v>
      </c>
      <c r="J243">
        <v>436668.44000000018</v>
      </c>
      <c r="K243">
        <v>22164</v>
      </c>
      <c r="L243">
        <f t="shared" si="18"/>
        <v>19.701698249413472</v>
      </c>
      <c r="M243">
        <v>1847</v>
      </c>
      <c r="N243" s="2">
        <f t="shared" si="23"/>
        <v>236.42037899296164</v>
      </c>
      <c r="O243">
        <v>12</v>
      </c>
    </row>
    <row r="244" spans="1:15" x14ac:dyDescent="0.25">
      <c r="A244" t="s">
        <v>46</v>
      </c>
      <c r="B244" t="s">
        <v>14</v>
      </c>
      <c r="C244" t="s">
        <v>29</v>
      </c>
      <c r="D244" t="str">
        <f t="shared" si="19"/>
        <v>FAB1_1L  Sele En Selecta Entera</v>
      </c>
      <c r="E244">
        <v>2023</v>
      </c>
      <c r="F244">
        <v>17</v>
      </c>
      <c r="G244">
        <f t="shared" si="20"/>
        <v>4</v>
      </c>
      <c r="H244" s="1">
        <f t="shared" si="21"/>
        <v>45040</v>
      </c>
      <c r="I244" s="1">
        <f t="shared" si="22"/>
        <v>45017</v>
      </c>
      <c r="J244">
        <v>467188.39999999991</v>
      </c>
      <c r="K244">
        <v>23832</v>
      </c>
      <c r="L244">
        <f t="shared" si="18"/>
        <v>19.603407183618661</v>
      </c>
      <c r="M244">
        <v>1986</v>
      </c>
      <c r="N244" s="2">
        <f t="shared" si="23"/>
        <v>235.24088620342391</v>
      </c>
      <c r="O244">
        <v>12</v>
      </c>
    </row>
    <row r="245" spans="1:15" x14ac:dyDescent="0.25">
      <c r="A245" t="s">
        <v>46</v>
      </c>
      <c r="B245" t="s">
        <v>14</v>
      </c>
      <c r="C245" t="s">
        <v>29</v>
      </c>
      <c r="D245" t="str">
        <f t="shared" si="19"/>
        <v>FAB1_1L  Sele En Selecta Entera</v>
      </c>
      <c r="E245">
        <v>2023</v>
      </c>
      <c r="F245">
        <v>18</v>
      </c>
      <c r="G245">
        <f t="shared" si="20"/>
        <v>5</v>
      </c>
      <c r="H245" s="1">
        <f t="shared" si="21"/>
        <v>45047</v>
      </c>
      <c r="I245" s="1">
        <f t="shared" si="22"/>
        <v>45047</v>
      </c>
      <c r="J245">
        <v>557515.51000000013</v>
      </c>
      <c r="K245">
        <v>28500</v>
      </c>
      <c r="L245">
        <f t="shared" si="18"/>
        <v>19.561947719298249</v>
      </c>
      <c r="M245">
        <v>2375</v>
      </c>
      <c r="N245" s="2">
        <f t="shared" si="23"/>
        <v>234.74337263157901</v>
      </c>
      <c r="O245">
        <v>12</v>
      </c>
    </row>
    <row r="246" spans="1:15" x14ac:dyDescent="0.25">
      <c r="A246" t="s">
        <v>46</v>
      </c>
      <c r="B246" t="s">
        <v>14</v>
      </c>
      <c r="C246" t="s">
        <v>29</v>
      </c>
      <c r="D246" t="str">
        <f t="shared" si="19"/>
        <v>FAB1_1L  Sele En Selecta Entera</v>
      </c>
      <c r="E246">
        <v>2023</v>
      </c>
      <c r="F246">
        <v>19</v>
      </c>
      <c r="G246">
        <f t="shared" si="20"/>
        <v>5</v>
      </c>
      <c r="H246" s="1">
        <f t="shared" si="21"/>
        <v>45054</v>
      </c>
      <c r="I246" s="1">
        <f t="shared" si="22"/>
        <v>45047</v>
      </c>
      <c r="J246">
        <v>418507.6999999999</v>
      </c>
      <c r="K246">
        <v>22044</v>
      </c>
      <c r="L246">
        <f t="shared" si="18"/>
        <v>18.985107058610048</v>
      </c>
      <c r="M246">
        <v>1837</v>
      </c>
      <c r="N246" s="2">
        <f t="shared" si="23"/>
        <v>227.82128470332057</v>
      </c>
      <c r="O246">
        <v>12</v>
      </c>
    </row>
    <row r="247" spans="1:15" x14ac:dyDescent="0.25">
      <c r="A247" t="s">
        <v>46</v>
      </c>
      <c r="B247" t="s">
        <v>14</v>
      </c>
      <c r="C247" t="s">
        <v>29</v>
      </c>
      <c r="D247" t="str">
        <f t="shared" si="19"/>
        <v>FAB1_1L  Sele En Selecta Entera</v>
      </c>
      <c r="E247">
        <v>2023</v>
      </c>
      <c r="F247">
        <v>20</v>
      </c>
      <c r="G247">
        <f t="shared" si="20"/>
        <v>5</v>
      </c>
      <c r="H247" s="1">
        <f t="shared" si="21"/>
        <v>45061</v>
      </c>
      <c r="I247" s="1">
        <f t="shared" si="22"/>
        <v>45047</v>
      </c>
      <c r="J247">
        <v>502503.99000000017</v>
      </c>
      <c r="K247">
        <v>26340</v>
      </c>
      <c r="L247">
        <f t="shared" si="18"/>
        <v>19.077600227790438</v>
      </c>
      <c r="M247">
        <v>2195</v>
      </c>
      <c r="N247" s="2">
        <f t="shared" si="23"/>
        <v>228.93120273348526</v>
      </c>
      <c r="O247">
        <v>12</v>
      </c>
    </row>
    <row r="248" spans="1:15" x14ac:dyDescent="0.25">
      <c r="A248" t="s">
        <v>46</v>
      </c>
      <c r="B248" t="s">
        <v>14</v>
      </c>
      <c r="C248" t="s">
        <v>29</v>
      </c>
      <c r="D248" t="str">
        <f t="shared" si="19"/>
        <v>FAB1_1L  Sele En Selecta Entera</v>
      </c>
      <c r="E248">
        <v>2023</v>
      </c>
      <c r="F248">
        <v>21</v>
      </c>
      <c r="G248">
        <f t="shared" si="20"/>
        <v>5</v>
      </c>
      <c r="H248" s="1">
        <f t="shared" si="21"/>
        <v>45068</v>
      </c>
      <c r="I248" s="1">
        <f t="shared" si="22"/>
        <v>45047</v>
      </c>
      <c r="J248">
        <v>358715.01000000007</v>
      </c>
      <c r="K248">
        <v>18744</v>
      </c>
      <c r="L248">
        <f t="shared" si="18"/>
        <v>19.137591229193344</v>
      </c>
      <c r="M248">
        <v>1562</v>
      </c>
      <c r="N248" s="2">
        <f t="shared" si="23"/>
        <v>229.65109475032014</v>
      </c>
      <c r="O248">
        <v>12</v>
      </c>
    </row>
    <row r="249" spans="1:15" x14ac:dyDescent="0.25">
      <c r="A249" t="s">
        <v>46</v>
      </c>
      <c r="B249" t="s">
        <v>14</v>
      </c>
      <c r="C249" t="s">
        <v>29</v>
      </c>
      <c r="D249" t="str">
        <f t="shared" si="19"/>
        <v>FAB1_1L  Sele En Selecta Entera</v>
      </c>
      <c r="E249">
        <v>2023</v>
      </c>
      <c r="F249">
        <v>22</v>
      </c>
      <c r="G249">
        <f t="shared" si="20"/>
        <v>6</v>
      </c>
      <c r="H249" s="1">
        <f t="shared" si="21"/>
        <v>45075</v>
      </c>
      <c r="I249" s="1">
        <f t="shared" si="22"/>
        <v>45078</v>
      </c>
      <c r="J249">
        <v>405702.00999999983</v>
      </c>
      <c r="K249">
        <v>20472</v>
      </c>
      <c r="L249">
        <f t="shared" si="18"/>
        <v>19.817409632669005</v>
      </c>
      <c r="M249">
        <v>1706</v>
      </c>
      <c r="N249" s="2">
        <f t="shared" si="23"/>
        <v>237.80891559202803</v>
      </c>
      <c r="O249">
        <v>12</v>
      </c>
    </row>
    <row r="250" spans="1:15" x14ac:dyDescent="0.25">
      <c r="A250" t="s">
        <v>46</v>
      </c>
      <c r="B250" t="s">
        <v>14</v>
      </c>
      <c r="C250" t="s">
        <v>29</v>
      </c>
      <c r="D250" t="str">
        <f t="shared" si="19"/>
        <v>FAB1_1L  Sele En Selecta Entera</v>
      </c>
      <c r="E250">
        <v>2023</v>
      </c>
      <c r="F250">
        <v>23</v>
      </c>
      <c r="G250">
        <f t="shared" si="20"/>
        <v>6</v>
      </c>
      <c r="H250" s="1">
        <f t="shared" si="21"/>
        <v>45082</v>
      </c>
      <c r="I250" s="1">
        <f t="shared" si="22"/>
        <v>45078</v>
      </c>
      <c r="J250">
        <v>423832.46999999991</v>
      </c>
      <c r="K250">
        <v>20784</v>
      </c>
      <c r="L250">
        <f t="shared" si="18"/>
        <v>20.39224740184757</v>
      </c>
      <c r="M250">
        <v>1732</v>
      </c>
      <c r="N250" s="2">
        <f t="shared" si="23"/>
        <v>244.70696882217086</v>
      </c>
      <c r="O250">
        <v>12</v>
      </c>
    </row>
    <row r="251" spans="1:15" x14ac:dyDescent="0.25">
      <c r="A251" t="s">
        <v>46</v>
      </c>
      <c r="B251" t="s">
        <v>14</v>
      </c>
      <c r="C251" t="s">
        <v>29</v>
      </c>
      <c r="D251" t="str">
        <f t="shared" si="19"/>
        <v>FAB1_1L  Sele En Selecta Entera</v>
      </c>
      <c r="E251">
        <v>2023</v>
      </c>
      <c r="F251">
        <v>24</v>
      </c>
      <c r="G251">
        <f t="shared" si="20"/>
        <v>6</v>
      </c>
      <c r="H251" s="1">
        <f t="shared" si="21"/>
        <v>45089</v>
      </c>
      <c r="I251" s="1">
        <f t="shared" si="22"/>
        <v>45078</v>
      </c>
      <c r="J251">
        <v>421098.34999999986</v>
      </c>
      <c r="K251">
        <v>21684</v>
      </c>
      <c r="L251">
        <f t="shared" si="18"/>
        <v>19.419772643423716</v>
      </c>
      <c r="M251">
        <v>1807</v>
      </c>
      <c r="N251" s="2">
        <f t="shared" si="23"/>
        <v>233.03727172108458</v>
      </c>
      <c r="O251">
        <v>12</v>
      </c>
    </row>
    <row r="252" spans="1:15" x14ac:dyDescent="0.25">
      <c r="A252" t="s">
        <v>46</v>
      </c>
      <c r="B252" t="s">
        <v>14</v>
      </c>
      <c r="C252" t="s">
        <v>29</v>
      </c>
      <c r="D252" t="str">
        <f t="shared" si="19"/>
        <v>FAB1_1L  Sele En Selecta Entera</v>
      </c>
      <c r="E252">
        <v>2023</v>
      </c>
      <c r="F252">
        <v>25</v>
      </c>
      <c r="G252">
        <f t="shared" si="20"/>
        <v>6</v>
      </c>
      <c r="H252" s="1">
        <f t="shared" si="21"/>
        <v>45096</v>
      </c>
      <c r="I252" s="1">
        <f t="shared" si="22"/>
        <v>45078</v>
      </c>
      <c r="J252">
        <v>404409.4000000002</v>
      </c>
      <c r="K252">
        <v>20496</v>
      </c>
      <c r="L252">
        <f t="shared" si="18"/>
        <v>19.731137782982056</v>
      </c>
      <c r="M252">
        <v>1708</v>
      </c>
      <c r="N252" s="2">
        <f t="shared" si="23"/>
        <v>236.77365339578466</v>
      </c>
      <c r="O252">
        <v>12</v>
      </c>
    </row>
    <row r="253" spans="1:15" x14ac:dyDescent="0.25">
      <c r="A253" t="s">
        <v>46</v>
      </c>
      <c r="B253" t="s">
        <v>14</v>
      </c>
      <c r="C253" t="s">
        <v>29</v>
      </c>
      <c r="D253" t="str">
        <f t="shared" si="19"/>
        <v>FAB1_1L  Sele En Selecta Entera</v>
      </c>
      <c r="E253">
        <v>2023</v>
      </c>
      <c r="F253">
        <v>26</v>
      </c>
      <c r="G253">
        <f t="shared" si="20"/>
        <v>6</v>
      </c>
      <c r="H253" s="1">
        <f t="shared" si="21"/>
        <v>45103</v>
      </c>
      <c r="I253" s="1">
        <f t="shared" si="22"/>
        <v>45078</v>
      </c>
      <c r="J253">
        <v>387073.76</v>
      </c>
      <c r="K253">
        <v>19620</v>
      </c>
      <c r="L253">
        <f t="shared" si="18"/>
        <v>19.72853007135576</v>
      </c>
      <c r="M253">
        <v>1635</v>
      </c>
      <c r="N253" s="2">
        <f t="shared" si="23"/>
        <v>236.74236085626913</v>
      </c>
      <c r="O253">
        <v>12</v>
      </c>
    </row>
    <row r="254" spans="1:15" x14ac:dyDescent="0.25">
      <c r="A254" t="s">
        <v>46</v>
      </c>
      <c r="B254" t="s">
        <v>14</v>
      </c>
      <c r="C254" t="s">
        <v>29</v>
      </c>
      <c r="D254" t="str">
        <f t="shared" si="19"/>
        <v>FAB1_1L  Sele En Selecta Entera</v>
      </c>
      <c r="E254">
        <v>2023</v>
      </c>
      <c r="F254">
        <v>27</v>
      </c>
      <c r="G254">
        <f t="shared" si="20"/>
        <v>7</v>
      </c>
      <c r="H254" s="1">
        <f t="shared" si="21"/>
        <v>45110</v>
      </c>
      <c r="I254" s="1">
        <f t="shared" si="22"/>
        <v>45108</v>
      </c>
      <c r="J254">
        <v>438757.20000000007</v>
      </c>
      <c r="K254">
        <v>22056</v>
      </c>
      <c r="L254">
        <f t="shared" si="18"/>
        <v>19.892872687704028</v>
      </c>
      <c r="M254">
        <v>1838</v>
      </c>
      <c r="N254" s="2">
        <f t="shared" si="23"/>
        <v>238.71447225244836</v>
      </c>
      <c r="O254">
        <v>12</v>
      </c>
    </row>
    <row r="255" spans="1:15" x14ac:dyDescent="0.25">
      <c r="A255" t="s">
        <v>46</v>
      </c>
      <c r="B255" t="s">
        <v>14</v>
      </c>
      <c r="C255" t="s">
        <v>29</v>
      </c>
      <c r="D255" t="str">
        <f t="shared" si="19"/>
        <v>FAB1_1L  Sele En Selecta Entera</v>
      </c>
      <c r="E255">
        <v>2023</v>
      </c>
      <c r="F255">
        <v>28</v>
      </c>
      <c r="G255">
        <f t="shared" si="20"/>
        <v>7</v>
      </c>
      <c r="H255" s="1">
        <f t="shared" si="21"/>
        <v>45117</v>
      </c>
      <c r="I255" s="1">
        <f t="shared" si="22"/>
        <v>45108</v>
      </c>
      <c r="J255">
        <v>424781.6399999999</v>
      </c>
      <c r="K255">
        <v>20700</v>
      </c>
      <c r="L255">
        <f t="shared" si="18"/>
        <v>20.520852173913038</v>
      </c>
      <c r="M255">
        <v>1725</v>
      </c>
      <c r="N255" s="2">
        <f t="shared" si="23"/>
        <v>246.25022608695647</v>
      </c>
      <c r="O255">
        <v>12</v>
      </c>
    </row>
    <row r="256" spans="1:15" x14ac:dyDescent="0.25">
      <c r="A256" t="s">
        <v>46</v>
      </c>
      <c r="B256" t="s">
        <v>14</v>
      </c>
      <c r="C256" t="s">
        <v>29</v>
      </c>
      <c r="D256" t="str">
        <f t="shared" si="19"/>
        <v>FAB1_1L  Sele En Selecta Entera</v>
      </c>
      <c r="E256">
        <v>2023</v>
      </c>
      <c r="F256">
        <v>29</v>
      </c>
      <c r="G256">
        <f t="shared" si="20"/>
        <v>7</v>
      </c>
      <c r="H256" s="1">
        <f t="shared" si="21"/>
        <v>45124</v>
      </c>
      <c r="I256" s="1">
        <f t="shared" si="22"/>
        <v>45108</v>
      </c>
      <c r="J256">
        <v>539349.5</v>
      </c>
      <c r="K256">
        <v>27372</v>
      </c>
      <c r="L256">
        <f t="shared" si="18"/>
        <v>19.704424229139267</v>
      </c>
      <c r="M256">
        <v>2281</v>
      </c>
      <c r="N256" s="2">
        <f t="shared" si="23"/>
        <v>236.45309074967119</v>
      </c>
      <c r="O256">
        <v>12</v>
      </c>
    </row>
    <row r="257" spans="1:15" x14ac:dyDescent="0.25">
      <c r="A257" t="s">
        <v>46</v>
      </c>
      <c r="B257" t="s">
        <v>14</v>
      </c>
      <c r="C257" t="s">
        <v>29</v>
      </c>
      <c r="D257" t="str">
        <f t="shared" si="19"/>
        <v>FAB1_1L  Sele En Selecta Entera</v>
      </c>
      <c r="E257">
        <v>2023</v>
      </c>
      <c r="F257">
        <v>30</v>
      </c>
      <c r="G257">
        <f t="shared" si="20"/>
        <v>7</v>
      </c>
      <c r="H257" s="1">
        <f t="shared" si="21"/>
        <v>45131</v>
      </c>
      <c r="I257" s="1">
        <f t="shared" si="22"/>
        <v>45108</v>
      </c>
      <c r="J257">
        <v>480557.41999999993</v>
      </c>
      <c r="K257">
        <v>24564</v>
      </c>
      <c r="L257">
        <f t="shared" si="18"/>
        <v>19.563483960267053</v>
      </c>
      <c r="M257">
        <v>2047</v>
      </c>
      <c r="N257" s="2">
        <f t="shared" si="23"/>
        <v>234.76180752320465</v>
      </c>
      <c r="O257">
        <v>12</v>
      </c>
    </row>
    <row r="258" spans="1:15" x14ac:dyDescent="0.25">
      <c r="A258" t="s">
        <v>46</v>
      </c>
      <c r="B258" t="s">
        <v>14</v>
      </c>
      <c r="C258" t="s">
        <v>29</v>
      </c>
      <c r="D258" t="str">
        <f t="shared" si="19"/>
        <v>FAB1_1L  Sele En Selecta Entera</v>
      </c>
      <c r="E258">
        <v>2023</v>
      </c>
      <c r="F258">
        <v>31</v>
      </c>
      <c r="G258">
        <f t="shared" si="20"/>
        <v>8</v>
      </c>
      <c r="H258" s="1">
        <f t="shared" si="21"/>
        <v>45138</v>
      </c>
      <c r="I258" s="1">
        <f t="shared" si="22"/>
        <v>45139</v>
      </c>
      <c r="J258">
        <v>564681.52999999991</v>
      </c>
      <c r="K258">
        <v>27588</v>
      </c>
      <c r="L258">
        <f t="shared" ref="L258:L321" si="24">J258/K258</f>
        <v>20.468375018123819</v>
      </c>
      <c r="M258">
        <v>2299</v>
      </c>
      <c r="N258" s="2">
        <f t="shared" si="23"/>
        <v>245.62050021748581</v>
      </c>
      <c r="O258">
        <v>12</v>
      </c>
    </row>
    <row r="259" spans="1:15" x14ac:dyDescent="0.25">
      <c r="A259" t="s">
        <v>46</v>
      </c>
      <c r="B259" t="s">
        <v>14</v>
      </c>
      <c r="C259" t="s">
        <v>29</v>
      </c>
      <c r="D259" t="str">
        <f t="shared" ref="D259:D322" si="25">B259&amp;"_"&amp;C259</f>
        <v>FAB1_1L  Sele En Selecta Entera</v>
      </c>
      <c r="E259">
        <v>2023</v>
      </c>
      <c r="F259">
        <v>32</v>
      </c>
      <c r="G259">
        <f t="shared" ref="G259:G322" si="26">MONTH(DATE(E259,1,4)+(F259-1)*7-WEEKDAY(DATE(E259,1,4),2)+4)</f>
        <v>8</v>
      </c>
      <c r="H259" s="1">
        <f t="shared" ref="H259:H322" si="27">DATE(E259,1,-2)-WEEKDAY(DATE(E259,1,3))+F259*7</f>
        <v>45145</v>
      </c>
      <c r="I259" s="1">
        <f t="shared" ref="I259:I322" si="28">DATE(E259,G259,1)</f>
        <v>45139</v>
      </c>
      <c r="J259">
        <v>439853.16999999993</v>
      </c>
      <c r="K259">
        <v>20256</v>
      </c>
      <c r="L259">
        <f t="shared" si="24"/>
        <v>21.714710209320693</v>
      </c>
      <c r="M259">
        <v>1688</v>
      </c>
      <c r="N259" s="2">
        <f t="shared" ref="N259:N322" si="29">J259/M259</f>
        <v>260.57652251184828</v>
      </c>
      <c r="O259">
        <v>12</v>
      </c>
    </row>
    <row r="260" spans="1:15" x14ac:dyDescent="0.25">
      <c r="A260" t="s">
        <v>46</v>
      </c>
      <c r="B260" t="s">
        <v>14</v>
      </c>
      <c r="C260" t="s">
        <v>29</v>
      </c>
      <c r="D260" t="str">
        <f t="shared" si="25"/>
        <v>FAB1_1L  Sele En Selecta Entera</v>
      </c>
      <c r="E260">
        <v>2023</v>
      </c>
      <c r="F260">
        <v>33</v>
      </c>
      <c r="G260">
        <f t="shared" si="26"/>
        <v>8</v>
      </c>
      <c r="H260" s="1">
        <f t="shared" si="27"/>
        <v>45152</v>
      </c>
      <c r="I260" s="1">
        <f t="shared" si="28"/>
        <v>45139</v>
      </c>
      <c r="J260">
        <v>490521.40000000008</v>
      </c>
      <c r="K260">
        <v>23220</v>
      </c>
      <c r="L260">
        <f t="shared" si="24"/>
        <v>21.124952627045655</v>
      </c>
      <c r="M260">
        <v>1935</v>
      </c>
      <c r="N260" s="2">
        <f t="shared" si="29"/>
        <v>253.49943152454784</v>
      </c>
      <c r="O260">
        <v>12</v>
      </c>
    </row>
    <row r="261" spans="1:15" x14ac:dyDescent="0.25">
      <c r="A261" t="s">
        <v>46</v>
      </c>
      <c r="B261" t="s">
        <v>14</v>
      </c>
      <c r="C261" t="s">
        <v>29</v>
      </c>
      <c r="D261" t="str">
        <f t="shared" si="25"/>
        <v>FAB1_1L  Sele En Selecta Entera</v>
      </c>
      <c r="E261">
        <v>2023</v>
      </c>
      <c r="F261">
        <v>34</v>
      </c>
      <c r="G261">
        <f t="shared" si="26"/>
        <v>8</v>
      </c>
      <c r="H261" s="1">
        <f t="shared" si="27"/>
        <v>45159</v>
      </c>
      <c r="I261" s="1">
        <f t="shared" si="28"/>
        <v>45139</v>
      </c>
      <c r="J261">
        <v>564195.5</v>
      </c>
      <c r="K261">
        <v>27228</v>
      </c>
      <c r="L261">
        <f t="shared" si="24"/>
        <v>20.721151021007785</v>
      </c>
      <c r="M261">
        <v>2269</v>
      </c>
      <c r="N261" s="2">
        <f t="shared" si="29"/>
        <v>248.65381225209345</v>
      </c>
      <c r="O261">
        <v>12</v>
      </c>
    </row>
    <row r="262" spans="1:15" x14ac:dyDescent="0.25">
      <c r="A262" t="s">
        <v>46</v>
      </c>
      <c r="B262" t="s">
        <v>14</v>
      </c>
      <c r="C262" t="s">
        <v>29</v>
      </c>
      <c r="D262" t="str">
        <f t="shared" si="25"/>
        <v>FAB1_1L  Sele En Selecta Entera</v>
      </c>
      <c r="E262">
        <v>2023</v>
      </c>
      <c r="F262">
        <v>35</v>
      </c>
      <c r="G262">
        <f t="shared" si="26"/>
        <v>8</v>
      </c>
      <c r="H262" s="1">
        <f t="shared" si="27"/>
        <v>45166</v>
      </c>
      <c r="I262" s="1">
        <f t="shared" si="28"/>
        <v>45139</v>
      </c>
      <c r="J262">
        <v>617487.31000000017</v>
      </c>
      <c r="K262">
        <v>30036</v>
      </c>
      <c r="L262">
        <f t="shared" si="24"/>
        <v>20.55824044479958</v>
      </c>
      <c r="M262">
        <v>2503</v>
      </c>
      <c r="N262" s="2">
        <f t="shared" si="29"/>
        <v>246.69888533759496</v>
      </c>
      <c r="O262">
        <v>12</v>
      </c>
    </row>
    <row r="263" spans="1:15" x14ac:dyDescent="0.25">
      <c r="A263" t="s">
        <v>46</v>
      </c>
      <c r="B263" t="s">
        <v>14</v>
      </c>
      <c r="C263" t="s">
        <v>29</v>
      </c>
      <c r="D263" t="str">
        <f t="shared" si="25"/>
        <v>FAB1_1L  Sele En Selecta Entera</v>
      </c>
      <c r="E263">
        <v>2023</v>
      </c>
      <c r="F263">
        <v>36</v>
      </c>
      <c r="G263">
        <f t="shared" si="26"/>
        <v>9</v>
      </c>
      <c r="H263" s="1">
        <f t="shared" si="27"/>
        <v>45173</v>
      </c>
      <c r="I263" s="1">
        <f t="shared" si="28"/>
        <v>45170</v>
      </c>
      <c r="J263">
        <v>609318.88999999978</v>
      </c>
      <c r="K263">
        <v>29700</v>
      </c>
      <c r="L263">
        <f t="shared" si="24"/>
        <v>20.515787542087534</v>
      </c>
      <c r="M263">
        <v>2475</v>
      </c>
      <c r="N263" s="2">
        <f t="shared" si="29"/>
        <v>246.18945050505042</v>
      </c>
      <c r="O263">
        <v>12</v>
      </c>
    </row>
    <row r="264" spans="1:15" x14ac:dyDescent="0.25">
      <c r="A264" t="s">
        <v>46</v>
      </c>
      <c r="B264" t="s">
        <v>14</v>
      </c>
      <c r="C264" t="s">
        <v>29</v>
      </c>
      <c r="D264" t="str">
        <f t="shared" si="25"/>
        <v>FAB1_1L  Sele En Selecta Entera</v>
      </c>
      <c r="E264">
        <v>2023</v>
      </c>
      <c r="F264">
        <v>37</v>
      </c>
      <c r="G264">
        <f t="shared" si="26"/>
        <v>9</v>
      </c>
      <c r="H264" s="1">
        <f t="shared" si="27"/>
        <v>45180</v>
      </c>
      <c r="I264" s="1">
        <f t="shared" si="28"/>
        <v>45170</v>
      </c>
      <c r="J264">
        <v>574834.52000000014</v>
      </c>
      <c r="K264">
        <v>27984</v>
      </c>
      <c r="L264">
        <f t="shared" si="24"/>
        <v>20.541542309891373</v>
      </c>
      <c r="M264">
        <v>2332</v>
      </c>
      <c r="N264" s="2">
        <f t="shared" si="29"/>
        <v>246.49850771869646</v>
      </c>
      <c r="O264">
        <v>12</v>
      </c>
    </row>
    <row r="265" spans="1:15" x14ac:dyDescent="0.25">
      <c r="A265" t="s">
        <v>46</v>
      </c>
      <c r="B265" t="s">
        <v>14</v>
      </c>
      <c r="C265" t="s">
        <v>29</v>
      </c>
      <c r="D265" t="str">
        <f t="shared" si="25"/>
        <v>FAB1_1L  Sele En Selecta Entera</v>
      </c>
      <c r="E265">
        <v>2023</v>
      </c>
      <c r="F265">
        <v>38</v>
      </c>
      <c r="G265">
        <f t="shared" si="26"/>
        <v>9</v>
      </c>
      <c r="H265" s="1">
        <f t="shared" si="27"/>
        <v>45187</v>
      </c>
      <c r="I265" s="1">
        <f t="shared" si="28"/>
        <v>45170</v>
      </c>
      <c r="J265">
        <v>473260.23999999993</v>
      </c>
      <c r="K265">
        <v>21180</v>
      </c>
      <c r="L265">
        <f t="shared" si="24"/>
        <v>22.344676109537296</v>
      </c>
      <c r="M265">
        <v>1765</v>
      </c>
      <c r="N265" s="2">
        <f t="shared" si="29"/>
        <v>268.13611331444753</v>
      </c>
      <c r="O265">
        <v>12</v>
      </c>
    </row>
    <row r="266" spans="1:15" x14ac:dyDescent="0.25">
      <c r="A266" t="s">
        <v>46</v>
      </c>
      <c r="B266" t="s">
        <v>14</v>
      </c>
      <c r="C266" t="s">
        <v>29</v>
      </c>
      <c r="D266" t="str">
        <f t="shared" si="25"/>
        <v>FAB1_1L  Sele En Selecta Entera</v>
      </c>
      <c r="E266">
        <v>2023</v>
      </c>
      <c r="F266">
        <v>39</v>
      </c>
      <c r="G266">
        <f t="shared" si="26"/>
        <v>9</v>
      </c>
      <c r="H266" s="1">
        <f t="shared" si="27"/>
        <v>45194</v>
      </c>
      <c r="I266" s="1">
        <f t="shared" si="28"/>
        <v>45170</v>
      </c>
      <c r="J266">
        <v>397068.16</v>
      </c>
      <c r="K266">
        <v>17772</v>
      </c>
      <c r="L266">
        <f t="shared" si="24"/>
        <v>22.342345262210216</v>
      </c>
      <c r="M266">
        <v>1481</v>
      </c>
      <c r="N266" s="2">
        <f t="shared" si="29"/>
        <v>268.10814314652259</v>
      </c>
      <c r="O266">
        <v>12</v>
      </c>
    </row>
    <row r="267" spans="1:15" x14ac:dyDescent="0.25">
      <c r="A267" t="s">
        <v>46</v>
      </c>
      <c r="B267" t="s">
        <v>14</v>
      </c>
      <c r="C267" t="s">
        <v>29</v>
      </c>
      <c r="D267" t="str">
        <f t="shared" si="25"/>
        <v>FAB1_1L  Sele En Selecta Entera</v>
      </c>
      <c r="E267">
        <v>2023</v>
      </c>
      <c r="F267">
        <v>40</v>
      </c>
      <c r="G267">
        <f t="shared" si="26"/>
        <v>10</v>
      </c>
      <c r="H267" s="1">
        <f t="shared" si="27"/>
        <v>45201</v>
      </c>
      <c r="I267" s="1">
        <f t="shared" si="28"/>
        <v>45200</v>
      </c>
      <c r="J267">
        <v>522871.0399999998</v>
      </c>
      <c r="K267">
        <v>23400</v>
      </c>
      <c r="L267">
        <f t="shared" si="24"/>
        <v>22.34491623931623</v>
      </c>
      <c r="M267">
        <v>1950</v>
      </c>
      <c r="N267" s="2">
        <f t="shared" si="29"/>
        <v>268.13899487179475</v>
      </c>
      <c r="O267">
        <v>12</v>
      </c>
    </row>
    <row r="268" spans="1:15" x14ac:dyDescent="0.25">
      <c r="A268" t="s">
        <v>46</v>
      </c>
      <c r="B268" t="s">
        <v>14</v>
      </c>
      <c r="C268" t="s">
        <v>29</v>
      </c>
      <c r="D268" t="str">
        <f t="shared" si="25"/>
        <v>FAB1_1L  Sele En Selecta Entera</v>
      </c>
      <c r="E268">
        <v>2023</v>
      </c>
      <c r="F268">
        <v>41</v>
      </c>
      <c r="G268">
        <f t="shared" si="26"/>
        <v>10</v>
      </c>
      <c r="H268" s="1">
        <f t="shared" si="27"/>
        <v>45208</v>
      </c>
      <c r="I268" s="1">
        <f t="shared" si="28"/>
        <v>45200</v>
      </c>
      <c r="J268">
        <v>524791.45000000019</v>
      </c>
      <c r="K268">
        <v>24564</v>
      </c>
      <c r="L268">
        <f t="shared" si="24"/>
        <v>21.364250529229775</v>
      </c>
      <c r="M268">
        <v>2047</v>
      </c>
      <c r="N268" s="2">
        <f t="shared" si="29"/>
        <v>256.37100635075728</v>
      </c>
      <c r="O268">
        <v>12</v>
      </c>
    </row>
    <row r="269" spans="1:15" x14ac:dyDescent="0.25">
      <c r="A269" t="s">
        <v>46</v>
      </c>
      <c r="B269" t="s">
        <v>14</v>
      </c>
      <c r="C269" t="s">
        <v>29</v>
      </c>
      <c r="D269" t="str">
        <f t="shared" si="25"/>
        <v>FAB1_1L  Sele En Selecta Entera</v>
      </c>
      <c r="E269">
        <v>2023</v>
      </c>
      <c r="F269">
        <v>42</v>
      </c>
      <c r="G269">
        <f t="shared" si="26"/>
        <v>10</v>
      </c>
      <c r="H269" s="1">
        <f t="shared" si="27"/>
        <v>45215</v>
      </c>
      <c r="I269" s="1">
        <f t="shared" si="28"/>
        <v>45200</v>
      </c>
      <c r="J269">
        <v>597784.81000000006</v>
      </c>
      <c r="K269">
        <v>28584</v>
      </c>
      <c r="L269">
        <f t="shared" si="24"/>
        <v>20.913266512734399</v>
      </c>
      <c r="M269">
        <v>2382</v>
      </c>
      <c r="N269" s="2">
        <f t="shared" si="29"/>
        <v>250.95919815281277</v>
      </c>
      <c r="O269">
        <v>12</v>
      </c>
    </row>
    <row r="270" spans="1:15" x14ac:dyDescent="0.25">
      <c r="A270" t="s">
        <v>46</v>
      </c>
      <c r="B270" t="s">
        <v>14</v>
      </c>
      <c r="C270" t="s">
        <v>29</v>
      </c>
      <c r="D270" t="str">
        <f t="shared" si="25"/>
        <v>FAB1_1L  Sele En Selecta Entera</v>
      </c>
      <c r="E270">
        <v>2023</v>
      </c>
      <c r="F270">
        <v>43</v>
      </c>
      <c r="G270">
        <f t="shared" si="26"/>
        <v>10</v>
      </c>
      <c r="H270" s="1">
        <f t="shared" si="27"/>
        <v>45222</v>
      </c>
      <c r="I270" s="1">
        <f t="shared" si="28"/>
        <v>45200</v>
      </c>
      <c r="J270">
        <v>482946.71000000008</v>
      </c>
      <c r="K270">
        <v>22260</v>
      </c>
      <c r="L270">
        <f t="shared" si="24"/>
        <v>21.695719227313571</v>
      </c>
      <c r="M270">
        <v>1855</v>
      </c>
      <c r="N270" s="2">
        <f t="shared" si="29"/>
        <v>260.34863072776284</v>
      </c>
      <c r="O270">
        <v>12</v>
      </c>
    </row>
    <row r="271" spans="1:15" x14ac:dyDescent="0.25">
      <c r="A271" t="s">
        <v>46</v>
      </c>
      <c r="B271" t="s">
        <v>14</v>
      </c>
      <c r="C271" t="s">
        <v>29</v>
      </c>
      <c r="D271" t="str">
        <f t="shared" si="25"/>
        <v>FAB1_1L  Sele En Selecta Entera</v>
      </c>
      <c r="E271">
        <v>2023</v>
      </c>
      <c r="F271">
        <v>44</v>
      </c>
      <c r="G271">
        <f t="shared" si="26"/>
        <v>11</v>
      </c>
      <c r="H271" s="1">
        <f t="shared" si="27"/>
        <v>45229</v>
      </c>
      <c r="I271" s="1">
        <f t="shared" si="28"/>
        <v>45231</v>
      </c>
      <c r="J271">
        <v>509674.94999999995</v>
      </c>
      <c r="K271">
        <v>23004</v>
      </c>
      <c r="L271">
        <f t="shared" si="24"/>
        <v>22.155927230046945</v>
      </c>
      <c r="M271">
        <v>1917</v>
      </c>
      <c r="N271" s="2">
        <f t="shared" si="29"/>
        <v>265.87112676056336</v>
      </c>
      <c r="O271">
        <v>12</v>
      </c>
    </row>
    <row r="272" spans="1:15" x14ac:dyDescent="0.25">
      <c r="A272" t="s">
        <v>46</v>
      </c>
      <c r="B272" t="s">
        <v>14</v>
      </c>
      <c r="C272" t="s">
        <v>29</v>
      </c>
      <c r="D272" t="str">
        <f t="shared" si="25"/>
        <v>FAB1_1L  Sele En Selecta Entera</v>
      </c>
      <c r="E272">
        <v>2023</v>
      </c>
      <c r="F272">
        <v>45</v>
      </c>
      <c r="G272">
        <f t="shared" si="26"/>
        <v>11</v>
      </c>
      <c r="H272" s="1">
        <f t="shared" si="27"/>
        <v>45236</v>
      </c>
      <c r="I272" s="1">
        <f t="shared" si="28"/>
        <v>45231</v>
      </c>
      <c r="J272">
        <v>544365.85999999975</v>
      </c>
      <c r="K272">
        <v>25020</v>
      </c>
      <c r="L272">
        <f t="shared" si="24"/>
        <v>21.757228617106303</v>
      </c>
      <c r="M272">
        <v>2085</v>
      </c>
      <c r="N272" s="2">
        <f t="shared" si="29"/>
        <v>261.08674340527568</v>
      </c>
      <c r="O272">
        <v>12</v>
      </c>
    </row>
    <row r="273" spans="1:15" x14ac:dyDescent="0.25">
      <c r="A273" t="s">
        <v>46</v>
      </c>
      <c r="B273" t="s">
        <v>14</v>
      </c>
      <c r="C273" t="s">
        <v>29</v>
      </c>
      <c r="D273" t="str">
        <f t="shared" si="25"/>
        <v>FAB1_1L  Sele En Selecta Entera</v>
      </c>
      <c r="E273">
        <v>2023</v>
      </c>
      <c r="F273">
        <v>46</v>
      </c>
      <c r="G273">
        <f t="shared" si="26"/>
        <v>11</v>
      </c>
      <c r="H273" s="1">
        <f t="shared" si="27"/>
        <v>45243</v>
      </c>
      <c r="I273" s="1">
        <f t="shared" si="28"/>
        <v>45231</v>
      </c>
      <c r="J273">
        <v>540061.48999999964</v>
      </c>
      <c r="K273">
        <v>24396</v>
      </c>
      <c r="L273">
        <f t="shared" si="24"/>
        <v>22.137296687981621</v>
      </c>
      <c r="M273">
        <v>2033</v>
      </c>
      <c r="N273" s="2">
        <f t="shared" si="29"/>
        <v>265.64756025577947</v>
      </c>
      <c r="O273">
        <v>12</v>
      </c>
    </row>
    <row r="274" spans="1:15" x14ac:dyDescent="0.25">
      <c r="A274" t="s">
        <v>46</v>
      </c>
      <c r="B274" t="s">
        <v>14</v>
      </c>
      <c r="C274" t="s">
        <v>29</v>
      </c>
      <c r="D274" t="str">
        <f t="shared" si="25"/>
        <v>FAB1_1L  Sele En Selecta Entera</v>
      </c>
      <c r="E274">
        <v>2023</v>
      </c>
      <c r="F274">
        <v>47</v>
      </c>
      <c r="G274">
        <f t="shared" si="26"/>
        <v>11</v>
      </c>
      <c r="H274" s="1">
        <f t="shared" si="27"/>
        <v>45250</v>
      </c>
      <c r="I274" s="1">
        <f t="shared" si="28"/>
        <v>45231</v>
      </c>
      <c r="J274">
        <v>657990.99</v>
      </c>
      <c r="K274">
        <v>29628</v>
      </c>
      <c r="L274">
        <f t="shared" si="24"/>
        <v>22.20841737545565</v>
      </c>
      <c r="M274">
        <v>2469</v>
      </c>
      <c r="N274" s="2">
        <f t="shared" si="29"/>
        <v>266.50100850546778</v>
      </c>
      <c r="O274">
        <v>12</v>
      </c>
    </row>
    <row r="275" spans="1:15" x14ac:dyDescent="0.25">
      <c r="A275" t="s">
        <v>46</v>
      </c>
      <c r="B275" t="s">
        <v>14</v>
      </c>
      <c r="C275" t="s">
        <v>29</v>
      </c>
      <c r="D275" t="str">
        <f t="shared" si="25"/>
        <v>FAB1_1L  Sele En Selecta Entera</v>
      </c>
      <c r="E275">
        <v>2023</v>
      </c>
      <c r="F275">
        <v>48</v>
      </c>
      <c r="G275">
        <f t="shared" si="26"/>
        <v>11</v>
      </c>
      <c r="H275" s="1">
        <f t="shared" si="27"/>
        <v>45257</v>
      </c>
      <c r="I275" s="1">
        <f t="shared" si="28"/>
        <v>45231</v>
      </c>
      <c r="J275">
        <v>536920.90000000014</v>
      </c>
      <c r="K275">
        <v>24168</v>
      </c>
      <c r="L275">
        <f t="shared" si="24"/>
        <v>22.216190830850717</v>
      </c>
      <c r="M275">
        <v>2014</v>
      </c>
      <c r="N275" s="2">
        <f t="shared" si="29"/>
        <v>266.59428997020859</v>
      </c>
      <c r="O275">
        <v>12</v>
      </c>
    </row>
    <row r="276" spans="1:15" x14ac:dyDescent="0.25">
      <c r="A276" t="s">
        <v>46</v>
      </c>
      <c r="B276" t="s">
        <v>14</v>
      </c>
      <c r="C276" t="s">
        <v>29</v>
      </c>
      <c r="D276" t="str">
        <f t="shared" si="25"/>
        <v>FAB1_1L  Sele En Selecta Entera</v>
      </c>
      <c r="E276">
        <v>2023</v>
      </c>
      <c r="F276">
        <v>49</v>
      </c>
      <c r="G276">
        <f t="shared" si="26"/>
        <v>12</v>
      </c>
      <c r="H276" s="1">
        <f t="shared" si="27"/>
        <v>45264</v>
      </c>
      <c r="I276" s="1">
        <f t="shared" si="28"/>
        <v>45261</v>
      </c>
      <c r="J276">
        <v>523167.24</v>
      </c>
      <c r="K276">
        <v>23472</v>
      </c>
      <c r="L276">
        <f t="shared" si="24"/>
        <v>22.288992842535787</v>
      </c>
      <c r="M276">
        <v>1956</v>
      </c>
      <c r="N276" s="2">
        <f t="shared" si="29"/>
        <v>267.46791411042943</v>
      </c>
      <c r="O276">
        <v>12</v>
      </c>
    </row>
    <row r="277" spans="1:15" x14ac:dyDescent="0.25">
      <c r="A277" t="s">
        <v>46</v>
      </c>
      <c r="B277" t="s">
        <v>14</v>
      </c>
      <c r="C277" t="s">
        <v>29</v>
      </c>
      <c r="D277" t="str">
        <f t="shared" si="25"/>
        <v>FAB1_1L  Sele En Selecta Entera</v>
      </c>
      <c r="E277">
        <v>2023</v>
      </c>
      <c r="F277">
        <v>50</v>
      </c>
      <c r="G277">
        <f t="shared" si="26"/>
        <v>12</v>
      </c>
      <c r="H277" s="1">
        <f t="shared" si="27"/>
        <v>45271</v>
      </c>
      <c r="I277" s="1">
        <f t="shared" si="28"/>
        <v>45261</v>
      </c>
      <c r="J277">
        <v>542239.30999999982</v>
      </c>
      <c r="K277">
        <v>24708</v>
      </c>
      <c r="L277">
        <f t="shared" si="24"/>
        <v>21.945900518050827</v>
      </c>
      <c r="M277">
        <v>2059</v>
      </c>
      <c r="N277" s="2">
        <f t="shared" si="29"/>
        <v>263.3508062166099</v>
      </c>
      <c r="O277">
        <v>12</v>
      </c>
    </row>
    <row r="278" spans="1:15" x14ac:dyDescent="0.25">
      <c r="A278" t="s">
        <v>46</v>
      </c>
      <c r="B278" t="s">
        <v>14</v>
      </c>
      <c r="C278" t="s">
        <v>29</v>
      </c>
      <c r="D278" t="str">
        <f t="shared" si="25"/>
        <v>FAB1_1L  Sele En Selecta Entera</v>
      </c>
      <c r="E278">
        <v>2023</v>
      </c>
      <c r="F278">
        <v>51</v>
      </c>
      <c r="G278">
        <f t="shared" si="26"/>
        <v>12</v>
      </c>
      <c r="H278" s="1">
        <f t="shared" si="27"/>
        <v>45278</v>
      </c>
      <c r="I278" s="1">
        <f t="shared" si="28"/>
        <v>45261</v>
      </c>
      <c r="J278">
        <v>554636.72</v>
      </c>
      <c r="K278">
        <v>24816</v>
      </c>
      <c r="L278">
        <f t="shared" si="24"/>
        <v>22.34996453900709</v>
      </c>
      <c r="M278">
        <v>2068</v>
      </c>
      <c r="N278" s="2">
        <f t="shared" si="29"/>
        <v>268.19957446808507</v>
      </c>
      <c r="O278">
        <v>12</v>
      </c>
    </row>
    <row r="279" spans="1:15" x14ac:dyDescent="0.25">
      <c r="A279" t="s">
        <v>46</v>
      </c>
      <c r="B279" t="s">
        <v>14</v>
      </c>
      <c r="C279" t="s">
        <v>29</v>
      </c>
      <c r="D279" t="str">
        <f t="shared" si="25"/>
        <v>FAB1_1L  Sele En Selecta Entera</v>
      </c>
      <c r="E279">
        <v>2023</v>
      </c>
      <c r="F279">
        <v>52</v>
      </c>
      <c r="G279">
        <f t="shared" si="26"/>
        <v>12</v>
      </c>
      <c r="H279" s="1">
        <f t="shared" si="27"/>
        <v>45285</v>
      </c>
      <c r="I279" s="1">
        <f t="shared" si="28"/>
        <v>45261</v>
      </c>
      <c r="J279">
        <v>448379.35999999975</v>
      </c>
      <c r="K279">
        <v>20064</v>
      </c>
      <c r="L279">
        <f t="shared" si="24"/>
        <v>22.347456140350864</v>
      </c>
      <c r="M279">
        <v>1672</v>
      </c>
      <c r="N279" s="2">
        <f t="shared" si="29"/>
        <v>268.1694736842104</v>
      </c>
      <c r="O279">
        <v>12</v>
      </c>
    </row>
    <row r="280" spans="1:15" x14ac:dyDescent="0.25">
      <c r="A280" t="s">
        <v>46</v>
      </c>
      <c r="B280" t="s">
        <v>14</v>
      </c>
      <c r="C280" t="s">
        <v>29</v>
      </c>
      <c r="D280" t="str">
        <f t="shared" si="25"/>
        <v>FAB1_1L  Sele En Selecta Entera</v>
      </c>
      <c r="E280">
        <v>2024</v>
      </c>
      <c r="F280">
        <v>1</v>
      </c>
      <c r="G280">
        <f t="shared" si="26"/>
        <v>1</v>
      </c>
      <c r="H280" s="1">
        <f t="shared" si="27"/>
        <v>45292</v>
      </c>
      <c r="I280" s="1">
        <f t="shared" si="28"/>
        <v>45292</v>
      </c>
      <c r="J280">
        <v>615856.6</v>
      </c>
      <c r="K280">
        <v>27576</v>
      </c>
      <c r="L280">
        <f t="shared" si="24"/>
        <v>22.333064984044096</v>
      </c>
      <c r="M280">
        <v>2298</v>
      </c>
      <c r="N280" s="2">
        <f t="shared" si="29"/>
        <v>267.99677980852914</v>
      </c>
      <c r="O280">
        <v>12</v>
      </c>
    </row>
    <row r="281" spans="1:15" x14ac:dyDescent="0.25">
      <c r="A281" t="s">
        <v>46</v>
      </c>
      <c r="B281" t="s">
        <v>14</v>
      </c>
      <c r="C281" t="s">
        <v>29</v>
      </c>
      <c r="D281" t="str">
        <f t="shared" si="25"/>
        <v>FAB1_1L  Sele En Selecta Entera</v>
      </c>
      <c r="E281">
        <v>2024</v>
      </c>
      <c r="F281">
        <v>2</v>
      </c>
      <c r="G281">
        <f t="shared" si="26"/>
        <v>1</v>
      </c>
      <c r="H281" s="1">
        <f t="shared" si="27"/>
        <v>45299</v>
      </c>
      <c r="I281" s="1">
        <f t="shared" si="28"/>
        <v>45292</v>
      </c>
      <c r="J281">
        <v>541709.64999999991</v>
      </c>
      <c r="K281">
        <v>24384</v>
      </c>
      <c r="L281">
        <f t="shared" si="24"/>
        <v>22.215782890419945</v>
      </c>
      <c r="M281">
        <v>2032</v>
      </c>
      <c r="N281" s="2">
        <f t="shared" si="29"/>
        <v>266.58939468503934</v>
      </c>
      <c r="O281">
        <v>12</v>
      </c>
    </row>
    <row r="282" spans="1:15" x14ac:dyDescent="0.25">
      <c r="A282" t="s">
        <v>46</v>
      </c>
      <c r="B282" t="s">
        <v>14</v>
      </c>
      <c r="C282" t="s">
        <v>29</v>
      </c>
      <c r="D282" t="str">
        <f t="shared" si="25"/>
        <v>FAB1_1L  Sele En Selecta Entera</v>
      </c>
      <c r="E282">
        <v>2024</v>
      </c>
      <c r="F282">
        <v>3</v>
      </c>
      <c r="G282">
        <f t="shared" si="26"/>
        <v>1</v>
      </c>
      <c r="H282" s="1">
        <f t="shared" si="27"/>
        <v>45306</v>
      </c>
      <c r="I282" s="1">
        <f t="shared" si="28"/>
        <v>45292</v>
      </c>
      <c r="J282">
        <v>549064.64999999967</v>
      </c>
      <c r="K282">
        <v>26268</v>
      </c>
      <c r="L282">
        <f t="shared" si="24"/>
        <v>20.902415486523513</v>
      </c>
      <c r="M282">
        <v>2189</v>
      </c>
      <c r="N282" s="2">
        <f t="shared" si="29"/>
        <v>250.82898583828216</v>
      </c>
      <c r="O282">
        <v>12</v>
      </c>
    </row>
    <row r="283" spans="1:15" x14ac:dyDescent="0.25">
      <c r="A283" t="s">
        <v>46</v>
      </c>
      <c r="B283" t="s">
        <v>14</v>
      </c>
      <c r="C283" t="s">
        <v>29</v>
      </c>
      <c r="D283" t="str">
        <f t="shared" si="25"/>
        <v>FAB1_1L  Sele En Selecta Entera</v>
      </c>
      <c r="E283">
        <v>2024</v>
      </c>
      <c r="F283">
        <v>4</v>
      </c>
      <c r="G283">
        <f t="shared" si="26"/>
        <v>1</v>
      </c>
      <c r="H283" s="1">
        <f t="shared" si="27"/>
        <v>45313</v>
      </c>
      <c r="I283" s="1">
        <f t="shared" si="28"/>
        <v>45292</v>
      </c>
      <c r="J283">
        <v>574213.44000000018</v>
      </c>
      <c r="K283">
        <v>27336</v>
      </c>
      <c r="L283">
        <f t="shared" si="24"/>
        <v>21.005759438103606</v>
      </c>
      <c r="M283">
        <v>2278</v>
      </c>
      <c r="N283" s="2">
        <f t="shared" si="29"/>
        <v>252.06911325724326</v>
      </c>
      <c r="O283">
        <v>12</v>
      </c>
    </row>
    <row r="284" spans="1:15" x14ac:dyDescent="0.25">
      <c r="A284" t="s">
        <v>46</v>
      </c>
      <c r="B284" t="s">
        <v>14</v>
      </c>
      <c r="C284" t="s">
        <v>29</v>
      </c>
      <c r="D284" t="str">
        <f t="shared" si="25"/>
        <v>FAB1_1L  Sele En Selecta Entera</v>
      </c>
      <c r="E284">
        <v>2024</v>
      </c>
      <c r="F284">
        <v>5</v>
      </c>
      <c r="G284">
        <f t="shared" si="26"/>
        <v>2</v>
      </c>
      <c r="H284" s="1">
        <f t="shared" si="27"/>
        <v>45320</v>
      </c>
      <c r="I284" s="1">
        <f t="shared" si="28"/>
        <v>45323</v>
      </c>
      <c r="J284">
        <v>654633.47999999986</v>
      </c>
      <c r="K284">
        <v>30276</v>
      </c>
      <c r="L284">
        <f t="shared" si="24"/>
        <v>21.622191835116919</v>
      </c>
      <c r="M284">
        <v>2523</v>
      </c>
      <c r="N284" s="2">
        <f t="shared" si="29"/>
        <v>259.46630202140301</v>
      </c>
      <c r="O284">
        <v>12</v>
      </c>
    </row>
    <row r="285" spans="1:15" x14ac:dyDescent="0.25">
      <c r="A285" t="s">
        <v>46</v>
      </c>
      <c r="B285" t="s">
        <v>14</v>
      </c>
      <c r="C285" t="s">
        <v>29</v>
      </c>
      <c r="D285" t="str">
        <f t="shared" si="25"/>
        <v>FAB1_1L  Sele En Selecta Entera</v>
      </c>
      <c r="E285">
        <v>2024</v>
      </c>
      <c r="F285">
        <v>6</v>
      </c>
      <c r="G285">
        <f t="shared" si="26"/>
        <v>2</v>
      </c>
      <c r="H285" s="1">
        <f t="shared" si="27"/>
        <v>45327</v>
      </c>
      <c r="I285" s="1">
        <f t="shared" si="28"/>
        <v>45323</v>
      </c>
      <c r="J285">
        <v>608927.22</v>
      </c>
      <c r="K285">
        <v>27636</v>
      </c>
      <c r="L285">
        <f t="shared" si="24"/>
        <v>22.033840642640033</v>
      </c>
      <c r="M285">
        <v>2303</v>
      </c>
      <c r="N285" s="2">
        <f t="shared" si="29"/>
        <v>264.40608771168041</v>
      </c>
      <c r="O285">
        <v>12</v>
      </c>
    </row>
    <row r="286" spans="1:15" x14ac:dyDescent="0.25">
      <c r="A286" t="s">
        <v>46</v>
      </c>
      <c r="B286" t="s">
        <v>14</v>
      </c>
      <c r="C286" t="s">
        <v>29</v>
      </c>
      <c r="D286" t="str">
        <f t="shared" si="25"/>
        <v>FAB1_1L  Sele En Selecta Entera</v>
      </c>
      <c r="E286">
        <v>2024</v>
      </c>
      <c r="F286">
        <v>7</v>
      </c>
      <c r="G286">
        <f t="shared" si="26"/>
        <v>2</v>
      </c>
      <c r="H286" s="1">
        <f t="shared" si="27"/>
        <v>45334</v>
      </c>
      <c r="I286" s="1">
        <f t="shared" si="28"/>
        <v>45323</v>
      </c>
      <c r="J286">
        <v>701663.99999999988</v>
      </c>
      <c r="K286">
        <v>32616</v>
      </c>
      <c r="L286">
        <f t="shared" si="24"/>
        <v>21.51287711552612</v>
      </c>
      <c r="M286">
        <v>2718</v>
      </c>
      <c r="N286" s="2">
        <f t="shared" si="29"/>
        <v>258.15452538631342</v>
      </c>
      <c r="O286">
        <v>12</v>
      </c>
    </row>
    <row r="287" spans="1:15" x14ac:dyDescent="0.25">
      <c r="A287" t="s">
        <v>46</v>
      </c>
      <c r="B287" t="s">
        <v>14</v>
      </c>
      <c r="C287" t="s">
        <v>29</v>
      </c>
      <c r="D287" t="str">
        <f t="shared" si="25"/>
        <v>FAB1_1L  Sele En Selecta Entera</v>
      </c>
      <c r="E287">
        <v>2024</v>
      </c>
      <c r="F287">
        <v>8</v>
      </c>
      <c r="G287">
        <f t="shared" si="26"/>
        <v>2</v>
      </c>
      <c r="H287" s="1">
        <f t="shared" si="27"/>
        <v>45341</v>
      </c>
      <c r="I287" s="1">
        <f t="shared" si="28"/>
        <v>45323</v>
      </c>
      <c r="J287">
        <v>679307.15999999992</v>
      </c>
      <c r="K287">
        <v>31728</v>
      </c>
      <c r="L287">
        <f t="shared" si="24"/>
        <v>21.410336611195156</v>
      </c>
      <c r="M287">
        <v>2644</v>
      </c>
      <c r="N287" s="2">
        <f t="shared" si="29"/>
        <v>256.9240393343419</v>
      </c>
      <c r="O287">
        <v>12</v>
      </c>
    </row>
    <row r="288" spans="1:15" x14ac:dyDescent="0.25">
      <c r="A288" t="s">
        <v>46</v>
      </c>
      <c r="B288" t="s">
        <v>14</v>
      </c>
      <c r="C288" t="s">
        <v>29</v>
      </c>
      <c r="D288" t="str">
        <f t="shared" si="25"/>
        <v>FAB1_1L  Sele En Selecta Entera</v>
      </c>
      <c r="E288">
        <v>2024</v>
      </c>
      <c r="F288">
        <v>9</v>
      </c>
      <c r="G288">
        <f t="shared" si="26"/>
        <v>2</v>
      </c>
      <c r="H288" s="1">
        <f t="shared" si="27"/>
        <v>45348</v>
      </c>
      <c r="I288" s="1">
        <f t="shared" si="28"/>
        <v>45323</v>
      </c>
      <c r="J288">
        <v>442291.64000000031</v>
      </c>
      <c r="K288">
        <v>18732</v>
      </c>
      <c r="L288">
        <f t="shared" si="24"/>
        <v>23.611554559043366</v>
      </c>
      <c r="M288">
        <v>1561</v>
      </c>
      <c r="N288" s="2">
        <f t="shared" si="29"/>
        <v>283.33865470852038</v>
      </c>
      <c r="O288">
        <v>12</v>
      </c>
    </row>
    <row r="289" spans="1:15" x14ac:dyDescent="0.25">
      <c r="A289" t="s">
        <v>46</v>
      </c>
      <c r="B289" t="s">
        <v>14</v>
      </c>
      <c r="C289" t="s">
        <v>29</v>
      </c>
      <c r="D289" t="str">
        <f t="shared" si="25"/>
        <v>FAB1_1L  Sele En Selecta Entera</v>
      </c>
      <c r="E289">
        <v>2024</v>
      </c>
      <c r="F289">
        <v>10</v>
      </c>
      <c r="G289">
        <f t="shared" si="26"/>
        <v>3</v>
      </c>
      <c r="H289" s="1">
        <f t="shared" si="27"/>
        <v>45355</v>
      </c>
      <c r="I289" s="1">
        <f t="shared" si="28"/>
        <v>45352</v>
      </c>
      <c r="J289">
        <v>498101.97000000009</v>
      </c>
      <c r="K289">
        <v>21132</v>
      </c>
      <c r="L289">
        <f t="shared" si="24"/>
        <v>23.570980976717777</v>
      </c>
      <c r="M289">
        <v>1761</v>
      </c>
      <c r="N289" s="2">
        <f t="shared" si="29"/>
        <v>282.85177172061333</v>
      </c>
      <c r="O289">
        <v>12</v>
      </c>
    </row>
    <row r="290" spans="1:15" x14ac:dyDescent="0.25">
      <c r="A290" t="s">
        <v>46</v>
      </c>
      <c r="B290" t="s">
        <v>14</v>
      </c>
      <c r="C290" t="s">
        <v>29</v>
      </c>
      <c r="D290" t="str">
        <f t="shared" si="25"/>
        <v>FAB1_1L  Sele En Selecta Entera</v>
      </c>
      <c r="E290">
        <v>2024</v>
      </c>
      <c r="F290">
        <v>11</v>
      </c>
      <c r="G290">
        <f t="shared" si="26"/>
        <v>3</v>
      </c>
      <c r="H290" s="1">
        <f t="shared" si="27"/>
        <v>45362</v>
      </c>
      <c r="I290" s="1">
        <f t="shared" si="28"/>
        <v>45352</v>
      </c>
      <c r="J290">
        <v>463116.35000000003</v>
      </c>
      <c r="K290">
        <v>19764</v>
      </c>
      <c r="L290">
        <f t="shared" si="24"/>
        <v>23.432318862578427</v>
      </c>
      <c r="M290">
        <v>1647</v>
      </c>
      <c r="N290" s="2">
        <f t="shared" si="29"/>
        <v>281.18782635094112</v>
      </c>
      <c r="O290">
        <v>12</v>
      </c>
    </row>
    <row r="291" spans="1:15" x14ac:dyDescent="0.25">
      <c r="A291" t="s">
        <v>46</v>
      </c>
      <c r="B291" t="s">
        <v>14</v>
      </c>
      <c r="C291" t="s">
        <v>29</v>
      </c>
      <c r="D291" t="str">
        <f t="shared" si="25"/>
        <v>FAB1_1L  Sele En Selecta Entera</v>
      </c>
      <c r="E291">
        <v>2024</v>
      </c>
      <c r="F291">
        <v>12</v>
      </c>
      <c r="G291">
        <f t="shared" si="26"/>
        <v>3</v>
      </c>
      <c r="H291" s="1">
        <f t="shared" si="27"/>
        <v>45369</v>
      </c>
      <c r="I291" s="1">
        <f t="shared" si="28"/>
        <v>45352</v>
      </c>
      <c r="J291">
        <v>408721.8299999999</v>
      </c>
      <c r="K291">
        <v>18744</v>
      </c>
      <c r="L291">
        <f t="shared" si="24"/>
        <v>21.805475352112669</v>
      </c>
      <c r="M291">
        <v>1562</v>
      </c>
      <c r="N291" s="2">
        <f t="shared" si="29"/>
        <v>261.66570422535204</v>
      </c>
      <c r="O291">
        <v>12</v>
      </c>
    </row>
    <row r="292" spans="1:15" x14ac:dyDescent="0.25">
      <c r="A292" t="s">
        <v>46</v>
      </c>
      <c r="B292" t="s">
        <v>14</v>
      </c>
      <c r="C292" t="s">
        <v>29</v>
      </c>
      <c r="D292" t="str">
        <f t="shared" si="25"/>
        <v>FAB1_1L  Sele En Selecta Entera</v>
      </c>
      <c r="E292">
        <v>2024</v>
      </c>
      <c r="F292">
        <v>13</v>
      </c>
      <c r="G292">
        <f t="shared" si="26"/>
        <v>3</v>
      </c>
      <c r="H292" s="1">
        <f t="shared" si="27"/>
        <v>45376</v>
      </c>
      <c r="I292" s="1">
        <f t="shared" si="28"/>
        <v>45352</v>
      </c>
      <c r="J292">
        <v>457622.12</v>
      </c>
      <c r="K292">
        <v>20436</v>
      </c>
      <c r="L292">
        <f t="shared" si="24"/>
        <v>22.392939909962809</v>
      </c>
      <c r="M292">
        <v>1703</v>
      </c>
      <c r="N292" s="2">
        <f t="shared" si="29"/>
        <v>268.71527891955373</v>
      </c>
      <c r="O292">
        <v>12</v>
      </c>
    </row>
    <row r="293" spans="1:15" x14ac:dyDescent="0.25">
      <c r="A293" t="s">
        <v>46</v>
      </c>
      <c r="B293" t="s">
        <v>14</v>
      </c>
      <c r="C293" t="s">
        <v>29</v>
      </c>
      <c r="D293" t="str">
        <f t="shared" si="25"/>
        <v>FAB1_1L  Sele En Selecta Entera</v>
      </c>
      <c r="E293">
        <v>2024</v>
      </c>
      <c r="F293">
        <v>14</v>
      </c>
      <c r="G293">
        <f t="shared" si="26"/>
        <v>4</v>
      </c>
      <c r="H293" s="1">
        <f t="shared" si="27"/>
        <v>45383</v>
      </c>
      <c r="I293" s="1">
        <f t="shared" si="28"/>
        <v>45383</v>
      </c>
      <c r="J293">
        <v>522374.66000000027</v>
      </c>
      <c r="K293">
        <v>22224</v>
      </c>
      <c r="L293">
        <f t="shared" si="24"/>
        <v>23.504979301655879</v>
      </c>
      <c r="M293">
        <v>1852</v>
      </c>
      <c r="N293" s="2">
        <f t="shared" si="29"/>
        <v>282.05975161987055</v>
      </c>
      <c r="O293">
        <v>12</v>
      </c>
    </row>
    <row r="294" spans="1:15" x14ac:dyDescent="0.25">
      <c r="A294" t="s">
        <v>46</v>
      </c>
      <c r="B294" t="s">
        <v>14</v>
      </c>
      <c r="C294" t="s">
        <v>29</v>
      </c>
      <c r="D294" t="str">
        <f t="shared" si="25"/>
        <v>FAB1_1L  Sele En Selecta Entera</v>
      </c>
      <c r="E294">
        <v>2024</v>
      </c>
      <c r="F294">
        <v>15</v>
      </c>
      <c r="G294">
        <f t="shared" si="26"/>
        <v>4</v>
      </c>
      <c r="H294" s="1">
        <f t="shared" si="27"/>
        <v>45390</v>
      </c>
      <c r="I294" s="1">
        <f t="shared" si="28"/>
        <v>45383</v>
      </c>
      <c r="J294">
        <v>409784.5500000001</v>
      </c>
      <c r="K294">
        <v>17316</v>
      </c>
      <c r="L294">
        <f t="shared" si="24"/>
        <v>23.665081427581434</v>
      </c>
      <c r="M294">
        <v>1443</v>
      </c>
      <c r="N294" s="2">
        <f t="shared" si="29"/>
        <v>283.98097713097718</v>
      </c>
      <c r="O294">
        <v>12</v>
      </c>
    </row>
    <row r="295" spans="1:15" x14ac:dyDescent="0.25">
      <c r="A295" t="s">
        <v>46</v>
      </c>
      <c r="B295" t="s">
        <v>14</v>
      </c>
      <c r="C295" t="s">
        <v>29</v>
      </c>
      <c r="D295" t="str">
        <f t="shared" si="25"/>
        <v>FAB1_1L  Sele En Selecta Entera</v>
      </c>
      <c r="E295">
        <v>2024</v>
      </c>
      <c r="F295">
        <v>16</v>
      </c>
      <c r="G295">
        <f t="shared" si="26"/>
        <v>4</v>
      </c>
      <c r="H295" s="1">
        <f t="shared" si="27"/>
        <v>45397</v>
      </c>
      <c r="I295" s="1">
        <f t="shared" si="28"/>
        <v>45383</v>
      </c>
      <c r="J295">
        <v>453013.2000000003</v>
      </c>
      <c r="K295">
        <v>19596</v>
      </c>
      <c r="L295">
        <f t="shared" si="24"/>
        <v>23.117636252296403</v>
      </c>
      <c r="M295">
        <v>1633</v>
      </c>
      <c r="N295" s="2">
        <f t="shared" si="29"/>
        <v>277.41163502755683</v>
      </c>
      <c r="O295">
        <v>12</v>
      </c>
    </row>
    <row r="296" spans="1:15" x14ac:dyDescent="0.25">
      <c r="A296" t="s">
        <v>46</v>
      </c>
      <c r="B296" t="s">
        <v>14</v>
      </c>
      <c r="C296" t="s">
        <v>29</v>
      </c>
      <c r="D296" t="str">
        <f t="shared" si="25"/>
        <v>FAB1_1L  Sele En Selecta Entera</v>
      </c>
      <c r="E296">
        <v>2024</v>
      </c>
      <c r="F296">
        <v>17</v>
      </c>
      <c r="G296">
        <f t="shared" si="26"/>
        <v>4</v>
      </c>
      <c r="H296" s="1">
        <f t="shared" si="27"/>
        <v>45404</v>
      </c>
      <c r="I296" s="1">
        <f t="shared" si="28"/>
        <v>45383</v>
      </c>
      <c r="J296">
        <v>473666.28999999992</v>
      </c>
      <c r="K296">
        <v>21168</v>
      </c>
      <c r="L296">
        <f t="shared" si="24"/>
        <v>22.37652541572184</v>
      </c>
      <c r="M296">
        <v>1764</v>
      </c>
      <c r="N296" s="2">
        <f t="shared" si="29"/>
        <v>268.51830498866207</v>
      </c>
      <c r="O296">
        <v>12</v>
      </c>
    </row>
    <row r="297" spans="1:15" x14ac:dyDescent="0.25">
      <c r="A297" t="s">
        <v>46</v>
      </c>
      <c r="B297" t="s">
        <v>14</v>
      </c>
      <c r="C297" t="s">
        <v>29</v>
      </c>
      <c r="D297" t="str">
        <f t="shared" si="25"/>
        <v>FAB1_1L  Sele En Selecta Entera</v>
      </c>
      <c r="E297">
        <v>2024</v>
      </c>
      <c r="F297">
        <v>18</v>
      </c>
      <c r="G297">
        <f t="shared" si="26"/>
        <v>5</v>
      </c>
      <c r="H297" s="1">
        <f t="shared" si="27"/>
        <v>45411</v>
      </c>
      <c r="I297" s="1">
        <f t="shared" si="28"/>
        <v>45413</v>
      </c>
      <c r="J297">
        <v>584456.21000000008</v>
      </c>
      <c r="K297">
        <v>26232</v>
      </c>
      <c r="L297">
        <f t="shared" si="24"/>
        <v>22.280276379993904</v>
      </c>
      <c r="M297">
        <v>2186</v>
      </c>
      <c r="N297" s="2">
        <f t="shared" si="29"/>
        <v>267.36331655992683</v>
      </c>
      <c r="O297">
        <v>12</v>
      </c>
    </row>
    <row r="298" spans="1:15" x14ac:dyDescent="0.25">
      <c r="A298" t="s">
        <v>46</v>
      </c>
      <c r="B298" t="s">
        <v>14</v>
      </c>
      <c r="C298" t="s">
        <v>29</v>
      </c>
      <c r="D298" t="str">
        <f t="shared" si="25"/>
        <v>FAB1_1L  Sele En Selecta Entera</v>
      </c>
      <c r="E298">
        <v>2024</v>
      </c>
      <c r="F298">
        <v>19</v>
      </c>
      <c r="G298">
        <f t="shared" si="26"/>
        <v>5</v>
      </c>
      <c r="H298" s="1">
        <f t="shared" si="27"/>
        <v>45418</v>
      </c>
      <c r="I298" s="1">
        <f t="shared" si="28"/>
        <v>45413</v>
      </c>
      <c r="J298">
        <v>532882.1100000001</v>
      </c>
      <c r="K298">
        <v>23496</v>
      </c>
      <c r="L298">
        <f t="shared" si="24"/>
        <v>22.679694841675182</v>
      </c>
      <c r="M298">
        <v>1958</v>
      </c>
      <c r="N298" s="2">
        <f t="shared" si="29"/>
        <v>272.15633810010218</v>
      </c>
      <c r="O298">
        <v>12</v>
      </c>
    </row>
    <row r="299" spans="1:15" x14ac:dyDescent="0.25">
      <c r="A299" t="s">
        <v>46</v>
      </c>
      <c r="B299" t="s">
        <v>14</v>
      </c>
      <c r="C299" t="s">
        <v>29</v>
      </c>
      <c r="D299" t="str">
        <f t="shared" si="25"/>
        <v>FAB1_1L  Sele En Selecta Entera</v>
      </c>
      <c r="E299">
        <v>2024</v>
      </c>
      <c r="F299">
        <v>20</v>
      </c>
      <c r="G299">
        <f t="shared" si="26"/>
        <v>5</v>
      </c>
      <c r="H299" s="1">
        <f t="shared" si="27"/>
        <v>45425</v>
      </c>
      <c r="I299" s="1">
        <f t="shared" si="28"/>
        <v>45413</v>
      </c>
      <c r="J299">
        <v>546490.49000000046</v>
      </c>
      <c r="K299">
        <v>24216</v>
      </c>
      <c r="L299">
        <f t="shared" si="24"/>
        <v>22.567331103402729</v>
      </c>
      <c r="M299">
        <v>2018</v>
      </c>
      <c r="N299" s="2">
        <f t="shared" si="29"/>
        <v>270.80797324083272</v>
      </c>
      <c r="O299">
        <v>12</v>
      </c>
    </row>
    <row r="300" spans="1:15" x14ac:dyDescent="0.25">
      <c r="A300" t="s">
        <v>46</v>
      </c>
      <c r="B300" t="s">
        <v>14</v>
      </c>
      <c r="C300" t="s">
        <v>29</v>
      </c>
      <c r="D300" t="str">
        <f t="shared" si="25"/>
        <v>FAB1_1L  Sele En Selecta Entera</v>
      </c>
      <c r="E300">
        <v>2024</v>
      </c>
      <c r="F300">
        <v>21</v>
      </c>
      <c r="G300">
        <f t="shared" si="26"/>
        <v>5</v>
      </c>
      <c r="H300" s="1">
        <f t="shared" si="27"/>
        <v>45432</v>
      </c>
      <c r="I300" s="1">
        <f t="shared" si="28"/>
        <v>45413</v>
      </c>
      <c r="J300">
        <v>494377.6500000002</v>
      </c>
      <c r="K300">
        <v>21432</v>
      </c>
      <c r="L300">
        <f t="shared" si="24"/>
        <v>23.067266237402023</v>
      </c>
      <c r="M300">
        <v>1786</v>
      </c>
      <c r="N300" s="2">
        <f t="shared" si="29"/>
        <v>276.80719484882428</v>
      </c>
      <c r="O300">
        <v>12</v>
      </c>
    </row>
    <row r="301" spans="1:15" x14ac:dyDescent="0.25">
      <c r="A301" t="s">
        <v>46</v>
      </c>
      <c r="B301" t="s">
        <v>14</v>
      </c>
      <c r="C301" t="s">
        <v>29</v>
      </c>
      <c r="D301" t="str">
        <f t="shared" si="25"/>
        <v>FAB1_1L  Sele En Selecta Entera</v>
      </c>
      <c r="E301">
        <v>2024</v>
      </c>
      <c r="F301">
        <v>22</v>
      </c>
      <c r="G301">
        <f t="shared" si="26"/>
        <v>5</v>
      </c>
      <c r="H301" s="1">
        <f t="shared" si="27"/>
        <v>45439</v>
      </c>
      <c r="I301" s="1">
        <f t="shared" si="28"/>
        <v>45413</v>
      </c>
      <c r="J301">
        <v>453701.47000000026</v>
      </c>
      <c r="K301">
        <v>19164</v>
      </c>
      <c r="L301">
        <f t="shared" si="24"/>
        <v>23.674674911292019</v>
      </c>
      <c r="M301">
        <v>1597</v>
      </c>
      <c r="N301" s="2">
        <f t="shared" si="29"/>
        <v>284.09609893550424</v>
      </c>
      <c r="O301">
        <v>12</v>
      </c>
    </row>
    <row r="302" spans="1:15" x14ac:dyDescent="0.25">
      <c r="A302" t="s">
        <v>46</v>
      </c>
      <c r="B302" t="s">
        <v>14</v>
      </c>
      <c r="C302" t="s">
        <v>29</v>
      </c>
      <c r="D302" t="str">
        <f t="shared" si="25"/>
        <v>FAB1_1L  Sele En Selecta Entera</v>
      </c>
      <c r="E302">
        <v>2024</v>
      </c>
      <c r="F302">
        <v>23</v>
      </c>
      <c r="G302">
        <f t="shared" si="26"/>
        <v>6</v>
      </c>
      <c r="H302" s="1">
        <f t="shared" si="27"/>
        <v>45446</v>
      </c>
      <c r="I302" s="1">
        <f t="shared" si="28"/>
        <v>45444</v>
      </c>
      <c r="J302">
        <v>538268.21000000054</v>
      </c>
      <c r="K302">
        <v>22728</v>
      </c>
      <c r="L302">
        <f t="shared" si="24"/>
        <v>23.683043382611782</v>
      </c>
      <c r="M302">
        <v>1894</v>
      </c>
      <c r="N302" s="2">
        <f t="shared" si="29"/>
        <v>284.19652059134137</v>
      </c>
      <c r="O302">
        <v>12</v>
      </c>
    </row>
    <row r="303" spans="1:15" x14ac:dyDescent="0.25">
      <c r="A303" t="s">
        <v>46</v>
      </c>
      <c r="B303" t="s">
        <v>14</v>
      </c>
      <c r="C303" t="s">
        <v>29</v>
      </c>
      <c r="D303" t="str">
        <f t="shared" si="25"/>
        <v>FAB1_1L  Sele En Selecta Entera</v>
      </c>
      <c r="E303">
        <v>2024</v>
      </c>
      <c r="F303">
        <v>24</v>
      </c>
      <c r="G303">
        <f t="shared" si="26"/>
        <v>6</v>
      </c>
      <c r="H303" s="1">
        <f t="shared" si="27"/>
        <v>45453</v>
      </c>
      <c r="I303" s="1">
        <f t="shared" si="28"/>
        <v>45444</v>
      </c>
      <c r="J303">
        <v>470263.91000000021</v>
      </c>
      <c r="K303">
        <v>20472</v>
      </c>
      <c r="L303">
        <f t="shared" si="24"/>
        <v>22.971078057835101</v>
      </c>
      <c r="M303">
        <v>1706</v>
      </c>
      <c r="N303" s="2">
        <f t="shared" si="29"/>
        <v>275.65293669402121</v>
      </c>
      <c r="O303">
        <v>12</v>
      </c>
    </row>
    <row r="304" spans="1:15" x14ac:dyDescent="0.25">
      <c r="A304" t="s">
        <v>46</v>
      </c>
      <c r="B304" t="s">
        <v>14</v>
      </c>
      <c r="C304" t="s">
        <v>29</v>
      </c>
      <c r="D304" t="str">
        <f t="shared" si="25"/>
        <v>FAB1_1L  Sele En Selecta Entera</v>
      </c>
      <c r="E304">
        <v>2024</v>
      </c>
      <c r="F304">
        <v>25</v>
      </c>
      <c r="G304">
        <f t="shared" si="26"/>
        <v>6</v>
      </c>
      <c r="H304" s="1">
        <f t="shared" si="27"/>
        <v>45460</v>
      </c>
      <c r="I304" s="1">
        <f t="shared" si="28"/>
        <v>45444</v>
      </c>
      <c r="J304">
        <v>521327.09000000032</v>
      </c>
      <c r="K304">
        <v>22980</v>
      </c>
      <c r="L304">
        <f t="shared" si="24"/>
        <v>22.686122280243705</v>
      </c>
      <c r="M304">
        <v>1915</v>
      </c>
      <c r="N304" s="2">
        <f t="shared" si="29"/>
        <v>272.23346736292444</v>
      </c>
      <c r="O304">
        <v>12</v>
      </c>
    </row>
    <row r="305" spans="1:15" x14ac:dyDescent="0.25">
      <c r="A305" t="s">
        <v>46</v>
      </c>
      <c r="B305" t="s">
        <v>14</v>
      </c>
      <c r="C305" t="s">
        <v>29</v>
      </c>
      <c r="D305" t="str">
        <f t="shared" si="25"/>
        <v>FAB1_1L  Sele En Selecta Entera</v>
      </c>
      <c r="E305">
        <v>2024</v>
      </c>
      <c r="F305">
        <v>26</v>
      </c>
      <c r="G305">
        <f t="shared" si="26"/>
        <v>6</v>
      </c>
      <c r="H305" s="1">
        <f t="shared" si="27"/>
        <v>45467</v>
      </c>
      <c r="I305" s="1">
        <f t="shared" si="28"/>
        <v>45444</v>
      </c>
      <c r="J305">
        <v>475377.79000000021</v>
      </c>
      <c r="K305">
        <v>21060</v>
      </c>
      <c r="L305">
        <f t="shared" si="24"/>
        <v>22.572544634377977</v>
      </c>
      <c r="M305">
        <v>1755</v>
      </c>
      <c r="N305" s="2">
        <f t="shared" si="29"/>
        <v>270.87053561253572</v>
      </c>
      <c r="O305">
        <v>12</v>
      </c>
    </row>
    <row r="306" spans="1:15" x14ac:dyDescent="0.25">
      <c r="A306" t="s">
        <v>46</v>
      </c>
      <c r="B306" t="s">
        <v>14</v>
      </c>
      <c r="C306" t="s">
        <v>29</v>
      </c>
      <c r="D306" t="str">
        <f t="shared" si="25"/>
        <v>FAB1_1L  Sele En Selecta Entera</v>
      </c>
      <c r="E306">
        <v>2024</v>
      </c>
      <c r="F306">
        <v>27</v>
      </c>
      <c r="G306">
        <f t="shared" si="26"/>
        <v>7</v>
      </c>
      <c r="H306" s="1">
        <f t="shared" si="27"/>
        <v>45474</v>
      </c>
      <c r="I306" s="1">
        <f t="shared" si="28"/>
        <v>45474</v>
      </c>
      <c r="J306">
        <v>568198.76000000024</v>
      </c>
      <c r="K306">
        <v>25356</v>
      </c>
      <c r="L306">
        <f t="shared" si="24"/>
        <v>22.408848398801084</v>
      </c>
      <c r="M306">
        <v>2113</v>
      </c>
      <c r="N306" s="2">
        <f t="shared" si="29"/>
        <v>268.906180785613</v>
      </c>
      <c r="O306">
        <v>12</v>
      </c>
    </row>
    <row r="307" spans="1:15" x14ac:dyDescent="0.25">
      <c r="A307" t="s">
        <v>46</v>
      </c>
      <c r="B307" t="s">
        <v>14</v>
      </c>
      <c r="C307" t="s">
        <v>29</v>
      </c>
      <c r="D307" t="str">
        <f t="shared" si="25"/>
        <v>FAB1_1L  Sele En Selecta Entera</v>
      </c>
      <c r="E307">
        <v>2024</v>
      </c>
      <c r="F307">
        <v>28</v>
      </c>
      <c r="G307">
        <f t="shared" si="26"/>
        <v>7</v>
      </c>
      <c r="H307" s="1">
        <f t="shared" si="27"/>
        <v>45481</v>
      </c>
      <c r="I307" s="1">
        <f t="shared" si="28"/>
        <v>45474</v>
      </c>
      <c r="J307">
        <v>526248.25000000047</v>
      </c>
      <c r="K307">
        <v>23808</v>
      </c>
      <c r="L307">
        <f t="shared" si="24"/>
        <v>22.103841145833353</v>
      </c>
      <c r="M307">
        <v>1984</v>
      </c>
      <c r="N307" s="2">
        <f t="shared" si="29"/>
        <v>265.24609375000023</v>
      </c>
      <c r="O307">
        <v>12</v>
      </c>
    </row>
    <row r="308" spans="1:15" x14ac:dyDescent="0.25">
      <c r="A308" t="s">
        <v>46</v>
      </c>
      <c r="B308" t="s">
        <v>14</v>
      </c>
      <c r="C308" t="s">
        <v>29</v>
      </c>
      <c r="D308" t="str">
        <f t="shared" si="25"/>
        <v>FAB1_1L  Sele En Selecta Entera</v>
      </c>
      <c r="E308">
        <v>2024</v>
      </c>
      <c r="F308">
        <v>29</v>
      </c>
      <c r="G308">
        <f t="shared" si="26"/>
        <v>7</v>
      </c>
      <c r="H308" s="1">
        <f t="shared" si="27"/>
        <v>45488</v>
      </c>
      <c r="I308" s="1">
        <f t="shared" si="28"/>
        <v>45474</v>
      </c>
      <c r="J308">
        <v>579167.46000000008</v>
      </c>
      <c r="K308">
        <v>26172</v>
      </c>
      <c r="L308">
        <f t="shared" si="24"/>
        <v>22.129277854195326</v>
      </c>
      <c r="M308">
        <v>2181</v>
      </c>
      <c r="N308" s="2">
        <f t="shared" si="29"/>
        <v>265.55133425034393</v>
      </c>
      <c r="O308">
        <v>12</v>
      </c>
    </row>
    <row r="309" spans="1:15" x14ac:dyDescent="0.25">
      <c r="A309" t="s">
        <v>46</v>
      </c>
      <c r="B309" t="s">
        <v>14</v>
      </c>
      <c r="C309" t="s">
        <v>29</v>
      </c>
      <c r="D309" t="str">
        <f t="shared" si="25"/>
        <v>FAB1_1L  Sele En Selecta Entera</v>
      </c>
      <c r="E309">
        <v>2024</v>
      </c>
      <c r="F309">
        <v>30</v>
      </c>
      <c r="G309">
        <f t="shared" si="26"/>
        <v>7</v>
      </c>
      <c r="H309" s="1">
        <f t="shared" si="27"/>
        <v>45495</v>
      </c>
      <c r="I309" s="1">
        <f t="shared" si="28"/>
        <v>45474</v>
      </c>
      <c r="J309">
        <v>486246.24999999994</v>
      </c>
      <c r="K309">
        <v>22068</v>
      </c>
      <c r="L309">
        <f t="shared" si="24"/>
        <v>22.033997190502081</v>
      </c>
      <c r="M309">
        <v>1839</v>
      </c>
      <c r="N309" s="2">
        <f t="shared" si="29"/>
        <v>264.40796628602499</v>
      </c>
      <c r="O309">
        <v>12</v>
      </c>
    </row>
    <row r="310" spans="1:15" x14ac:dyDescent="0.25">
      <c r="A310" t="s">
        <v>46</v>
      </c>
      <c r="B310" t="s">
        <v>14</v>
      </c>
      <c r="C310" t="s">
        <v>29</v>
      </c>
      <c r="D310" t="str">
        <f t="shared" si="25"/>
        <v>FAB1_1L  Sele En Selecta Entera</v>
      </c>
      <c r="E310">
        <v>2024</v>
      </c>
      <c r="F310">
        <v>31</v>
      </c>
      <c r="G310">
        <f t="shared" si="26"/>
        <v>8</v>
      </c>
      <c r="H310" s="1">
        <f t="shared" si="27"/>
        <v>45502</v>
      </c>
      <c r="I310" s="1">
        <f t="shared" si="28"/>
        <v>45505</v>
      </c>
      <c r="J310">
        <v>606300.85000000021</v>
      </c>
      <c r="K310">
        <v>26544</v>
      </c>
      <c r="L310">
        <f t="shared" si="24"/>
        <v>22.841352094635329</v>
      </c>
      <c r="M310">
        <v>2212</v>
      </c>
      <c r="N310" s="2">
        <f t="shared" si="29"/>
        <v>274.09622513562397</v>
      </c>
      <c r="O310">
        <v>12</v>
      </c>
    </row>
    <row r="311" spans="1:15" x14ac:dyDescent="0.25">
      <c r="A311" t="s">
        <v>46</v>
      </c>
      <c r="B311" t="s">
        <v>14</v>
      </c>
      <c r="C311" t="s">
        <v>29</v>
      </c>
      <c r="D311" t="str">
        <f t="shared" si="25"/>
        <v>FAB1_1L  Sele En Selecta Entera</v>
      </c>
      <c r="E311">
        <v>2024</v>
      </c>
      <c r="F311">
        <v>32</v>
      </c>
      <c r="G311">
        <f t="shared" si="26"/>
        <v>8</v>
      </c>
      <c r="H311" s="1">
        <f t="shared" si="27"/>
        <v>45509</v>
      </c>
      <c r="I311" s="1">
        <f t="shared" si="28"/>
        <v>45505</v>
      </c>
      <c r="J311">
        <v>496513.73000000027</v>
      </c>
      <c r="K311">
        <v>21144</v>
      </c>
      <c r="L311">
        <f t="shared" si="24"/>
        <v>23.482488176314806</v>
      </c>
      <c r="M311">
        <v>1762</v>
      </c>
      <c r="N311" s="2">
        <f t="shared" si="29"/>
        <v>281.78985811577769</v>
      </c>
      <c r="O311">
        <v>12</v>
      </c>
    </row>
    <row r="312" spans="1:15" x14ac:dyDescent="0.25">
      <c r="A312" t="s">
        <v>46</v>
      </c>
      <c r="B312" t="s">
        <v>14</v>
      </c>
      <c r="C312" t="s">
        <v>29</v>
      </c>
      <c r="D312" t="str">
        <f t="shared" si="25"/>
        <v>FAB1_1L  Sele En Selecta Entera</v>
      </c>
      <c r="E312">
        <v>2024</v>
      </c>
      <c r="F312">
        <v>33</v>
      </c>
      <c r="G312">
        <f t="shared" si="26"/>
        <v>8</v>
      </c>
      <c r="H312" s="1">
        <f t="shared" si="27"/>
        <v>45516</v>
      </c>
      <c r="I312" s="1">
        <f t="shared" si="28"/>
        <v>45505</v>
      </c>
      <c r="J312">
        <v>514034.65000000008</v>
      </c>
      <c r="K312">
        <v>22860</v>
      </c>
      <c r="L312">
        <f t="shared" si="24"/>
        <v>22.486205161854773</v>
      </c>
      <c r="M312">
        <v>1905</v>
      </c>
      <c r="N312" s="2">
        <f t="shared" si="29"/>
        <v>269.83446194225724</v>
      </c>
      <c r="O312">
        <v>12</v>
      </c>
    </row>
    <row r="313" spans="1:15" x14ac:dyDescent="0.25">
      <c r="A313" t="s">
        <v>46</v>
      </c>
      <c r="B313" t="s">
        <v>14</v>
      </c>
      <c r="C313" t="s">
        <v>29</v>
      </c>
      <c r="D313" t="str">
        <f t="shared" si="25"/>
        <v>FAB1_1L  Sele En Selecta Entera</v>
      </c>
      <c r="E313">
        <v>2024</v>
      </c>
      <c r="F313">
        <v>34</v>
      </c>
      <c r="G313">
        <f t="shared" si="26"/>
        <v>8</v>
      </c>
      <c r="H313" s="1">
        <f t="shared" si="27"/>
        <v>45523</v>
      </c>
      <c r="I313" s="1">
        <f t="shared" si="28"/>
        <v>45505</v>
      </c>
      <c r="J313">
        <v>549919.22000000009</v>
      </c>
      <c r="K313">
        <v>24132</v>
      </c>
      <c r="L313">
        <f t="shared" si="24"/>
        <v>22.787967014752201</v>
      </c>
      <c r="M313">
        <v>2011</v>
      </c>
      <c r="N313" s="2">
        <f t="shared" si="29"/>
        <v>273.45560417702637</v>
      </c>
      <c r="O313">
        <v>12</v>
      </c>
    </row>
    <row r="314" spans="1:15" x14ac:dyDescent="0.25">
      <c r="A314" t="s">
        <v>46</v>
      </c>
      <c r="B314" t="s">
        <v>14</v>
      </c>
      <c r="C314" t="s">
        <v>29</v>
      </c>
      <c r="D314" t="str">
        <f t="shared" si="25"/>
        <v>FAB1_1L  Sele En Selecta Entera</v>
      </c>
      <c r="E314">
        <v>2024</v>
      </c>
      <c r="F314">
        <v>35</v>
      </c>
      <c r="G314">
        <f t="shared" si="26"/>
        <v>8</v>
      </c>
      <c r="H314" s="1">
        <f t="shared" si="27"/>
        <v>45530</v>
      </c>
      <c r="I314" s="1">
        <f t="shared" si="28"/>
        <v>45505</v>
      </c>
      <c r="J314">
        <v>373955.40999999992</v>
      </c>
      <c r="K314">
        <v>15504</v>
      </c>
      <c r="L314">
        <f t="shared" si="24"/>
        <v>24.119930985552109</v>
      </c>
      <c r="M314">
        <v>1292</v>
      </c>
      <c r="N314" s="2">
        <f t="shared" si="29"/>
        <v>289.43917182662534</v>
      </c>
      <c r="O314">
        <v>12</v>
      </c>
    </row>
    <row r="315" spans="1:15" x14ac:dyDescent="0.25">
      <c r="A315" t="s">
        <v>46</v>
      </c>
      <c r="B315" t="s">
        <v>14</v>
      </c>
      <c r="C315" t="s">
        <v>29</v>
      </c>
      <c r="D315" t="str">
        <f t="shared" si="25"/>
        <v>FAB1_1L  Sele En Selecta Entera</v>
      </c>
      <c r="E315">
        <v>2024</v>
      </c>
      <c r="F315">
        <v>36</v>
      </c>
      <c r="G315">
        <f t="shared" si="26"/>
        <v>9</v>
      </c>
      <c r="H315" s="1">
        <f t="shared" si="27"/>
        <v>45537</v>
      </c>
      <c r="I315" s="1">
        <f t="shared" si="28"/>
        <v>45536</v>
      </c>
      <c r="J315">
        <v>433610.33999999997</v>
      </c>
      <c r="K315">
        <v>18036</v>
      </c>
      <c r="L315">
        <f t="shared" si="24"/>
        <v>24.041380572188952</v>
      </c>
      <c r="M315">
        <v>1503</v>
      </c>
      <c r="N315" s="2">
        <f t="shared" si="29"/>
        <v>288.49656686626747</v>
      </c>
      <c r="O315">
        <v>12</v>
      </c>
    </row>
    <row r="316" spans="1:15" x14ac:dyDescent="0.25">
      <c r="A316" t="s">
        <v>46</v>
      </c>
      <c r="B316" t="s">
        <v>14</v>
      </c>
      <c r="C316" t="s">
        <v>29</v>
      </c>
      <c r="D316" t="str">
        <f t="shared" si="25"/>
        <v>FAB1_1L  Sele En Selecta Entera</v>
      </c>
      <c r="E316">
        <v>2024</v>
      </c>
      <c r="F316">
        <v>37</v>
      </c>
      <c r="G316">
        <f t="shared" si="26"/>
        <v>9</v>
      </c>
      <c r="H316" s="1">
        <f t="shared" si="27"/>
        <v>45544</v>
      </c>
      <c r="I316" s="1">
        <f t="shared" si="28"/>
        <v>45536</v>
      </c>
      <c r="J316">
        <v>429254.61000000004</v>
      </c>
      <c r="K316">
        <v>17724</v>
      </c>
      <c r="L316">
        <f t="shared" si="24"/>
        <v>24.218833784698717</v>
      </c>
      <c r="M316">
        <v>1477</v>
      </c>
      <c r="N316" s="2">
        <f t="shared" si="29"/>
        <v>290.6260054163846</v>
      </c>
      <c r="O316">
        <v>12</v>
      </c>
    </row>
    <row r="317" spans="1:15" x14ac:dyDescent="0.25">
      <c r="A317" t="s">
        <v>46</v>
      </c>
      <c r="B317" t="s">
        <v>14</v>
      </c>
      <c r="C317" t="s">
        <v>29</v>
      </c>
      <c r="D317" t="str">
        <f t="shared" si="25"/>
        <v>FAB1_1L  Sele En Selecta Entera</v>
      </c>
      <c r="E317">
        <v>2024</v>
      </c>
      <c r="F317">
        <v>38</v>
      </c>
      <c r="G317">
        <f t="shared" si="26"/>
        <v>9</v>
      </c>
      <c r="H317" s="1">
        <f t="shared" si="27"/>
        <v>45551</v>
      </c>
      <c r="I317" s="1">
        <f t="shared" si="28"/>
        <v>45536</v>
      </c>
      <c r="J317">
        <v>442427.27999999991</v>
      </c>
      <c r="K317">
        <v>17772</v>
      </c>
      <c r="L317">
        <f t="shared" si="24"/>
        <v>24.894625253207288</v>
      </c>
      <c r="M317">
        <v>1481</v>
      </c>
      <c r="N317" s="2">
        <f t="shared" si="29"/>
        <v>298.73550303848742</v>
      </c>
      <c r="O317">
        <v>12</v>
      </c>
    </row>
    <row r="318" spans="1:15" x14ac:dyDescent="0.25">
      <c r="A318" t="s">
        <v>46</v>
      </c>
      <c r="B318" t="s">
        <v>14</v>
      </c>
      <c r="C318" t="s">
        <v>29</v>
      </c>
      <c r="D318" t="str">
        <f t="shared" si="25"/>
        <v>FAB1_1L  Sele En Selecta Entera</v>
      </c>
      <c r="E318">
        <v>2024</v>
      </c>
      <c r="F318">
        <v>39</v>
      </c>
      <c r="G318">
        <f t="shared" si="26"/>
        <v>9</v>
      </c>
      <c r="H318" s="1">
        <f t="shared" si="27"/>
        <v>45558</v>
      </c>
      <c r="I318" s="1">
        <f t="shared" si="28"/>
        <v>45536</v>
      </c>
      <c r="J318">
        <v>405436.81999999995</v>
      </c>
      <c r="K318">
        <v>16380</v>
      </c>
      <c r="L318">
        <f t="shared" si="24"/>
        <v>24.75194261294261</v>
      </c>
      <c r="M318">
        <v>1365</v>
      </c>
      <c r="N318" s="2">
        <f t="shared" si="29"/>
        <v>297.02331135531131</v>
      </c>
      <c r="O318">
        <v>12</v>
      </c>
    </row>
    <row r="319" spans="1:15" x14ac:dyDescent="0.25">
      <c r="A319" t="s">
        <v>46</v>
      </c>
      <c r="B319" t="s">
        <v>14</v>
      </c>
      <c r="C319" t="s">
        <v>29</v>
      </c>
      <c r="D319" t="str">
        <f t="shared" si="25"/>
        <v>FAB1_1L  Sele En Selecta Entera</v>
      </c>
      <c r="E319">
        <v>2024</v>
      </c>
      <c r="F319">
        <v>40</v>
      </c>
      <c r="G319">
        <f t="shared" si="26"/>
        <v>10</v>
      </c>
      <c r="H319" s="1">
        <f t="shared" si="27"/>
        <v>45565</v>
      </c>
      <c r="I319" s="1">
        <f t="shared" si="28"/>
        <v>45566</v>
      </c>
      <c r="J319">
        <v>516169.26</v>
      </c>
      <c r="K319">
        <v>20724</v>
      </c>
      <c r="L319">
        <f t="shared" si="24"/>
        <v>24.906835552982049</v>
      </c>
      <c r="M319">
        <v>1727</v>
      </c>
      <c r="N319" s="2">
        <f t="shared" si="29"/>
        <v>298.8820266357846</v>
      </c>
      <c r="O319">
        <v>12</v>
      </c>
    </row>
    <row r="320" spans="1:15" x14ac:dyDescent="0.25">
      <c r="A320" t="s">
        <v>46</v>
      </c>
      <c r="B320" t="s">
        <v>14</v>
      </c>
      <c r="C320" t="s">
        <v>29</v>
      </c>
      <c r="D320" t="str">
        <f t="shared" si="25"/>
        <v>FAB1_1L  Sele En Selecta Entera</v>
      </c>
      <c r="E320">
        <v>2024</v>
      </c>
      <c r="F320">
        <v>41</v>
      </c>
      <c r="G320">
        <f t="shared" si="26"/>
        <v>10</v>
      </c>
      <c r="H320" s="1">
        <f t="shared" si="27"/>
        <v>45572</v>
      </c>
      <c r="I320" s="1">
        <f t="shared" si="28"/>
        <v>45566</v>
      </c>
      <c r="J320">
        <v>388834.80000000005</v>
      </c>
      <c r="K320">
        <v>15528</v>
      </c>
      <c r="L320">
        <f t="shared" si="24"/>
        <v>25.040880989180838</v>
      </c>
      <c r="M320">
        <v>1294</v>
      </c>
      <c r="N320" s="2">
        <f t="shared" si="29"/>
        <v>300.49057187017007</v>
      </c>
      <c r="O320">
        <v>12</v>
      </c>
    </row>
    <row r="321" spans="1:15" x14ac:dyDescent="0.25">
      <c r="A321" t="s">
        <v>46</v>
      </c>
      <c r="B321" t="s">
        <v>14</v>
      </c>
      <c r="C321" t="s">
        <v>29</v>
      </c>
      <c r="D321" t="str">
        <f t="shared" si="25"/>
        <v>FAB1_1L  Sele En Selecta Entera</v>
      </c>
      <c r="E321">
        <v>2024</v>
      </c>
      <c r="F321">
        <v>42</v>
      </c>
      <c r="G321">
        <f t="shared" si="26"/>
        <v>10</v>
      </c>
      <c r="H321" s="1">
        <f t="shared" si="27"/>
        <v>45579</v>
      </c>
      <c r="I321" s="1">
        <f t="shared" si="28"/>
        <v>45566</v>
      </c>
      <c r="J321">
        <v>460000.11999999988</v>
      </c>
      <c r="K321">
        <v>18480</v>
      </c>
      <c r="L321">
        <f t="shared" si="24"/>
        <v>24.89178138528138</v>
      </c>
      <c r="M321">
        <v>1540</v>
      </c>
      <c r="N321" s="2">
        <f t="shared" si="29"/>
        <v>298.70137662337652</v>
      </c>
      <c r="O321">
        <v>12</v>
      </c>
    </row>
    <row r="322" spans="1:15" x14ac:dyDescent="0.25">
      <c r="A322" t="s">
        <v>46</v>
      </c>
      <c r="B322" t="s">
        <v>14</v>
      </c>
      <c r="C322" t="s">
        <v>29</v>
      </c>
      <c r="D322" t="str">
        <f t="shared" si="25"/>
        <v>FAB1_1L  Sele En Selecta Entera</v>
      </c>
      <c r="E322">
        <v>2024</v>
      </c>
      <c r="F322">
        <v>43</v>
      </c>
      <c r="G322">
        <f t="shared" si="26"/>
        <v>10</v>
      </c>
      <c r="H322" s="1">
        <f t="shared" si="27"/>
        <v>45586</v>
      </c>
      <c r="I322" s="1">
        <f t="shared" si="28"/>
        <v>45566</v>
      </c>
      <c r="J322">
        <v>509016.92999999993</v>
      </c>
      <c r="K322">
        <v>20712</v>
      </c>
      <c r="L322">
        <f t="shared" ref="L322:L385" si="30">J322/K322</f>
        <v>24.575942931633833</v>
      </c>
      <c r="M322">
        <v>1726</v>
      </c>
      <c r="N322" s="2">
        <f t="shared" si="29"/>
        <v>294.91131517960599</v>
      </c>
      <c r="O322">
        <v>12</v>
      </c>
    </row>
    <row r="323" spans="1:15" x14ac:dyDescent="0.25">
      <c r="A323" t="s">
        <v>46</v>
      </c>
      <c r="B323" t="s">
        <v>14</v>
      </c>
      <c r="C323" t="s">
        <v>29</v>
      </c>
      <c r="D323" t="str">
        <f t="shared" ref="D323:D386" si="31">B323&amp;"_"&amp;C323</f>
        <v>FAB1_1L  Sele En Selecta Entera</v>
      </c>
      <c r="E323">
        <v>2024</v>
      </c>
      <c r="F323">
        <v>44</v>
      </c>
      <c r="G323">
        <f t="shared" ref="G323:G386" si="32">MONTH(DATE(E323,1,4)+(F323-1)*7-WEEKDAY(DATE(E323,1,4),2)+4)</f>
        <v>10</v>
      </c>
      <c r="H323" s="1">
        <f t="shared" ref="H323:H386" si="33">DATE(E323,1,-2)-WEEKDAY(DATE(E323,1,3))+F323*7</f>
        <v>45593</v>
      </c>
      <c r="I323" s="1">
        <f t="shared" ref="I323:I386" si="34">DATE(E323,G323,1)</f>
        <v>45566</v>
      </c>
      <c r="J323">
        <v>444419.95999999996</v>
      </c>
      <c r="K323">
        <v>18480</v>
      </c>
      <c r="L323">
        <f t="shared" si="30"/>
        <v>24.048699134199133</v>
      </c>
      <c r="M323">
        <v>1540</v>
      </c>
      <c r="N323" s="2">
        <f t="shared" ref="N323:N386" si="35">J323/M323</f>
        <v>288.58438961038956</v>
      </c>
      <c r="O323">
        <v>12</v>
      </c>
    </row>
    <row r="324" spans="1:15" x14ac:dyDescent="0.25">
      <c r="A324" t="s">
        <v>46</v>
      </c>
      <c r="B324" t="s">
        <v>14</v>
      </c>
      <c r="C324" t="s">
        <v>29</v>
      </c>
      <c r="D324" t="str">
        <f t="shared" si="31"/>
        <v>FAB1_1L  Sele En Selecta Entera</v>
      </c>
      <c r="E324">
        <v>2024</v>
      </c>
      <c r="F324">
        <v>45</v>
      </c>
      <c r="G324">
        <f t="shared" si="32"/>
        <v>11</v>
      </c>
      <c r="H324" s="1">
        <f t="shared" si="33"/>
        <v>45600</v>
      </c>
      <c r="I324" s="1">
        <f t="shared" si="34"/>
        <v>45597</v>
      </c>
      <c r="J324">
        <v>561119.08000000007</v>
      </c>
      <c r="K324">
        <v>25404</v>
      </c>
      <c r="L324">
        <f t="shared" si="30"/>
        <v>22.087823964729967</v>
      </c>
      <c r="M324">
        <v>2117</v>
      </c>
      <c r="N324" s="2">
        <f t="shared" si="35"/>
        <v>265.05388757675962</v>
      </c>
      <c r="O324">
        <v>12</v>
      </c>
    </row>
    <row r="325" spans="1:15" x14ac:dyDescent="0.25">
      <c r="A325" t="s">
        <v>46</v>
      </c>
      <c r="B325" t="s">
        <v>14</v>
      </c>
      <c r="C325" t="s">
        <v>29</v>
      </c>
      <c r="D325" t="str">
        <f t="shared" si="31"/>
        <v>FAB1_1L  Sele En Selecta Entera</v>
      </c>
      <c r="E325">
        <v>2024</v>
      </c>
      <c r="F325">
        <v>46</v>
      </c>
      <c r="G325">
        <f t="shared" si="32"/>
        <v>11</v>
      </c>
      <c r="H325" s="1">
        <f t="shared" si="33"/>
        <v>45607</v>
      </c>
      <c r="I325" s="1">
        <f t="shared" si="34"/>
        <v>45597</v>
      </c>
      <c r="J325">
        <v>628523.63999999978</v>
      </c>
      <c r="K325">
        <v>28812</v>
      </c>
      <c r="L325">
        <f t="shared" si="30"/>
        <v>21.814648063306947</v>
      </c>
      <c r="M325">
        <v>2401</v>
      </c>
      <c r="N325" s="2">
        <f t="shared" si="35"/>
        <v>261.77577675968337</v>
      </c>
      <c r="O325">
        <v>12</v>
      </c>
    </row>
    <row r="326" spans="1:15" x14ac:dyDescent="0.25">
      <c r="A326" t="s">
        <v>46</v>
      </c>
      <c r="B326" t="s">
        <v>14</v>
      </c>
      <c r="C326" t="s">
        <v>29</v>
      </c>
      <c r="D326" t="str">
        <f t="shared" si="31"/>
        <v>FAB1_1L  Sele En Selecta Entera</v>
      </c>
      <c r="E326">
        <v>2024</v>
      </c>
      <c r="F326">
        <v>47</v>
      </c>
      <c r="G326">
        <f t="shared" si="32"/>
        <v>11</v>
      </c>
      <c r="H326" s="1">
        <f t="shared" si="33"/>
        <v>45614</v>
      </c>
      <c r="I326" s="1">
        <f t="shared" si="34"/>
        <v>45597</v>
      </c>
      <c r="J326">
        <v>726942.78999999992</v>
      </c>
      <c r="K326">
        <v>33060</v>
      </c>
      <c r="L326">
        <f t="shared" si="30"/>
        <v>21.988590139140953</v>
      </c>
      <c r="M326">
        <v>2755</v>
      </c>
      <c r="N326" s="2">
        <f t="shared" si="35"/>
        <v>263.86308166969144</v>
      </c>
      <c r="O326">
        <v>12</v>
      </c>
    </row>
    <row r="327" spans="1:15" x14ac:dyDescent="0.25">
      <c r="A327" t="s">
        <v>46</v>
      </c>
      <c r="B327" t="s">
        <v>14</v>
      </c>
      <c r="C327" t="s">
        <v>29</v>
      </c>
      <c r="D327" t="str">
        <f t="shared" si="31"/>
        <v>FAB1_1L  Sele En Selecta Entera</v>
      </c>
      <c r="E327">
        <v>2024</v>
      </c>
      <c r="F327">
        <v>48</v>
      </c>
      <c r="G327">
        <f t="shared" si="32"/>
        <v>11</v>
      </c>
      <c r="H327" s="1">
        <f t="shared" si="33"/>
        <v>45621</v>
      </c>
      <c r="I327" s="1">
        <f t="shared" si="34"/>
        <v>45597</v>
      </c>
      <c r="J327">
        <v>464416.91</v>
      </c>
      <c r="K327">
        <v>20784</v>
      </c>
      <c r="L327">
        <f t="shared" si="30"/>
        <v>22.344924461123941</v>
      </c>
      <c r="M327">
        <v>1732</v>
      </c>
      <c r="N327" s="2">
        <f t="shared" si="35"/>
        <v>268.13909353348726</v>
      </c>
      <c r="O327">
        <v>12</v>
      </c>
    </row>
    <row r="328" spans="1:15" x14ac:dyDescent="0.25">
      <c r="A328" t="s">
        <v>46</v>
      </c>
      <c r="B328" t="s">
        <v>14</v>
      </c>
      <c r="C328" t="s">
        <v>29</v>
      </c>
      <c r="D328" t="str">
        <f t="shared" si="31"/>
        <v>FAB1_1L  Sele En Selecta Entera</v>
      </c>
      <c r="E328">
        <v>2024</v>
      </c>
      <c r="F328">
        <v>49</v>
      </c>
      <c r="G328">
        <f t="shared" si="32"/>
        <v>12</v>
      </c>
      <c r="H328" s="1">
        <f t="shared" si="33"/>
        <v>45628</v>
      </c>
      <c r="I328" s="1">
        <f t="shared" si="34"/>
        <v>45627</v>
      </c>
      <c r="J328">
        <v>498897.95</v>
      </c>
      <c r="K328">
        <v>22044</v>
      </c>
      <c r="L328">
        <f t="shared" si="30"/>
        <v>22.631915714026494</v>
      </c>
      <c r="M328">
        <v>1837</v>
      </c>
      <c r="N328" s="2">
        <f t="shared" si="35"/>
        <v>271.58298856831794</v>
      </c>
      <c r="O328">
        <v>12</v>
      </c>
    </row>
    <row r="329" spans="1:15" x14ac:dyDescent="0.25">
      <c r="A329" t="s">
        <v>46</v>
      </c>
      <c r="B329" t="s">
        <v>14</v>
      </c>
      <c r="C329" t="s">
        <v>29</v>
      </c>
      <c r="D329" t="str">
        <f t="shared" si="31"/>
        <v>FAB1_1L  Sele En Selecta Entera</v>
      </c>
      <c r="E329">
        <v>2024</v>
      </c>
      <c r="F329">
        <v>50</v>
      </c>
      <c r="G329">
        <f t="shared" si="32"/>
        <v>12</v>
      </c>
      <c r="H329" s="1">
        <f t="shared" si="33"/>
        <v>45635</v>
      </c>
      <c r="I329" s="1">
        <f t="shared" si="34"/>
        <v>45627</v>
      </c>
      <c r="J329">
        <v>466626.63</v>
      </c>
      <c r="K329">
        <v>20664</v>
      </c>
      <c r="L329">
        <f t="shared" si="30"/>
        <v>22.581621660859465</v>
      </c>
      <c r="M329">
        <v>1722</v>
      </c>
      <c r="N329" s="2">
        <f t="shared" si="35"/>
        <v>270.97945993031357</v>
      </c>
      <c r="O329">
        <v>12</v>
      </c>
    </row>
    <row r="330" spans="1:15" x14ac:dyDescent="0.25">
      <c r="A330" t="s">
        <v>46</v>
      </c>
      <c r="B330" t="s">
        <v>14</v>
      </c>
      <c r="C330" t="s">
        <v>29</v>
      </c>
      <c r="D330" t="str">
        <f t="shared" si="31"/>
        <v>FAB1_1L  Sele En Selecta Entera</v>
      </c>
      <c r="E330">
        <v>2024</v>
      </c>
      <c r="F330">
        <v>51</v>
      </c>
      <c r="G330">
        <f t="shared" si="32"/>
        <v>12</v>
      </c>
      <c r="H330" s="1">
        <f t="shared" si="33"/>
        <v>45642</v>
      </c>
      <c r="I330" s="1">
        <f t="shared" si="34"/>
        <v>45627</v>
      </c>
      <c r="J330">
        <v>528988.25</v>
      </c>
      <c r="K330">
        <v>23460</v>
      </c>
      <c r="L330">
        <f t="shared" si="30"/>
        <v>22.548518755328217</v>
      </c>
      <c r="M330">
        <v>1955</v>
      </c>
      <c r="N330" s="2">
        <f t="shared" si="35"/>
        <v>270.58222506393861</v>
      </c>
      <c r="O330">
        <v>12</v>
      </c>
    </row>
    <row r="331" spans="1:15" x14ac:dyDescent="0.25">
      <c r="A331" t="s">
        <v>46</v>
      </c>
      <c r="B331" t="s">
        <v>14</v>
      </c>
      <c r="C331" t="s">
        <v>29</v>
      </c>
      <c r="D331" t="str">
        <f t="shared" si="31"/>
        <v>FAB1_1L  Sele En Selecta Entera</v>
      </c>
      <c r="E331">
        <v>2024</v>
      </c>
      <c r="F331">
        <v>52</v>
      </c>
      <c r="G331">
        <f t="shared" si="32"/>
        <v>12</v>
      </c>
      <c r="H331" s="1">
        <f t="shared" si="33"/>
        <v>45649</v>
      </c>
      <c r="I331" s="1">
        <f t="shared" si="34"/>
        <v>45627</v>
      </c>
      <c r="J331">
        <v>431346.24</v>
      </c>
      <c r="K331">
        <v>19104</v>
      </c>
      <c r="L331">
        <f t="shared" si="30"/>
        <v>22.578844221105527</v>
      </c>
      <c r="M331">
        <v>1592</v>
      </c>
      <c r="N331" s="2">
        <f t="shared" si="35"/>
        <v>270.94613065326632</v>
      </c>
      <c r="O331">
        <v>12</v>
      </c>
    </row>
    <row r="332" spans="1:15" x14ac:dyDescent="0.25">
      <c r="A332" t="s">
        <v>46</v>
      </c>
      <c r="B332" t="s">
        <v>14</v>
      </c>
      <c r="C332" t="s">
        <v>29</v>
      </c>
      <c r="D332" t="str">
        <f t="shared" si="31"/>
        <v>FAB1_1L  Sele En Selecta Entera</v>
      </c>
      <c r="E332">
        <v>2025</v>
      </c>
      <c r="F332">
        <v>1</v>
      </c>
      <c r="G332">
        <f t="shared" si="32"/>
        <v>1</v>
      </c>
      <c r="H332" s="1">
        <f t="shared" si="33"/>
        <v>45656</v>
      </c>
      <c r="I332" s="1">
        <f t="shared" si="34"/>
        <v>45658</v>
      </c>
      <c r="J332">
        <v>522002.05</v>
      </c>
      <c r="K332">
        <v>23352</v>
      </c>
      <c r="L332">
        <f t="shared" si="30"/>
        <v>22.353633521754023</v>
      </c>
      <c r="M332">
        <v>1946</v>
      </c>
      <c r="N332" s="2">
        <f t="shared" si="35"/>
        <v>268.2436022610483</v>
      </c>
      <c r="O332">
        <v>12</v>
      </c>
    </row>
    <row r="333" spans="1:15" x14ac:dyDescent="0.25">
      <c r="A333" t="s">
        <v>46</v>
      </c>
      <c r="B333" t="s">
        <v>14</v>
      </c>
      <c r="C333" t="s">
        <v>29</v>
      </c>
      <c r="D333" t="str">
        <f t="shared" si="31"/>
        <v>FAB1_1L  Sele En Selecta Entera</v>
      </c>
      <c r="E333">
        <v>2025</v>
      </c>
      <c r="F333">
        <v>2</v>
      </c>
      <c r="G333">
        <f t="shared" si="32"/>
        <v>1</v>
      </c>
      <c r="H333" s="1">
        <f t="shared" si="33"/>
        <v>45663</v>
      </c>
      <c r="I333" s="1">
        <f t="shared" si="34"/>
        <v>45658</v>
      </c>
      <c r="J333">
        <v>486772.98999999993</v>
      </c>
      <c r="K333">
        <v>21624</v>
      </c>
      <c r="L333">
        <f t="shared" si="30"/>
        <v>22.510774602293743</v>
      </c>
      <c r="M333">
        <v>1802</v>
      </c>
      <c r="N333" s="2">
        <f t="shared" si="35"/>
        <v>270.12929522752495</v>
      </c>
      <c r="O333">
        <v>12</v>
      </c>
    </row>
    <row r="334" spans="1:15" x14ac:dyDescent="0.25">
      <c r="A334" t="s">
        <v>46</v>
      </c>
      <c r="B334" t="s">
        <v>14</v>
      </c>
      <c r="C334" t="s">
        <v>29</v>
      </c>
      <c r="D334" t="str">
        <f t="shared" si="31"/>
        <v>FAB1_1L  Sele En Selecta Entera</v>
      </c>
      <c r="E334">
        <v>2025</v>
      </c>
      <c r="F334">
        <v>3</v>
      </c>
      <c r="G334">
        <f t="shared" si="32"/>
        <v>1</v>
      </c>
      <c r="H334" s="1">
        <f t="shared" si="33"/>
        <v>45670</v>
      </c>
      <c r="I334" s="1">
        <f t="shared" si="34"/>
        <v>45658</v>
      </c>
      <c r="J334">
        <v>519745.95</v>
      </c>
      <c r="K334">
        <v>23388</v>
      </c>
      <c r="L334">
        <f t="shared" si="30"/>
        <v>22.222761672652641</v>
      </c>
      <c r="M334">
        <v>1949</v>
      </c>
      <c r="N334" s="2">
        <f t="shared" si="35"/>
        <v>266.67314007183171</v>
      </c>
      <c r="O334">
        <v>12</v>
      </c>
    </row>
    <row r="335" spans="1:15" x14ac:dyDescent="0.25">
      <c r="A335" t="s">
        <v>46</v>
      </c>
      <c r="B335" t="s">
        <v>14</v>
      </c>
      <c r="C335" t="s">
        <v>29</v>
      </c>
      <c r="D335" t="str">
        <f t="shared" si="31"/>
        <v>FAB1_1L  Sele En Selecta Entera</v>
      </c>
      <c r="E335">
        <v>2025</v>
      </c>
      <c r="F335">
        <v>4</v>
      </c>
      <c r="G335">
        <f t="shared" si="32"/>
        <v>1</v>
      </c>
      <c r="H335" s="1">
        <f t="shared" si="33"/>
        <v>45677</v>
      </c>
      <c r="I335" s="1">
        <f t="shared" si="34"/>
        <v>45658</v>
      </c>
      <c r="J335">
        <v>530424.21</v>
      </c>
      <c r="K335">
        <v>24036</v>
      </c>
      <c r="L335">
        <f t="shared" si="30"/>
        <v>22.067906889665501</v>
      </c>
      <c r="M335">
        <v>2003</v>
      </c>
      <c r="N335" s="2">
        <f t="shared" si="35"/>
        <v>264.81488267598598</v>
      </c>
      <c r="O335">
        <v>12</v>
      </c>
    </row>
    <row r="336" spans="1:15" x14ac:dyDescent="0.25">
      <c r="A336" t="s">
        <v>46</v>
      </c>
      <c r="B336" t="s">
        <v>14</v>
      </c>
      <c r="C336" t="s">
        <v>29</v>
      </c>
      <c r="D336" t="str">
        <f t="shared" si="31"/>
        <v>FAB1_1L  Sele En Selecta Entera</v>
      </c>
      <c r="E336">
        <v>2025</v>
      </c>
      <c r="F336">
        <v>5</v>
      </c>
      <c r="G336">
        <f t="shared" si="32"/>
        <v>1</v>
      </c>
      <c r="H336" s="1">
        <f t="shared" si="33"/>
        <v>45684</v>
      </c>
      <c r="I336" s="1">
        <f t="shared" si="34"/>
        <v>45658</v>
      </c>
      <c r="J336">
        <v>595657.52</v>
      </c>
      <c r="K336">
        <v>26820</v>
      </c>
      <c r="L336">
        <f t="shared" si="30"/>
        <v>22.209452647278152</v>
      </c>
      <c r="M336">
        <v>2235</v>
      </c>
      <c r="N336" s="2">
        <f t="shared" si="35"/>
        <v>266.51343176733781</v>
      </c>
      <c r="O336">
        <v>12</v>
      </c>
    </row>
    <row r="337" spans="1:15" x14ac:dyDescent="0.25">
      <c r="A337" t="s">
        <v>46</v>
      </c>
      <c r="B337" t="s">
        <v>14</v>
      </c>
      <c r="C337" t="s">
        <v>29</v>
      </c>
      <c r="D337" t="str">
        <f t="shared" si="31"/>
        <v>FAB1_1L  Sele En Selecta Entera</v>
      </c>
      <c r="E337">
        <v>2025</v>
      </c>
      <c r="F337">
        <v>6</v>
      </c>
      <c r="G337">
        <f t="shared" si="32"/>
        <v>2</v>
      </c>
      <c r="H337" s="1">
        <f t="shared" si="33"/>
        <v>45691</v>
      </c>
      <c r="I337" s="1">
        <f t="shared" si="34"/>
        <v>45689</v>
      </c>
      <c r="J337">
        <v>538003.38000000012</v>
      </c>
      <c r="K337">
        <v>24096</v>
      </c>
      <c r="L337">
        <f t="shared" si="30"/>
        <v>22.327497509960164</v>
      </c>
      <c r="M337">
        <v>2008</v>
      </c>
      <c r="N337" s="2">
        <f t="shared" si="35"/>
        <v>267.92997011952195</v>
      </c>
      <c r="O337">
        <v>12</v>
      </c>
    </row>
    <row r="338" spans="1:15" x14ac:dyDescent="0.25">
      <c r="A338" t="s">
        <v>46</v>
      </c>
      <c r="B338" t="s">
        <v>14</v>
      </c>
      <c r="C338" t="s">
        <v>29</v>
      </c>
      <c r="D338" t="str">
        <f t="shared" si="31"/>
        <v>FAB1_1L  Sele En Selecta Entera</v>
      </c>
      <c r="E338">
        <v>2025</v>
      </c>
      <c r="F338">
        <v>7</v>
      </c>
      <c r="G338">
        <f t="shared" si="32"/>
        <v>2</v>
      </c>
      <c r="H338" s="1">
        <f t="shared" si="33"/>
        <v>45698</v>
      </c>
      <c r="I338" s="1">
        <f t="shared" si="34"/>
        <v>45689</v>
      </c>
      <c r="J338">
        <v>496321.41000000009</v>
      </c>
      <c r="K338">
        <v>21528</v>
      </c>
      <c r="L338">
        <f t="shared" si="30"/>
        <v>23.05469202898551</v>
      </c>
      <c r="M338">
        <v>1794</v>
      </c>
      <c r="N338" s="2">
        <f t="shared" si="35"/>
        <v>276.65630434782616</v>
      </c>
      <c r="O338">
        <v>12</v>
      </c>
    </row>
    <row r="339" spans="1:15" x14ac:dyDescent="0.25">
      <c r="A339" t="s">
        <v>46</v>
      </c>
      <c r="B339" t="s">
        <v>14</v>
      </c>
      <c r="C339" t="s">
        <v>29</v>
      </c>
      <c r="D339" t="str">
        <f t="shared" si="31"/>
        <v>FAB1_1L  Sele En Selecta Entera</v>
      </c>
      <c r="E339">
        <v>2025</v>
      </c>
      <c r="F339">
        <v>8</v>
      </c>
      <c r="G339">
        <f t="shared" si="32"/>
        <v>2</v>
      </c>
      <c r="H339" s="1">
        <f t="shared" si="33"/>
        <v>45705</v>
      </c>
      <c r="I339" s="1">
        <f t="shared" si="34"/>
        <v>45689</v>
      </c>
      <c r="J339">
        <v>488595.88</v>
      </c>
      <c r="K339">
        <v>20724</v>
      </c>
      <c r="L339">
        <f t="shared" si="30"/>
        <v>23.576330824165218</v>
      </c>
      <c r="M339">
        <v>1727</v>
      </c>
      <c r="N339" s="2">
        <f t="shared" si="35"/>
        <v>282.91596988998265</v>
      </c>
      <c r="O339">
        <v>12</v>
      </c>
    </row>
    <row r="340" spans="1:15" x14ac:dyDescent="0.25">
      <c r="A340" t="s">
        <v>46</v>
      </c>
      <c r="B340" t="s">
        <v>14</v>
      </c>
      <c r="C340" t="s">
        <v>29</v>
      </c>
      <c r="D340" t="str">
        <f t="shared" si="31"/>
        <v>FAB1_1L  Sele En Selecta Entera</v>
      </c>
      <c r="E340">
        <v>2025</v>
      </c>
      <c r="F340">
        <v>9</v>
      </c>
      <c r="G340">
        <f t="shared" si="32"/>
        <v>2</v>
      </c>
      <c r="H340" s="1">
        <f t="shared" si="33"/>
        <v>45712</v>
      </c>
      <c r="I340" s="1">
        <f t="shared" si="34"/>
        <v>45689</v>
      </c>
      <c r="J340">
        <v>500717.74999999994</v>
      </c>
      <c r="K340">
        <v>21720</v>
      </c>
      <c r="L340">
        <f t="shared" si="30"/>
        <v>23.053303406998154</v>
      </c>
      <c r="M340">
        <v>1810</v>
      </c>
      <c r="N340" s="2">
        <f t="shared" si="35"/>
        <v>276.63964088397785</v>
      </c>
      <c r="O340">
        <v>12</v>
      </c>
    </row>
    <row r="341" spans="1:15" x14ac:dyDescent="0.25">
      <c r="A341" t="s">
        <v>46</v>
      </c>
      <c r="B341" t="s">
        <v>14</v>
      </c>
      <c r="C341" t="s">
        <v>29</v>
      </c>
      <c r="D341" t="str">
        <f t="shared" si="31"/>
        <v>FAB1_1L  Sele En Selecta Entera</v>
      </c>
      <c r="E341">
        <v>2025</v>
      </c>
      <c r="F341">
        <v>10</v>
      </c>
      <c r="G341">
        <f t="shared" si="32"/>
        <v>3</v>
      </c>
      <c r="H341" s="1">
        <f t="shared" si="33"/>
        <v>45719</v>
      </c>
      <c r="I341" s="1">
        <f t="shared" si="34"/>
        <v>45717</v>
      </c>
      <c r="J341">
        <v>467193.94</v>
      </c>
      <c r="K341">
        <v>18912</v>
      </c>
      <c r="L341">
        <f t="shared" si="30"/>
        <v>24.703571277495769</v>
      </c>
      <c r="M341">
        <v>1576</v>
      </c>
      <c r="N341" s="2">
        <f t="shared" si="35"/>
        <v>296.44285532994923</v>
      </c>
      <c r="O341">
        <v>12</v>
      </c>
    </row>
    <row r="342" spans="1:15" x14ac:dyDescent="0.25">
      <c r="A342" t="s">
        <v>46</v>
      </c>
      <c r="B342" t="s">
        <v>14</v>
      </c>
      <c r="C342" t="s">
        <v>29</v>
      </c>
      <c r="D342" t="str">
        <f t="shared" si="31"/>
        <v>FAB1_1L  Sele En Selecta Entera</v>
      </c>
      <c r="E342">
        <v>2025</v>
      </c>
      <c r="F342">
        <v>11</v>
      </c>
      <c r="G342">
        <f t="shared" si="32"/>
        <v>3</v>
      </c>
      <c r="H342" s="1">
        <f t="shared" si="33"/>
        <v>45726</v>
      </c>
      <c r="I342" s="1">
        <f t="shared" si="34"/>
        <v>45717</v>
      </c>
      <c r="J342">
        <v>405546.22</v>
      </c>
      <c r="K342">
        <v>16704</v>
      </c>
      <c r="L342">
        <f t="shared" si="30"/>
        <v>24.278389607279692</v>
      </c>
      <c r="M342">
        <v>1392</v>
      </c>
      <c r="N342" s="2">
        <f t="shared" si="35"/>
        <v>291.34067528735631</v>
      </c>
      <c r="O342">
        <v>12</v>
      </c>
    </row>
    <row r="343" spans="1:15" x14ac:dyDescent="0.25">
      <c r="A343" t="s">
        <v>46</v>
      </c>
      <c r="B343" t="s">
        <v>14</v>
      </c>
      <c r="C343" t="s">
        <v>29</v>
      </c>
      <c r="D343" t="str">
        <f t="shared" si="31"/>
        <v>FAB1_1L  Sele En Selecta Entera</v>
      </c>
      <c r="E343">
        <v>2025</v>
      </c>
      <c r="F343">
        <v>12</v>
      </c>
      <c r="G343">
        <f t="shared" si="32"/>
        <v>3</v>
      </c>
      <c r="H343" s="1">
        <f t="shared" si="33"/>
        <v>45733</v>
      </c>
      <c r="I343" s="1">
        <f t="shared" si="34"/>
        <v>45717</v>
      </c>
      <c r="J343">
        <v>467543.99</v>
      </c>
      <c r="K343">
        <v>19500</v>
      </c>
      <c r="L343">
        <f t="shared" si="30"/>
        <v>23.976614871794872</v>
      </c>
      <c r="M343">
        <v>1625</v>
      </c>
      <c r="N343" s="2">
        <f t="shared" si="35"/>
        <v>287.71937846153844</v>
      </c>
      <c r="O343">
        <v>12</v>
      </c>
    </row>
    <row r="344" spans="1:15" x14ac:dyDescent="0.25">
      <c r="A344" t="s">
        <v>46</v>
      </c>
      <c r="B344" t="s">
        <v>14</v>
      </c>
      <c r="C344" t="s">
        <v>29</v>
      </c>
      <c r="D344" t="str">
        <f t="shared" si="31"/>
        <v>FAB1_1L  Sele En Selecta Entera</v>
      </c>
      <c r="E344">
        <v>2025</v>
      </c>
      <c r="F344">
        <v>13</v>
      </c>
      <c r="G344">
        <f t="shared" si="32"/>
        <v>3</v>
      </c>
      <c r="H344" s="1">
        <f t="shared" si="33"/>
        <v>45740</v>
      </c>
      <c r="I344" s="1">
        <f t="shared" si="34"/>
        <v>45717</v>
      </c>
      <c r="J344">
        <v>363998.56999999995</v>
      </c>
      <c r="K344">
        <v>15120</v>
      </c>
      <c r="L344">
        <f t="shared" si="30"/>
        <v>24.073979497354493</v>
      </c>
      <c r="M344">
        <v>1260</v>
      </c>
      <c r="N344" s="2">
        <f t="shared" si="35"/>
        <v>288.88775396825395</v>
      </c>
      <c r="O344">
        <v>12</v>
      </c>
    </row>
    <row r="345" spans="1:15" x14ac:dyDescent="0.25">
      <c r="A345" t="s">
        <v>46</v>
      </c>
      <c r="B345" t="s">
        <v>14</v>
      </c>
      <c r="C345" t="s">
        <v>29</v>
      </c>
      <c r="D345" t="str">
        <f t="shared" si="31"/>
        <v>FAB1_1L  Sele En Selecta Entera</v>
      </c>
      <c r="E345">
        <v>2025</v>
      </c>
      <c r="F345">
        <v>14</v>
      </c>
      <c r="G345">
        <f t="shared" si="32"/>
        <v>4</v>
      </c>
      <c r="H345" s="1">
        <f t="shared" si="33"/>
        <v>45747</v>
      </c>
      <c r="I345" s="1">
        <f t="shared" si="34"/>
        <v>45748</v>
      </c>
      <c r="J345">
        <v>504769.29000000004</v>
      </c>
      <c r="K345">
        <v>20412</v>
      </c>
      <c r="L345">
        <f t="shared" si="30"/>
        <v>24.729046149323928</v>
      </c>
      <c r="M345">
        <v>1701</v>
      </c>
      <c r="N345" s="2">
        <f t="shared" si="35"/>
        <v>296.74855379188716</v>
      </c>
      <c r="O345">
        <v>12</v>
      </c>
    </row>
    <row r="346" spans="1:15" x14ac:dyDescent="0.25">
      <c r="A346" t="s">
        <v>46</v>
      </c>
      <c r="B346" t="s">
        <v>14</v>
      </c>
      <c r="C346" t="s">
        <v>29</v>
      </c>
      <c r="D346" t="str">
        <f t="shared" si="31"/>
        <v>FAB1_1L  Sele En Selecta Entera</v>
      </c>
      <c r="E346">
        <v>2025</v>
      </c>
      <c r="F346">
        <v>15</v>
      </c>
      <c r="G346">
        <f t="shared" si="32"/>
        <v>4</v>
      </c>
      <c r="H346" s="1">
        <f t="shared" si="33"/>
        <v>45754</v>
      </c>
      <c r="I346" s="1">
        <f t="shared" si="34"/>
        <v>45748</v>
      </c>
      <c r="J346">
        <v>411606.94</v>
      </c>
      <c r="K346">
        <v>15960</v>
      </c>
      <c r="L346">
        <f t="shared" si="30"/>
        <v>25.789908521303257</v>
      </c>
      <c r="M346">
        <v>1330</v>
      </c>
      <c r="N346" s="2">
        <f t="shared" si="35"/>
        <v>309.47890225563913</v>
      </c>
      <c r="O346">
        <v>12</v>
      </c>
    </row>
    <row r="347" spans="1:15" x14ac:dyDescent="0.25">
      <c r="A347" t="s">
        <v>46</v>
      </c>
      <c r="B347" t="s">
        <v>14</v>
      </c>
      <c r="C347" t="s">
        <v>29</v>
      </c>
      <c r="D347" t="str">
        <f t="shared" si="31"/>
        <v>FAB1_1L  Sele En Selecta Entera</v>
      </c>
      <c r="E347">
        <v>2025</v>
      </c>
      <c r="F347">
        <v>16</v>
      </c>
      <c r="G347">
        <f t="shared" si="32"/>
        <v>4</v>
      </c>
      <c r="H347" s="1">
        <f t="shared" si="33"/>
        <v>45761</v>
      </c>
      <c r="I347" s="1">
        <f t="shared" si="34"/>
        <v>45748</v>
      </c>
      <c r="J347">
        <v>400792.73</v>
      </c>
      <c r="K347">
        <v>15816</v>
      </c>
      <c r="L347">
        <f t="shared" si="30"/>
        <v>25.340966742539198</v>
      </c>
      <c r="M347">
        <v>1318</v>
      </c>
      <c r="N347" s="2">
        <f t="shared" si="35"/>
        <v>304.09160091047039</v>
      </c>
      <c r="O347">
        <v>12</v>
      </c>
    </row>
    <row r="348" spans="1:15" x14ac:dyDescent="0.25">
      <c r="A348" t="s">
        <v>46</v>
      </c>
      <c r="B348" t="s">
        <v>14</v>
      </c>
      <c r="C348" t="s">
        <v>29</v>
      </c>
      <c r="D348" t="str">
        <f t="shared" si="31"/>
        <v>FAB1_1L  Sele En Selecta Entera</v>
      </c>
      <c r="E348">
        <v>2025</v>
      </c>
      <c r="F348">
        <v>17</v>
      </c>
      <c r="G348">
        <f t="shared" si="32"/>
        <v>4</v>
      </c>
      <c r="H348" s="1">
        <f t="shared" si="33"/>
        <v>45768</v>
      </c>
      <c r="I348" s="1">
        <f t="shared" si="34"/>
        <v>45748</v>
      </c>
      <c r="J348">
        <v>498521.7</v>
      </c>
      <c r="K348">
        <v>19548</v>
      </c>
      <c r="L348">
        <f t="shared" si="30"/>
        <v>25.502440147329651</v>
      </c>
      <c r="M348">
        <v>1629</v>
      </c>
      <c r="N348" s="2">
        <f t="shared" si="35"/>
        <v>306.02928176795581</v>
      </c>
      <c r="O348">
        <v>12</v>
      </c>
    </row>
    <row r="349" spans="1:15" x14ac:dyDescent="0.25">
      <c r="A349" t="s">
        <v>46</v>
      </c>
      <c r="B349" t="s">
        <v>14</v>
      </c>
      <c r="C349" t="s">
        <v>29</v>
      </c>
      <c r="D349" t="str">
        <f t="shared" si="31"/>
        <v>FAB1_1L  Sele En Selecta Entera</v>
      </c>
      <c r="E349">
        <v>2025</v>
      </c>
      <c r="F349">
        <v>18</v>
      </c>
      <c r="G349">
        <f t="shared" si="32"/>
        <v>5</v>
      </c>
      <c r="H349" s="1">
        <f t="shared" si="33"/>
        <v>45775</v>
      </c>
      <c r="I349" s="1">
        <f t="shared" si="34"/>
        <v>45778</v>
      </c>
      <c r="J349">
        <v>504086.23999999993</v>
      </c>
      <c r="K349">
        <v>21060</v>
      </c>
      <c r="L349">
        <f t="shared" si="30"/>
        <v>23.935718898385563</v>
      </c>
      <c r="M349">
        <v>1755</v>
      </c>
      <c r="N349" s="2">
        <f t="shared" si="35"/>
        <v>287.22862678062677</v>
      </c>
      <c r="O349">
        <v>12</v>
      </c>
    </row>
    <row r="350" spans="1:15" x14ac:dyDescent="0.25">
      <c r="A350" t="s">
        <v>46</v>
      </c>
      <c r="B350" t="s">
        <v>14</v>
      </c>
      <c r="C350" t="s">
        <v>29</v>
      </c>
      <c r="D350" t="str">
        <f t="shared" si="31"/>
        <v>FAB1_1L  Sele En Selecta Entera</v>
      </c>
      <c r="E350">
        <v>2025</v>
      </c>
      <c r="F350">
        <v>19</v>
      </c>
      <c r="G350">
        <f t="shared" si="32"/>
        <v>5</v>
      </c>
      <c r="H350" s="1">
        <f t="shared" si="33"/>
        <v>45782</v>
      </c>
      <c r="I350" s="1">
        <f t="shared" si="34"/>
        <v>45778</v>
      </c>
      <c r="J350">
        <v>538406.62</v>
      </c>
      <c r="K350">
        <v>22656</v>
      </c>
      <c r="L350">
        <f t="shared" si="30"/>
        <v>23.764416490112993</v>
      </c>
      <c r="M350">
        <v>1888</v>
      </c>
      <c r="N350" s="2">
        <f t="shared" si="35"/>
        <v>285.17299788135591</v>
      </c>
      <c r="O350">
        <v>12</v>
      </c>
    </row>
    <row r="351" spans="1:15" x14ac:dyDescent="0.25">
      <c r="A351" t="s">
        <v>46</v>
      </c>
      <c r="B351" t="s">
        <v>14</v>
      </c>
      <c r="C351" t="s">
        <v>29</v>
      </c>
      <c r="D351" t="str">
        <f t="shared" si="31"/>
        <v>FAB1_1L  Sele En Selecta Entera</v>
      </c>
      <c r="E351">
        <v>2025</v>
      </c>
      <c r="F351">
        <v>20</v>
      </c>
      <c r="G351">
        <f t="shared" si="32"/>
        <v>5</v>
      </c>
      <c r="H351" s="1">
        <f t="shared" si="33"/>
        <v>45789</v>
      </c>
      <c r="I351" s="1">
        <f t="shared" si="34"/>
        <v>45778</v>
      </c>
      <c r="J351">
        <v>422195.42</v>
      </c>
      <c r="K351">
        <v>17544</v>
      </c>
      <c r="L351">
        <f t="shared" si="30"/>
        <v>24.064946420428637</v>
      </c>
      <c r="M351">
        <v>1462</v>
      </c>
      <c r="N351" s="2">
        <f t="shared" si="35"/>
        <v>288.77935704514363</v>
      </c>
      <c r="O351">
        <v>12</v>
      </c>
    </row>
    <row r="352" spans="1:15" x14ac:dyDescent="0.25">
      <c r="A352" t="s">
        <v>46</v>
      </c>
      <c r="B352" t="s">
        <v>14</v>
      </c>
      <c r="C352" t="s">
        <v>29</v>
      </c>
      <c r="D352" t="str">
        <f t="shared" si="31"/>
        <v>FAB1_1L  Sele En Selecta Entera</v>
      </c>
      <c r="E352">
        <v>2025</v>
      </c>
      <c r="F352">
        <v>21</v>
      </c>
      <c r="G352">
        <f t="shared" si="32"/>
        <v>5</v>
      </c>
      <c r="H352" s="1">
        <f t="shared" si="33"/>
        <v>45796</v>
      </c>
      <c r="I352" s="1">
        <f t="shared" si="34"/>
        <v>45778</v>
      </c>
      <c r="J352">
        <v>423967.7</v>
      </c>
      <c r="K352">
        <v>17832</v>
      </c>
      <c r="L352">
        <f t="shared" si="30"/>
        <v>23.775667339614177</v>
      </c>
      <c r="M352">
        <v>1486</v>
      </c>
      <c r="N352" s="2">
        <f t="shared" si="35"/>
        <v>285.30800807537014</v>
      </c>
      <c r="O352">
        <v>12</v>
      </c>
    </row>
    <row r="353" spans="1:15" x14ac:dyDescent="0.25">
      <c r="A353" t="s">
        <v>46</v>
      </c>
      <c r="B353" t="s">
        <v>14</v>
      </c>
      <c r="C353" t="s">
        <v>29</v>
      </c>
      <c r="D353" t="str">
        <f t="shared" si="31"/>
        <v>FAB1_1L  Sele En Selecta Entera</v>
      </c>
      <c r="E353">
        <v>2025</v>
      </c>
      <c r="F353">
        <v>22</v>
      </c>
      <c r="G353">
        <f t="shared" si="32"/>
        <v>5</v>
      </c>
      <c r="H353" s="1">
        <f t="shared" si="33"/>
        <v>45803</v>
      </c>
      <c r="I353" s="1">
        <f t="shared" si="34"/>
        <v>45778</v>
      </c>
      <c r="J353">
        <v>447451.05</v>
      </c>
      <c r="K353">
        <v>18132</v>
      </c>
      <c r="L353">
        <f t="shared" si="30"/>
        <v>24.677423891462606</v>
      </c>
      <c r="M353">
        <v>1511</v>
      </c>
      <c r="N353" s="2">
        <f t="shared" si="35"/>
        <v>296.12908669755126</v>
      </c>
      <c r="O353">
        <v>12</v>
      </c>
    </row>
    <row r="354" spans="1:15" x14ac:dyDescent="0.25">
      <c r="A354" t="s">
        <v>46</v>
      </c>
      <c r="B354" t="s">
        <v>14</v>
      </c>
      <c r="C354" t="s">
        <v>29</v>
      </c>
      <c r="D354" t="str">
        <f t="shared" si="31"/>
        <v>FAB1_1L  Sele En Selecta Entera</v>
      </c>
      <c r="E354">
        <v>2025</v>
      </c>
      <c r="F354">
        <v>23</v>
      </c>
      <c r="G354">
        <f t="shared" si="32"/>
        <v>6</v>
      </c>
      <c r="H354" s="1">
        <f t="shared" si="33"/>
        <v>45810</v>
      </c>
      <c r="I354" s="1">
        <f t="shared" si="34"/>
        <v>45809</v>
      </c>
      <c r="J354">
        <v>472311.61</v>
      </c>
      <c r="K354">
        <v>18468</v>
      </c>
      <c r="L354">
        <f t="shared" si="30"/>
        <v>25.574594433614902</v>
      </c>
      <c r="M354">
        <v>1539</v>
      </c>
      <c r="N354" s="2">
        <f t="shared" si="35"/>
        <v>306.8951332033788</v>
      </c>
      <c r="O354">
        <v>12</v>
      </c>
    </row>
    <row r="355" spans="1:15" x14ac:dyDescent="0.25">
      <c r="A355" t="s">
        <v>46</v>
      </c>
      <c r="B355" t="s">
        <v>14</v>
      </c>
      <c r="C355" t="s">
        <v>29</v>
      </c>
      <c r="D355" t="str">
        <f t="shared" si="31"/>
        <v>FAB1_1L  Sele En Selecta Entera</v>
      </c>
      <c r="E355">
        <v>2025</v>
      </c>
      <c r="F355">
        <v>24</v>
      </c>
      <c r="G355">
        <f t="shared" si="32"/>
        <v>6</v>
      </c>
      <c r="H355" s="1">
        <f t="shared" si="33"/>
        <v>45817</v>
      </c>
      <c r="I355" s="1">
        <f t="shared" si="34"/>
        <v>45809</v>
      </c>
      <c r="J355">
        <v>395490.79</v>
      </c>
      <c r="K355">
        <v>15492</v>
      </c>
      <c r="L355">
        <f t="shared" si="30"/>
        <v>25.52871094758585</v>
      </c>
      <c r="M355">
        <v>1291</v>
      </c>
      <c r="N355" s="2">
        <f t="shared" si="35"/>
        <v>306.3445313710302</v>
      </c>
      <c r="O355">
        <v>12</v>
      </c>
    </row>
    <row r="356" spans="1:15" x14ac:dyDescent="0.25">
      <c r="A356" t="s">
        <v>46</v>
      </c>
      <c r="B356" t="s">
        <v>14</v>
      </c>
      <c r="C356" t="s">
        <v>29</v>
      </c>
      <c r="D356" t="str">
        <f t="shared" si="31"/>
        <v>FAB1_1L  Sele En Selecta Entera</v>
      </c>
      <c r="E356">
        <v>2025</v>
      </c>
      <c r="F356">
        <v>25</v>
      </c>
      <c r="G356">
        <f t="shared" si="32"/>
        <v>6</v>
      </c>
      <c r="H356" s="1">
        <f t="shared" si="33"/>
        <v>45824</v>
      </c>
      <c r="I356" s="1">
        <f t="shared" si="34"/>
        <v>45809</v>
      </c>
      <c r="J356">
        <v>376489.99999999994</v>
      </c>
      <c r="K356">
        <v>14460</v>
      </c>
      <c r="L356">
        <f t="shared" si="30"/>
        <v>26.036652835408017</v>
      </c>
      <c r="M356">
        <v>1205</v>
      </c>
      <c r="N356" s="2">
        <f t="shared" si="35"/>
        <v>312.43983402489624</v>
      </c>
      <c r="O356">
        <v>12</v>
      </c>
    </row>
    <row r="357" spans="1:15" x14ac:dyDescent="0.25">
      <c r="A357" t="s">
        <v>46</v>
      </c>
      <c r="B357" t="s">
        <v>14</v>
      </c>
      <c r="C357" t="s">
        <v>29</v>
      </c>
      <c r="D357" t="str">
        <f t="shared" si="31"/>
        <v>FAB1_1L  Sele En Selecta Entera</v>
      </c>
      <c r="E357">
        <v>2025</v>
      </c>
      <c r="F357">
        <v>26</v>
      </c>
      <c r="G357">
        <f t="shared" si="32"/>
        <v>6</v>
      </c>
      <c r="H357" s="1">
        <f t="shared" si="33"/>
        <v>45831</v>
      </c>
      <c r="I357" s="1">
        <f t="shared" si="34"/>
        <v>45809</v>
      </c>
      <c r="J357">
        <v>353519.29999999993</v>
      </c>
      <c r="K357">
        <v>13836</v>
      </c>
      <c r="L357">
        <f t="shared" si="30"/>
        <v>25.5506866146285</v>
      </c>
      <c r="M357">
        <v>1153</v>
      </c>
      <c r="N357" s="2">
        <f t="shared" si="35"/>
        <v>306.60823937554198</v>
      </c>
      <c r="O357">
        <v>12</v>
      </c>
    </row>
    <row r="358" spans="1:15" x14ac:dyDescent="0.25">
      <c r="A358" t="s">
        <v>46</v>
      </c>
      <c r="B358" t="s">
        <v>14</v>
      </c>
      <c r="C358" t="s">
        <v>29</v>
      </c>
      <c r="D358" t="str">
        <f t="shared" si="31"/>
        <v>FAB1_1L  Sele En Selecta Entera</v>
      </c>
      <c r="E358">
        <v>2025</v>
      </c>
      <c r="F358">
        <v>27</v>
      </c>
      <c r="G358">
        <f t="shared" si="32"/>
        <v>7</v>
      </c>
      <c r="H358" s="1">
        <f t="shared" si="33"/>
        <v>45838</v>
      </c>
      <c r="I358" s="1">
        <f t="shared" si="34"/>
        <v>45839</v>
      </c>
      <c r="J358">
        <v>360748.27000000008</v>
      </c>
      <c r="K358">
        <v>14748</v>
      </c>
      <c r="L358">
        <f t="shared" si="30"/>
        <v>24.46082655275292</v>
      </c>
      <c r="M358">
        <v>1229</v>
      </c>
      <c r="N358" s="2">
        <f t="shared" si="35"/>
        <v>293.52991863303504</v>
      </c>
      <c r="O358">
        <v>12</v>
      </c>
    </row>
    <row r="359" spans="1:15" x14ac:dyDescent="0.25">
      <c r="A359" t="s">
        <v>46</v>
      </c>
      <c r="B359" t="s">
        <v>14</v>
      </c>
      <c r="C359" t="s">
        <v>29</v>
      </c>
      <c r="D359" t="str">
        <f t="shared" si="31"/>
        <v>FAB1_1L  Sele En Selecta Entera</v>
      </c>
      <c r="E359">
        <v>2025</v>
      </c>
      <c r="F359">
        <v>28</v>
      </c>
      <c r="G359">
        <f t="shared" si="32"/>
        <v>7</v>
      </c>
      <c r="H359" s="1">
        <f t="shared" si="33"/>
        <v>45845</v>
      </c>
      <c r="I359" s="1">
        <f t="shared" si="34"/>
        <v>45839</v>
      </c>
      <c r="J359">
        <v>379983.98</v>
      </c>
      <c r="K359">
        <v>16476</v>
      </c>
      <c r="L359">
        <f t="shared" si="30"/>
        <v>23.062878125758679</v>
      </c>
      <c r="M359">
        <v>1373</v>
      </c>
      <c r="N359" s="2">
        <f t="shared" si="35"/>
        <v>276.75453750910413</v>
      </c>
      <c r="O359">
        <v>12</v>
      </c>
    </row>
    <row r="360" spans="1:15" x14ac:dyDescent="0.25">
      <c r="A360" t="s">
        <v>46</v>
      </c>
      <c r="B360" t="s">
        <v>14</v>
      </c>
      <c r="C360" t="s">
        <v>29</v>
      </c>
      <c r="D360" t="str">
        <f t="shared" si="31"/>
        <v>FAB1_1L  Sele En Selecta Entera</v>
      </c>
      <c r="E360">
        <v>2025</v>
      </c>
      <c r="F360">
        <v>29</v>
      </c>
      <c r="G360">
        <f t="shared" si="32"/>
        <v>7</v>
      </c>
      <c r="H360" s="1">
        <f t="shared" si="33"/>
        <v>45852</v>
      </c>
      <c r="I360" s="1">
        <f t="shared" si="34"/>
        <v>45839</v>
      </c>
      <c r="J360">
        <v>437191.77000000008</v>
      </c>
      <c r="K360">
        <v>18456</v>
      </c>
      <c r="L360">
        <f t="shared" si="30"/>
        <v>23.688327373211969</v>
      </c>
      <c r="M360">
        <v>1538</v>
      </c>
      <c r="N360" s="2">
        <f t="shared" si="35"/>
        <v>284.2599284785436</v>
      </c>
      <c r="O360">
        <v>12</v>
      </c>
    </row>
    <row r="361" spans="1:15" x14ac:dyDescent="0.25">
      <c r="A361" t="s">
        <v>46</v>
      </c>
      <c r="B361" t="s">
        <v>14</v>
      </c>
      <c r="C361" t="s">
        <v>29</v>
      </c>
      <c r="D361" t="str">
        <f t="shared" si="31"/>
        <v>FAB1_1L  Sele En Selecta Entera</v>
      </c>
      <c r="E361">
        <v>2025</v>
      </c>
      <c r="F361">
        <v>30</v>
      </c>
      <c r="G361">
        <f t="shared" si="32"/>
        <v>7</v>
      </c>
      <c r="H361" s="1">
        <f t="shared" si="33"/>
        <v>45859</v>
      </c>
      <c r="I361" s="1">
        <f t="shared" si="34"/>
        <v>45839</v>
      </c>
      <c r="J361">
        <v>437207.19000000012</v>
      </c>
      <c r="K361">
        <v>18528</v>
      </c>
      <c r="L361">
        <f t="shared" si="30"/>
        <v>23.597106541450785</v>
      </c>
      <c r="M361">
        <v>1544</v>
      </c>
      <c r="N361" s="2">
        <f t="shared" si="35"/>
        <v>283.16527849740942</v>
      </c>
      <c r="O361">
        <v>12</v>
      </c>
    </row>
    <row r="362" spans="1:15" x14ac:dyDescent="0.25">
      <c r="A362" t="s">
        <v>46</v>
      </c>
      <c r="B362" t="s">
        <v>14</v>
      </c>
      <c r="C362" t="s">
        <v>29</v>
      </c>
      <c r="D362" t="str">
        <f t="shared" si="31"/>
        <v>FAB1_1L  Sele En Selecta Entera</v>
      </c>
      <c r="E362">
        <v>2025</v>
      </c>
      <c r="F362">
        <v>31</v>
      </c>
      <c r="G362">
        <f t="shared" si="32"/>
        <v>7</v>
      </c>
      <c r="H362" s="1">
        <f t="shared" si="33"/>
        <v>45866</v>
      </c>
      <c r="I362" s="1">
        <f t="shared" si="34"/>
        <v>45839</v>
      </c>
      <c r="J362">
        <v>394849.78000000009</v>
      </c>
      <c r="K362">
        <v>16560</v>
      </c>
      <c r="L362">
        <f t="shared" si="30"/>
        <v>23.843585748792275</v>
      </c>
      <c r="M362">
        <v>1380</v>
      </c>
      <c r="N362" s="2">
        <f t="shared" si="35"/>
        <v>286.12302898550729</v>
      </c>
      <c r="O362">
        <v>12</v>
      </c>
    </row>
    <row r="363" spans="1:15" x14ac:dyDescent="0.25">
      <c r="A363" t="s">
        <v>46</v>
      </c>
      <c r="B363" t="s">
        <v>14</v>
      </c>
      <c r="C363" t="s">
        <v>2</v>
      </c>
      <c r="D363" t="str">
        <f t="shared" si="31"/>
        <v>FAB1_Leche Clasica Deslactosada 1 L</v>
      </c>
      <c r="E363">
        <v>2022</v>
      </c>
      <c r="F363">
        <v>1</v>
      </c>
      <c r="G363">
        <f t="shared" si="32"/>
        <v>1</v>
      </c>
      <c r="H363" s="1">
        <f t="shared" si="33"/>
        <v>44564</v>
      </c>
      <c r="I363" s="1">
        <f t="shared" si="34"/>
        <v>44562</v>
      </c>
      <c r="J363">
        <v>1195883.6199999999</v>
      </c>
      <c r="K363">
        <v>66744</v>
      </c>
      <c r="L363">
        <f t="shared" si="30"/>
        <v>17.917470034759678</v>
      </c>
      <c r="M363">
        <v>5562</v>
      </c>
      <c r="N363" s="2">
        <f t="shared" si="35"/>
        <v>215.00964041711612</v>
      </c>
      <c r="O363">
        <v>12</v>
      </c>
    </row>
    <row r="364" spans="1:15" x14ac:dyDescent="0.25">
      <c r="A364" t="s">
        <v>46</v>
      </c>
      <c r="B364" t="s">
        <v>14</v>
      </c>
      <c r="C364" t="s">
        <v>2</v>
      </c>
      <c r="D364" t="str">
        <f t="shared" si="31"/>
        <v>FAB1_Leche Clasica Deslactosada 1 L</v>
      </c>
      <c r="E364">
        <v>2022</v>
      </c>
      <c r="F364">
        <v>2</v>
      </c>
      <c r="G364">
        <f t="shared" si="32"/>
        <v>1</v>
      </c>
      <c r="H364" s="1">
        <f t="shared" si="33"/>
        <v>44571</v>
      </c>
      <c r="I364" s="1">
        <f t="shared" si="34"/>
        <v>44562</v>
      </c>
      <c r="J364">
        <v>949556.66</v>
      </c>
      <c r="K364">
        <v>53004</v>
      </c>
      <c r="L364">
        <f t="shared" si="30"/>
        <v>17.914811334993587</v>
      </c>
      <c r="M364">
        <v>4417</v>
      </c>
      <c r="N364" s="2">
        <f t="shared" si="35"/>
        <v>214.97773601992304</v>
      </c>
      <c r="O364">
        <v>12</v>
      </c>
    </row>
    <row r="365" spans="1:15" x14ac:dyDescent="0.25">
      <c r="A365" t="s">
        <v>46</v>
      </c>
      <c r="B365" t="s">
        <v>14</v>
      </c>
      <c r="C365" t="s">
        <v>2</v>
      </c>
      <c r="D365" t="str">
        <f t="shared" si="31"/>
        <v>FAB1_Leche Clasica Deslactosada 1 L</v>
      </c>
      <c r="E365">
        <v>2022</v>
      </c>
      <c r="F365">
        <v>3</v>
      </c>
      <c r="G365">
        <f t="shared" si="32"/>
        <v>1</v>
      </c>
      <c r="H365" s="1">
        <f t="shared" si="33"/>
        <v>44578</v>
      </c>
      <c r="I365" s="1">
        <f t="shared" si="34"/>
        <v>44562</v>
      </c>
      <c r="J365">
        <v>1273453.25</v>
      </c>
      <c r="K365">
        <v>71388</v>
      </c>
      <c r="L365">
        <f t="shared" si="30"/>
        <v>17.838477755365048</v>
      </c>
      <c r="M365">
        <v>5949</v>
      </c>
      <c r="N365" s="2">
        <f t="shared" si="35"/>
        <v>214.06173306438058</v>
      </c>
      <c r="O365">
        <v>12</v>
      </c>
    </row>
    <row r="366" spans="1:15" x14ac:dyDescent="0.25">
      <c r="A366" t="s">
        <v>46</v>
      </c>
      <c r="B366" t="s">
        <v>14</v>
      </c>
      <c r="C366" t="s">
        <v>2</v>
      </c>
      <c r="D366" t="str">
        <f t="shared" si="31"/>
        <v>FAB1_Leche Clasica Deslactosada 1 L</v>
      </c>
      <c r="E366">
        <v>2022</v>
      </c>
      <c r="F366">
        <v>4</v>
      </c>
      <c r="G366">
        <f t="shared" si="32"/>
        <v>1</v>
      </c>
      <c r="H366" s="1">
        <f t="shared" si="33"/>
        <v>44585</v>
      </c>
      <c r="I366" s="1">
        <f t="shared" si="34"/>
        <v>44562</v>
      </c>
      <c r="J366">
        <v>1032934.0999999999</v>
      </c>
      <c r="K366">
        <v>57648</v>
      </c>
      <c r="L366">
        <f t="shared" si="30"/>
        <v>17.917952053844015</v>
      </c>
      <c r="M366">
        <v>4804</v>
      </c>
      <c r="N366" s="2">
        <f t="shared" si="35"/>
        <v>215.0154246461282</v>
      </c>
      <c r="O366">
        <v>12</v>
      </c>
    </row>
    <row r="367" spans="1:15" x14ac:dyDescent="0.25">
      <c r="A367" t="s">
        <v>46</v>
      </c>
      <c r="B367" t="s">
        <v>14</v>
      </c>
      <c r="C367" t="s">
        <v>2</v>
      </c>
      <c r="D367" t="str">
        <f t="shared" si="31"/>
        <v>FAB1_Leche Clasica Deslactosada 1 L</v>
      </c>
      <c r="E367">
        <v>2022</v>
      </c>
      <c r="F367">
        <v>5</v>
      </c>
      <c r="G367">
        <f t="shared" si="32"/>
        <v>2</v>
      </c>
      <c r="H367" s="1">
        <f t="shared" si="33"/>
        <v>44592</v>
      </c>
      <c r="I367" s="1">
        <f t="shared" si="34"/>
        <v>44593</v>
      </c>
      <c r="J367">
        <v>1650146.96</v>
      </c>
      <c r="K367">
        <v>92364</v>
      </c>
      <c r="L367">
        <f t="shared" si="30"/>
        <v>17.865693993330733</v>
      </c>
      <c r="M367">
        <v>7697</v>
      </c>
      <c r="N367" s="2">
        <f t="shared" si="35"/>
        <v>214.38832791996882</v>
      </c>
      <c r="O367">
        <v>12</v>
      </c>
    </row>
    <row r="368" spans="1:15" x14ac:dyDescent="0.25">
      <c r="A368" t="s">
        <v>46</v>
      </c>
      <c r="B368" t="s">
        <v>14</v>
      </c>
      <c r="C368" t="s">
        <v>2</v>
      </c>
      <c r="D368" t="str">
        <f t="shared" si="31"/>
        <v>FAB1_Leche Clasica Deslactosada 1 L</v>
      </c>
      <c r="E368">
        <v>2022</v>
      </c>
      <c r="F368">
        <v>6</v>
      </c>
      <c r="G368">
        <f t="shared" si="32"/>
        <v>2</v>
      </c>
      <c r="H368" s="1">
        <f t="shared" si="33"/>
        <v>44599</v>
      </c>
      <c r="I368" s="1">
        <f t="shared" si="34"/>
        <v>44593</v>
      </c>
      <c r="J368">
        <v>2921810.2299999995</v>
      </c>
      <c r="K368">
        <v>177600</v>
      </c>
      <c r="L368">
        <f t="shared" si="30"/>
        <v>16.451634177927925</v>
      </c>
      <c r="M368">
        <v>14800</v>
      </c>
      <c r="N368" s="2">
        <f t="shared" si="35"/>
        <v>197.41961013513512</v>
      </c>
      <c r="O368">
        <v>12</v>
      </c>
    </row>
    <row r="369" spans="1:15" x14ac:dyDescent="0.25">
      <c r="A369" t="s">
        <v>46</v>
      </c>
      <c r="B369" t="s">
        <v>14</v>
      </c>
      <c r="C369" t="s">
        <v>2</v>
      </c>
      <c r="D369" t="str">
        <f t="shared" si="31"/>
        <v>FAB1_Leche Clasica Deslactosada 1 L</v>
      </c>
      <c r="E369">
        <v>2022</v>
      </c>
      <c r="F369">
        <v>7</v>
      </c>
      <c r="G369">
        <f t="shared" si="32"/>
        <v>2</v>
      </c>
      <c r="H369" s="1">
        <f t="shared" si="33"/>
        <v>44606</v>
      </c>
      <c r="I369" s="1">
        <f t="shared" si="34"/>
        <v>44593</v>
      </c>
      <c r="J369">
        <v>3937481.9699999969</v>
      </c>
      <c r="K369">
        <v>235248</v>
      </c>
      <c r="L369">
        <f t="shared" si="30"/>
        <v>16.737578937971829</v>
      </c>
      <c r="M369">
        <v>19604</v>
      </c>
      <c r="N369" s="2">
        <f t="shared" si="35"/>
        <v>200.85094725566196</v>
      </c>
      <c r="O369">
        <v>12</v>
      </c>
    </row>
    <row r="370" spans="1:15" x14ac:dyDescent="0.25">
      <c r="A370" t="s">
        <v>46</v>
      </c>
      <c r="B370" t="s">
        <v>14</v>
      </c>
      <c r="C370" t="s">
        <v>2</v>
      </c>
      <c r="D370" t="str">
        <f t="shared" si="31"/>
        <v>FAB1_Leche Clasica Deslactosada 1 L</v>
      </c>
      <c r="E370">
        <v>2022</v>
      </c>
      <c r="F370">
        <v>8</v>
      </c>
      <c r="G370">
        <f t="shared" si="32"/>
        <v>2</v>
      </c>
      <c r="H370" s="1">
        <f t="shared" si="33"/>
        <v>44613</v>
      </c>
      <c r="I370" s="1">
        <f t="shared" si="34"/>
        <v>44593</v>
      </c>
      <c r="J370">
        <v>1700733.4399999995</v>
      </c>
      <c r="K370">
        <v>96984</v>
      </c>
      <c r="L370">
        <f t="shared" si="30"/>
        <v>17.536227006516533</v>
      </c>
      <c r="M370">
        <v>8082</v>
      </c>
      <c r="N370" s="2">
        <f t="shared" si="35"/>
        <v>210.4347240781984</v>
      </c>
      <c r="O370">
        <v>12</v>
      </c>
    </row>
    <row r="371" spans="1:15" x14ac:dyDescent="0.25">
      <c r="A371" t="s">
        <v>46</v>
      </c>
      <c r="B371" t="s">
        <v>14</v>
      </c>
      <c r="C371" t="s">
        <v>2</v>
      </c>
      <c r="D371" t="str">
        <f t="shared" si="31"/>
        <v>FAB1_Leche Clasica Deslactosada 1 L</v>
      </c>
      <c r="E371">
        <v>2022</v>
      </c>
      <c r="F371">
        <v>9</v>
      </c>
      <c r="G371">
        <f t="shared" si="32"/>
        <v>3</v>
      </c>
      <c r="H371" s="1">
        <f t="shared" si="33"/>
        <v>44620</v>
      </c>
      <c r="I371" s="1">
        <f t="shared" si="34"/>
        <v>44621</v>
      </c>
      <c r="J371">
        <v>2058693.1199999978</v>
      </c>
      <c r="K371">
        <v>115632</v>
      </c>
      <c r="L371">
        <f t="shared" si="30"/>
        <v>17.803835616438338</v>
      </c>
      <c r="M371">
        <v>9636</v>
      </c>
      <c r="N371" s="2">
        <f t="shared" si="35"/>
        <v>213.64602739726004</v>
      </c>
      <c r="O371">
        <v>12</v>
      </c>
    </row>
    <row r="372" spans="1:15" x14ac:dyDescent="0.25">
      <c r="A372" t="s">
        <v>46</v>
      </c>
      <c r="B372" t="s">
        <v>14</v>
      </c>
      <c r="C372" t="s">
        <v>2</v>
      </c>
      <c r="D372" t="str">
        <f t="shared" si="31"/>
        <v>FAB1_Leche Clasica Deslactosada 1 L</v>
      </c>
      <c r="E372">
        <v>2022</v>
      </c>
      <c r="F372">
        <v>10</v>
      </c>
      <c r="G372">
        <f t="shared" si="32"/>
        <v>3</v>
      </c>
      <c r="H372" s="1">
        <f t="shared" si="33"/>
        <v>44627</v>
      </c>
      <c r="I372" s="1">
        <f t="shared" si="34"/>
        <v>44621</v>
      </c>
      <c r="J372">
        <v>1424148.4999999986</v>
      </c>
      <c r="K372">
        <v>79464</v>
      </c>
      <c r="L372">
        <f t="shared" si="30"/>
        <v>17.92193320245644</v>
      </c>
      <c r="M372">
        <v>6622</v>
      </c>
      <c r="N372" s="2">
        <f t="shared" si="35"/>
        <v>215.0631984294773</v>
      </c>
      <c r="O372">
        <v>12</v>
      </c>
    </row>
    <row r="373" spans="1:15" x14ac:dyDescent="0.25">
      <c r="A373" t="s">
        <v>46</v>
      </c>
      <c r="B373" t="s">
        <v>14</v>
      </c>
      <c r="C373" t="s">
        <v>2</v>
      </c>
      <c r="D373" t="str">
        <f t="shared" si="31"/>
        <v>FAB1_Leche Clasica Deslactosada 1 L</v>
      </c>
      <c r="E373">
        <v>2022</v>
      </c>
      <c r="F373">
        <v>11</v>
      </c>
      <c r="G373">
        <f t="shared" si="32"/>
        <v>3</v>
      </c>
      <c r="H373" s="1">
        <f t="shared" si="33"/>
        <v>44634</v>
      </c>
      <c r="I373" s="1">
        <f t="shared" si="34"/>
        <v>44621</v>
      </c>
      <c r="J373">
        <v>1631913.1699999983</v>
      </c>
      <c r="K373">
        <v>91200</v>
      </c>
      <c r="L373">
        <f t="shared" si="30"/>
        <v>17.893784758771911</v>
      </c>
      <c r="M373">
        <v>7600</v>
      </c>
      <c r="N373" s="2">
        <f t="shared" si="35"/>
        <v>214.72541710526292</v>
      </c>
      <c r="O373">
        <v>12</v>
      </c>
    </row>
    <row r="374" spans="1:15" x14ac:dyDescent="0.25">
      <c r="A374" t="s">
        <v>46</v>
      </c>
      <c r="B374" t="s">
        <v>14</v>
      </c>
      <c r="C374" t="s">
        <v>2</v>
      </c>
      <c r="D374" t="str">
        <f t="shared" si="31"/>
        <v>FAB1_Leche Clasica Deslactosada 1 L</v>
      </c>
      <c r="E374">
        <v>2022</v>
      </c>
      <c r="F374">
        <v>12</v>
      </c>
      <c r="G374">
        <f t="shared" si="32"/>
        <v>3</v>
      </c>
      <c r="H374" s="1">
        <f t="shared" si="33"/>
        <v>44641</v>
      </c>
      <c r="I374" s="1">
        <f t="shared" si="34"/>
        <v>44621</v>
      </c>
      <c r="J374">
        <v>1476071.4999999979</v>
      </c>
      <c r="K374">
        <v>82380</v>
      </c>
      <c r="L374">
        <f t="shared" si="30"/>
        <v>17.917838067492085</v>
      </c>
      <c r="M374">
        <v>6865</v>
      </c>
      <c r="N374" s="2">
        <f t="shared" si="35"/>
        <v>215.01405680990501</v>
      </c>
      <c r="O374">
        <v>12</v>
      </c>
    </row>
    <row r="375" spans="1:15" x14ac:dyDescent="0.25">
      <c r="A375" t="s">
        <v>46</v>
      </c>
      <c r="B375" t="s">
        <v>14</v>
      </c>
      <c r="C375" t="s">
        <v>2</v>
      </c>
      <c r="D375" t="str">
        <f t="shared" si="31"/>
        <v>FAB1_Leche Clasica Deslactosada 1 L</v>
      </c>
      <c r="E375">
        <v>2022</v>
      </c>
      <c r="F375">
        <v>13</v>
      </c>
      <c r="G375">
        <f t="shared" si="32"/>
        <v>3</v>
      </c>
      <c r="H375" s="1">
        <f t="shared" si="33"/>
        <v>44648</v>
      </c>
      <c r="I375" s="1">
        <f t="shared" si="34"/>
        <v>44621</v>
      </c>
      <c r="J375">
        <v>1840298.9399999978</v>
      </c>
      <c r="K375">
        <v>102720</v>
      </c>
      <c r="L375">
        <f t="shared" si="30"/>
        <v>17.915682827102781</v>
      </c>
      <c r="M375">
        <v>8560</v>
      </c>
      <c r="N375" s="2">
        <f t="shared" si="35"/>
        <v>214.98819392523339</v>
      </c>
      <c r="O375">
        <v>12</v>
      </c>
    </row>
    <row r="376" spans="1:15" x14ac:dyDescent="0.25">
      <c r="A376" t="s">
        <v>46</v>
      </c>
      <c r="B376" t="s">
        <v>14</v>
      </c>
      <c r="C376" t="s">
        <v>2</v>
      </c>
      <c r="D376" t="str">
        <f t="shared" si="31"/>
        <v>FAB1_Leche Clasica Deslactosada 1 L</v>
      </c>
      <c r="E376">
        <v>2022</v>
      </c>
      <c r="F376">
        <v>14</v>
      </c>
      <c r="G376">
        <f t="shared" si="32"/>
        <v>4</v>
      </c>
      <c r="H376" s="1">
        <f t="shared" si="33"/>
        <v>44655</v>
      </c>
      <c r="I376" s="1">
        <f t="shared" si="34"/>
        <v>44652</v>
      </c>
      <c r="J376">
        <v>1955902.209999999</v>
      </c>
      <c r="K376">
        <v>109224</v>
      </c>
      <c r="L376">
        <f t="shared" si="30"/>
        <v>17.907256738445753</v>
      </c>
      <c r="M376">
        <v>9102</v>
      </c>
      <c r="N376" s="2">
        <f t="shared" si="35"/>
        <v>214.88708086134903</v>
      </c>
      <c r="O376">
        <v>12</v>
      </c>
    </row>
    <row r="377" spans="1:15" x14ac:dyDescent="0.25">
      <c r="A377" t="s">
        <v>46</v>
      </c>
      <c r="B377" t="s">
        <v>14</v>
      </c>
      <c r="C377" t="s">
        <v>2</v>
      </c>
      <c r="D377" t="str">
        <f t="shared" si="31"/>
        <v>FAB1_Leche Clasica Deslactosada 1 L</v>
      </c>
      <c r="E377">
        <v>2022</v>
      </c>
      <c r="F377">
        <v>15</v>
      </c>
      <c r="G377">
        <f t="shared" si="32"/>
        <v>4</v>
      </c>
      <c r="H377" s="1">
        <f t="shared" si="33"/>
        <v>44662</v>
      </c>
      <c r="I377" s="1">
        <f t="shared" si="34"/>
        <v>44652</v>
      </c>
      <c r="J377">
        <v>1964052.4599999974</v>
      </c>
      <c r="K377">
        <v>110352</v>
      </c>
      <c r="L377">
        <f t="shared" si="30"/>
        <v>17.798068544294598</v>
      </c>
      <c r="M377">
        <v>9196</v>
      </c>
      <c r="N377" s="2">
        <f t="shared" si="35"/>
        <v>213.57682253153516</v>
      </c>
      <c r="O377">
        <v>12</v>
      </c>
    </row>
    <row r="378" spans="1:15" x14ac:dyDescent="0.25">
      <c r="A378" t="s">
        <v>46</v>
      </c>
      <c r="B378" t="s">
        <v>14</v>
      </c>
      <c r="C378" t="s">
        <v>2</v>
      </c>
      <c r="D378" t="str">
        <f t="shared" si="31"/>
        <v>FAB1_Leche Clasica Deslactosada 1 L</v>
      </c>
      <c r="E378">
        <v>2022</v>
      </c>
      <c r="F378">
        <v>16</v>
      </c>
      <c r="G378">
        <f t="shared" si="32"/>
        <v>4</v>
      </c>
      <c r="H378" s="1">
        <f t="shared" si="33"/>
        <v>44669</v>
      </c>
      <c r="I378" s="1">
        <f t="shared" si="34"/>
        <v>44652</v>
      </c>
      <c r="J378">
        <v>2060158.3499999968</v>
      </c>
      <c r="K378">
        <v>115548</v>
      </c>
      <c r="L378">
        <f t="shared" si="30"/>
        <v>17.829459185792889</v>
      </c>
      <c r="M378">
        <v>9629</v>
      </c>
      <c r="N378" s="2">
        <f t="shared" si="35"/>
        <v>213.95351022951468</v>
      </c>
      <c r="O378">
        <v>12</v>
      </c>
    </row>
    <row r="379" spans="1:15" x14ac:dyDescent="0.25">
      <c r="A379" t="s">
        <v>46</v>
      </c>
      <c r="B379" t="s">
        <v>14</v>
      </c>
      <c r="C379" t="s">
        <v>2</v>
      </c>
      <c r="D379" t="str">
        <f t="shared" si="31"/>
        <v>FAB1_Leche Clasica Deslactosada 1 L</v>
      </c>
      <c r="E379">
        <v>2022</v>
      </c>
      <c r="F379">
        <v>17</v>
      </c>
      <c r="G379">
        <f t="shared" si="32"/>
        <v>4</v>
      </c>
      <c r="H379" s="1">
        <f t="shared" si="33"/>
        <v>44676</v>
      </c>
      <c r="I379" s="1">
        <f t="shared" si="34"/>
        <v>44652</v>
      </c>
      <c r="J379">
        <v>1860508.1999999974</v>
      </c>
      <c r="K379">
        <v>104244</v>
      </c>
      <c r="L379">
        <f t="shared" si="30"/>
        <v>17.84762864049727</v>
      </c>
      <c r="M379">
        <v>8687</v>
      </c>
      <c r="N379" s="2">
        <f t="shared" si="35"/>
        <v>214.17154368596724</v>
      </c>
      <c r="O379">
        <v>12</v>
      </c>
    </row>
    <row r="380" spans="1:15" x14ac:dyDescent="0.25">
      <c r="A380" t="s">
        <v>46</v>
      </c>
      <c r="B380" t="s">
        <v>14</v>
      </c>
      <c r="C380" t="s">
        <v>2</v>
      </c>
      <c r="D380" t="str">
        <f t="shared" si="31"/>
        <v>FAB1_Leche Clasica Deslactosada 1 L</v>
      </c>
      <c r="E380">
        <v>2022</v>
      </c>
      <c r="F380">
        <v>18</v>
      </c>
      <c r="G380">
        <f t="shared" si="32"/>
        <v>5</v>
      </c>
      <c r="H380" s="1">
        <f t="shared" si="33"/>
        <v>44683</v>
      </c>
      <c r="I380" s="1">
        <f t="shared" si="34"/>
        <v>44682</v>
      </c>
      <c r="J380">
        <v>2112990.4999999967</v>
      </c>
      <c r="K380">
        <v>113460</v>
      </c>
      <c r="L380">
        <f t="shared" si="30"/>
        <v>18.623219636876403</v>
      </c>
      <c r="M380">
        <v>9455</v>
      </c>
      <c r="N380" s="2">
        <f t="shared" si="35"/>
        <v>223.47863564251685</v>
      </c>
      <c r="O380">
        <v>12</v>
      </c>
    </row>
    <row r="381" spans="1:15" x14ac:dyDescent="0.25">
      <c r="A381" t="s">
        <v>46</v>
      </c>
      <c r="B381" t="s">
        <v>14</v>
      </c>
      <c r="C381" t="s">
        <v>2</v>
      </c>
      <c r="D381" t="str">
        <f t="shared" si="31"/>
        <v>FAB1_Leche Clasica Deslactosada 1 L</v>
      </c>
      <c r="E381">
        <v>2022</v>
      </c>
      <c r="F381">
        <v>19</v>
      </c>
      <c r="G381">
        <f t="shared" si="32"/>
        <v>5</v>
      </c>
      <c r="H381" s="1">
        <f t="shared" si="33"/>
        <v>44690</v>
      </c>
      <c r="I381" s="1">
        <f t="shared" si="34"/>
        <v>44682</v>
      </c>
      <c r="J381">
        <v>1469665.3599999992</v>
      </c>
      <c r="K381">
        <v>77148</v>
      </c>
      <c r="L381">
        <f t="shared" si="30"/>
        <v>19.049947633120745</v>
      </c>
      <c r="M381">
        <v>6429</v>
      </c>
      <c r="N381" s="2">
        <f t="shared" si="35"/>
        <v>228.59937159744894</v>
      </c>
      <c r="O381">
        <v>12</v>
      </c>
    </row>
    <row r="382" spans="1:15" x14ac:dyDescent="0.25">
      <c r="A382" t="s">
        <v>46</v>
      </c>
      <c r="B382" t="s">
        <v>14</v>
      </c>
      <c r="C382" t="s">
        <v>2</v>
      </c>
      <c r="D382" t="str">
        <f t="shared" si="31"/>
        <v>FAB1_Leche Clasica Deslactosada 1 L</v>
      </c>
      <c r="E382">
        <v>2022</v>
      </c>
      <c r="F382">
        <v>20</v>
      </c>
      <c r="G382">
        <f t="shared" si="32"/>
        <v>5</v>
      </c>
      <c r="H382" s="1">
        <f t="shared" si="33"/>
        <v>44697</v>
      </c>
      <c r="I382" s="1">
        <f t="shared" si="34"/>
        <v>44682</v>
      </c>
      <c r="J382">
        <v>1491015.1099999999</v>
      </c>
      <c r="K382">
        <v>78948</v>
      </c>
      <c r="L382">
        <f t="shared" si="30"/>
        <v>18.886040305010891</v>
      </c>
      <c r="M382">
        <v>6579</v>
      </c>
      <c r="N382" s="2">
        <f t="shared" si="35"/>
        <v>226.6324836601307</v>
      </c>
      <c r="O382">
        <v>12</v>
      </c>
    </row>
    <row r="383" spans="1:15" x14ac:dyDescent="0.25">
      <c r="A383" t="s">
        <v>46</v>
      </c>
      <c r="B383" t="s">
        <v>14</v>
      </c>
      <c r="C383" t="s">
        <v>2</v>
      </c>
      <c r="D383" t="str">
        <f t="shared" si="31"/>
        <v>FAB1_Leche Clasica Deslactosada 1 L</v>
      </c>
      <c r="E383">
        <v>2022</v>
      </c>
      <c r="F383">
        <v>21</v>
      </c>
      <c r="G383">
        <f t="shared" si="32"/>
        <v>5</v>
      </c>
      <c r="H383" s="1">
        <f t="shared" si="33"/>
        <v>44704</v>
      </c>
      <c r="I383" s="1">
        <f t="shared" si="34"/>
        <v>44682</v>
      </c>
      <c r="J383">
        <v>1277004.2200000004</v>
      </c>
      <c r="K383">
        <v>68568</v>
      </c>
      <c r="L383">
        <f t="shared" si="30"/>
        <v>18.62390940380353</v>
      </c>
      <c r="M383">
        <v>5714</v>
      </c>
      <c r="N383" s="2">
        <f t="shared" si="35"/>
        <v>223.48691284564237</v>
      </c>
      <c r="O383">
        <v>12</v>
      </c>
    </row>
    <row r="384" spans="1:15" x14ac:dyDescent="0.25">
      <c r="A384" t="s">
        <v>46</v>
      </c>
      <c r="B384" t="s">
        <v>14</v>
      </c>
      <c r="C384" t="s">
        <v>2</v>
      </c>
      <c r="D384" t="str">
        <f t="shared" si="31"/>
        <v>FAB1_Leche Clasica Deslactosada 1 L</v>
      </c>
      <c r="E384">
        <v>2022</v>
      </c>
      <c r="F384">
        <v>22</v>
      </c>
      <c r="G384">
        <f t="shared" si="32"/>
        <v>6</v>
      </c>
      <c r="H384" s="1">
        <f t="shared" si="33"/>
        <v>44711</v>
      </c>
      <c r="I384" s="1">
        <f t="shared" si="34"/>
        <v>44713</v>
      </c>
      <c r="J384">
        <v>1774361.8499999996</v>
      </c>
      <c r="K384">
        <v>95304</v>
      </c>
      <c r="L384">
        <f t="shared" si="30"/>
        <v>18.61791582724754</v>
      </c>
      <c r="M384">
        <v>7942</v>
      </c>
      <c r="N384" s="2">
        <f t="shared" si="35"/>
        <v>223.41498992697049</v>
      </c>
      <c r="O384">
        <v>12</v>
      </c>
    </row>
    <row r="385" spans="1:15" x14ac:dyDescent="0.25">
      <c r="A385" t="s">
        <v>46</v>
      </c>
      <c r="B385" t="s">
        <v>14</v>
      </c>
      <c r="C385" t="s">
        <v>2</v>
      </c>
      <c r="D385" t="str">
        <f t="shared" si="31"/>
        <v>FAB1_Leche Clasica Deslactosada 1 L</v>
      </c>
      <c r="E385">
        <v>2022</v>
      </c>
      <c r="F385">
        <v>23</v>
      </c>
      <c r="G385">
        <f t="shared" si="32"/>
        <v>6</v>
      </c>
      <c r="H385" s="1">
        <f t="shared" si="33"/>
        <v>44718</v>
      </c>
      <c r="I385" s="1">
        <f t="shared" si="34"/>
        <v>44713</v>
      </c>
      <c r="J385">
        <v>1243406.9700000002</v>
      </c>
      <c r="K385">
        <v>64440</v>
      </c>
      <c r="L385">
        <f t="shared" si="30"/>
        <v>19.295576815642463</v>
      </c>
      <c r="M385">
        <v>5370</v>
      </c>
      <c r="N385" s="2">
        <f t="shared" si="35"/>
        <v>231.54692178770952</v>
      </c>
      <c r="O385">
        <v>12</v>
      </c>
    </row>
    <row r="386" spans="1:15" x14ac:dyDescent="0.25">
      <c r="A386" t="s">
        <v>46</v>
      </c>
      <c r="B386" t="s">
        <v>14</v>
      </c>
      <c r="C386" t="s">
        <v>2</v>
      </c>
      <c r="D386" t="str">
        <f t="shared" si="31"/>
        <v>FAB1_Leche Clasica Deslactosada 1 L</v>
      </c>
      <c r="E386">
        <v>2022</v>
      </c>
      <c r="F386">
        <v>24</v>
      </c>
      <c r="G386">
        <f t="shared" si="32"/>
        <v>6</v>
      </c>
      <c r="H386" s="1">
        <f t="shared" si="33"/>
        <v>44725</v>
      </c>
      <c r="I386" s="1">
        <f t="shared" si="34"/>
        <v>44713</v>
      </c>
      <c r="J386">
        <v>1233415.83</v>
      </c>
      <c r="K386">
        <v>63816</v>
      </c>
      <c r="L386">
        <f t="shared" ref="L386:L449" si="36">J386/K386</f>
        <v>19.327689450921401</v>
      </c>
      <c r="M386">
        <v>5318</v>
      </c>
      <c r="N386" s="2">
        <f t="shared" si="35"/>
        <v>231.9322734110568</v>
      </c>
      <c r="O386">
        <v>12</v>
      </c>
    </row>
    <row r="387" spans="1:15" x14ac:dyDescent="0.25">
      <c r="A387" t="s">
        <v>46</v>
      </c>
      <c r="B387" t="s">
        <v>14</v>
      </c>
      <c r="C387" t="s">
        <v>2</v>
      </c>
      <c r="D387" t="str">
        <f t="shared" ref="D387:D450" si="37">B387&amp;"_"&amp;C387</f>
        <v>FAB1_Leche Clasica Deslactosada 1 L</v>
      </c>
      <c r="E387">
        <v>2022</v>
      </c>
      <c r="F387">
        <v>25</v>
      </c>
      <c r="G387">
        <f t="shared" ref="G387:G450" si="38">MONTH(DATE(E387,1,4)+(F387-1)*7-WEEKDAY(DATE(E387,1,4),2)+4)</f>
        <v>6</v>
      </c>
      <c r="H387" s="1">
        <f t="shared" ref="H387:H450" si="39">DATE(E387,1,-2)-WEEKDAY(DATE(E387,1,3))+F387*7</f>
        <v>44732</v>
      </c>
      <c r="I387" s="1">
        <f t="shared" ref="I387:I450" si="40">DATE(E387,G387,1)</f>
        <v>44713</v>
      </c>
      <c r="J387">
        <v>1285727.1600000004</v>
      </c>
      <c r="K387">
        <v>69324</v>
      </c>
      <c r="L387">
        <f t="shared" si="36"/>
        <v>18.546638393629916</v>
      </c>
      <c r="M387">
        <v>5777</v>
      </c>
      <c r="N387" s="2">
        <f t="shared" ref="N387:N450" si="41">J387/M387</f>
        <v>222.55966072355901</v>
      </c>
      <c r="O387">
        <v>12</v>
      </c>
    </row>
    <row r="388" spans="1:15" x14ac:dyDescent="0.25">
      <c r="A388" t="s">
        <v>46</v>
      </c>
      <c r="B388" t="s">
        <v>14</v>
      </c>
      <c r="C388" t="s">
        <v>2</v>
      </c>
      <c r="D388" t="str">
        <f t="shared" si="37"/>
        <v>FAB1_Leche Clasica Deslactosada 1 L</v>
      </c>
      <c r="E388">
        <v>2022</v>
      </c>
      <c r="F388">
        <v>26</v>
      </c>
      <c r="G388">
        <f t="shared" si="38"/>
        <v>6</v>
      </c>
      <c r="H388" s="1">
        <f t="shared" si="39"/>
        <v>44739</v>
      </c>
      <c r="I388" s="1">
        <f t="shared" si="40"/>
        <v>44713</v>
      </c>
      <c r="J388">
        <v>1351100.7200000004</v>
      </c>
      <c r="K388">
        <v>73236</v>
      </c>
      <c r="L388">
        <f t="shared" si="36"/>
        <v>18.44858703369928</v>
      </c>
      <c r="M388">
        <v>6103</v>
      </c>
      <c r="N388" s="2">
        <f t="shared" si="41"/>
        <v>221.38304440439134</v>
      </c>
      <c r="O388">
        <v>12</v>
      </c>
    </row>
    <row r="389" spans="1:15" x14ac:dyDescent="0.25">
      <c r="A389" t="s">
        <v>46</v>
      </c>
      <c r="B389" t="s">
        <v>14</v>
      </c>
      <c r="C389" t="s">
        <v>2</v>
      </c>
      <c r="D389" t="str">
        <f t="shared" si="37"/>
        <v>FAB1_Leche Clasica Deslactosada 1 L</v>
      </c>
      <c r="E389">
        <v>2022</v>
      </c>
      <c r="F389">
        <v>27</v>
      </c>
      <c r="G389">
        <f t="shared" si="38"/>
        <v>7</v>
      </c>
      <c r="H389" s="1">
        <f t="shared" si="39"/>
        <v>44746</v>
      </c>
      <c r="I389" s="1">
        <f t="shared" si="40"/>
        <v>44743</v>
      </c>
      <c r="J389">
        <v>1486471.9799999997</v>
      </c>
      <c r="K389">
        <v>79020</v>
      </c>
      <c r="L389">
        <f t="shared" si="36"/>
        <v>18.811338648443428</v>
      </c>
      <c r="M389">
        <v>6585</v>
      </c>
      <c r="N389" s="2">
        <f t="shared" si="41"/>
        <v>225.73606378132115</v>
      </c>
      <c r="O389">
        <v>12</v>
      </c>
    </row>
    <row r="390" spans="1:15" x14ac:dyDescent="0.25">
      <c r="A390" t="s">
        <v>46</v>
      </c>
      <c r="B390" t="s">
        <v>14</v>
      </c>
      <c r="C390" t="s">
        <v>2</v>
      </c>
      <c r="D390" t="str">
        <f t="shared" si="37"/>
        <v>FAB1_Leche Clasica Deslactosada 1 L</v>
      </c>
      <c r="E390">
        <v>2022</v>
      </c>
      <c r="F390">
        <v>28</v>
      </c>
      <c r="G390">
        <f t="shared" si="38"/>
        <v>7</v>
      </c>
      <c r="H390" s="1">
        <f t="shared" si="39"/>
        <v>44753</v>
      </c>
      <c r="I390" s="1">
        <f t="shared" si="40"/>
        <v>44743</v>
      </c>
      <c r="J390">
        <v>1202053.2700000003</v>
      </c>
      <c r="K390">
        <v>64416</v>
      </c>
      <c r="L390">
        <f t="shared" si="36"/>
        <v>18.660787226775959</v>
      </c>
      <c r="M390">
        <v>5368</v>
      </c>
      <c r="N390" s="2">
        <f t="shared" si="41"/>
        <v>223.92944672131154</v>
      </c>
      <c r="O390">
        <v>12</v>
      </c>
    </row>
    <row r="391" spans="1:15" x14ac:dyDescent="0.25">
      <c r="A391" t="s">
        <v>46</v>
      </c>
      <c r="B391" t="s">
        <v>14</v>
      </c>
      <c r="C391" t="s">
        <v>2</v>
      </c>
      <c r="D391" t="str">
        <f t="shared" si="37"/>
        <v>FAB1_Leche Clasica Deslactosada 1 L</v>
      </c>
      <c r="E391">
        <v>2022</v>
      </c>
      <c r="F391">
        <v>29</v>
      </c>
      <c r="G391">
        <f t="shared" si="38"/>
        <v>7</v>
      </c>
      <c r="H391" s="1">
        <f t="shared" si="39"/>
        <v>44760</v>
      </c>
      <c r="I391" s="1">
        <f t="shared" si="40"/>
        <v>44743</v>
      </c>
      <c r="J391">
        <v>1790023.2299999993</v>
      </c>
      <c r="K391">
        <v>95760</v>
      </c>
      <c r="L391">
        <f t="shared" si="36"/>
        <v>18.692807330827062</v>
      </c>
      <c r="M391">
        <v>7980</v>
      </c>
      <c r="N391" s="2">
        <f t="shared" si="41"/>
        <v>224.31368796992473</v>
      </c>
      <c r="O391">
        <v>12</v>
      </c>
    </row>
    <row r="392" spans="1:15" x14ac:dyDescent="0.25">
      <c r="A392" t="s">
        <v>46</v>
      </c>
      <c r="B392" t="s">
        <v>14</v>
      </c>
      <c r="C392" t="s">
        <v>2</v>
      </c>
      <c r="D392" t="str">
        <f t="shared" si="37"/>
        <v>FAB1_Leche Clasica Deslactosada 1 L</v>
      </c>
      <c r="E392">
        <v>2022</v>
      </c>
      <c r="F392">
        <v>30</v>
      </c>
      <c r="G392">
        <f t="shared" si="38"/>
        <v>7</v>
      </c>
      <c r="H392" s="1">
        <f t="shared" si="39"/>
        <v>44767</v>
      </c>
      <c r="I392" s="1">
        <f t="shared" si="40"/>
        <v>44743</v>
      </c>
      <c r="J392">
        <v>1314231.0899999994</v>
      </c>
      <c r="K392">
        <v>69120</v>
      </c>
      <c r="L392">
        <f t="shared" si="36"/>
        <v>19.013759982638881</v>
      </c>
      <c r="M392">
        <v>5760</v>
      </c>
      <c r="N392" s="2">
        <f t="shared" si="41"/>
        <v>228.16511979166657</v>
      </c>
      <c r="O392">
        <v>12</v>
      </c>
    </row>
    <row r="393" spans="1:15" x14ac:dyDescent="0.25">
      <c r="A393" t="s">
        <v>46</v>
      </c>
      <c r="B393" t="s">
        <v>14</v>
      </c>
      <c r="C393" t="s">
        <v>2</v>
      </c>
      <c r="D393" t="str">
        <f t="shared" si="37"/>
        <v>FAB1_Leche Clasica Deslactosada 1 L</v>
      </c>
      <c r="E393">
        <v>2022</v>
      </c>
      <c r="F393">
        <v>31</v>
      </c>
      <c r="G393">
        <f t="shared" si="38"/>
        <v>8</v>
      </c>
      <c r="H393" s="1">
        <f t="shared" si="39"/>
        <v>44774</v>
      </c>
      <c r="I393" s="1">
        <f t="shared" si="40"/>
        <v>44774</v>
      </c>
      <c r="J393">
        <v>1429572.0399999998</v>
      </c>
      <c r="K393">
        <v>73068</v>
      </c>
      <c r="L393">
        <f t="shared" si="36"/>
        <v>19.564953741720039</v>
      </c>
      <c r="M393">
        <v>6089</v>
      </c>
      <c r="N393" s="2">
        <f t="shared" si="41"/>
        <v>234.77944490064047</v>
      </c>
      <c r="O393">
        <v>12</v>
      </c>
    </row>
    <row r="394" spans="1:15" x14ac:dyDescent="0.25">
      <c r="A394" t="s">
        <v>46</v>
      </c>
      <c r="B394" t="s">
        <v>14</v>
      </c>
      <c r="C394" t="s">
        <v>2</v>
      </c>
      <c r="D394" t="str">
        <f t="shared" si="37"/>
        <v>FAB1_Leche Clasica Deslactosada 1 L</v>
      </c>
      <c r="E394">
        <v>2022</v>
      </c>
      <c r="F394">
        <v>32</v>
      </c>
      <c r="G394">
        <f t="shared" si="38"/>
        <v>8</v>
      </c>
      <c r="H394" s="1">
        <f t="shared" si="39"/>
        <v>44781</v>
      </c>
      <c r="I394" s="1">
        <f t="shared" si="40"/>
        <v>44774</v>
      </c>
      <c r="J394">
        <v>1303384.2499999998</v>
      </c>
      <c r="K394">
        <v>68724</v>
      </c>
      <c r="L394">
        <f t="shared" si="36"/>
        <v>18.965488766660844</v>
      </c>
      <c r="M394">
        <v>5727</v>
      </c>
      <c r="N394" s="2">
        <f t="shared" si="41"/>
        <v>227.58586519993011</v>
      </c>
      <c r="O394">
        <v>12</v>
      </c>
    </row>
    <row r="395" spans="1:15" x14ac:dyDescent="0.25">
      <c r="A395" t="s">
        <v>46</v>
      </c>
      <c r="B395" t="s">
        <v>14</v>
      </c>
      <c r="C395" t="s">
        <v>2</v>
      </c>
      <c r="D395" t="str">
        <f t="shared" si="37"/>
        <v>FAB1_Leche Clasica Deslactosada 1 L</v>
      </c>
      <c r="E395">
        <v>2022</v>
      </c>
      <c r="F395">
        <v>33</v>
      </c>
      <c r="G395">
        <f t="shared" si="38"/>
        <v>8</v>
      </c>
      <c r="H395" s="1">
        <f t="shared" si="39"/>
        <v>44788</v>
      </c>
      <c r="I395" s="1">
        <f t="shared" si="40"/>
        <v>44774</v>
      </c>
      <c r="J395">
        <v>2245481.8299999982</v>
      </c>
      <c r="K395">
        <v>124200</v>
      </c>
      <c r="L395">
        <f t="shared" si="36"/>
        <v>18.079563848631224</v>
      </c>
      <c r="M395">
        <v>10350</v>
      </c>
      <c r="N395" s="2">
        <f t="shared" si="41"/>
        <v>216.95476618357472</v>
      </c>
      <c r="O395">
        <v>12</v>
      </c>
    </row>
    <row r="396" spans="1:15" x14ac:dyDescent="0.25">
      <c r="A396" t="s">
        <v>46</v>
      </c>
      <c r="B396" t="s">
        <v>14</v>
      </c>
      <c r="C396" t="s">
        <v>2</v>
      </c>
      <c r="D396" t="str">
        <f t="shared" si="37"/>
        <v>FAB1_Leche Clasica Deslactosada 1 L</v>
      </c>
      <c r="E396">
        <v>2022</v>
      </c>
      <c r="F396">
        <v>34</v>
      </c>
      <c r="G396">
        <f t="shared" si="38"/>
        <v>8</v>
      </c>
      <c r="H396" s="1">
        <f t="shared" si="39"/>
        <v>44795</v>
      </c>
      <c r="I396" s="1">
        <f t="shared" si="40"/>
        <v>44774</v>
      </c>
      <c r="J396">
        <v>1424805.5199999996</v>
      </c>
      <c r="K396">
        <v>74664</v>
      </c>
      <c r="L396">
        <f t="shared" si="36"/>
        <v>19.08289831779706</v>
      </c>
      <c r="M396">
        <v>6222</v>
      </c>
      <c r="N396" s="2">
        <f t="shared" si="41"/>
        <v>228.99477981356469</v>
      </c>
      <c r="O396">
        <v>12</v>
      </c>
    </row>
    <row r="397" spans="1:15" x14ac:dyDescent="0.25">
      <c r="A397" t="s">
        <v>46</v>
      </c>
      <c r="B397" t="s">
        <v>14</v>
      </c>
      <c r="C397" t="s">
        <v>2</v>
      </c>
      <c r="D397" t="str">
        <f t="shared" si="37"/>
        <v>FAB1_Leche Clasica Deslactosada 1 L</v>
      </c>
      <c r="E397">
        <v>2022</v>
      </c>
      <c r="F397">
        <v>35</v>
      </c>
      <c r="G397">
        <f t="shared" si="38"/>
        <v>9</v>
      </c>
      <c r="H397" s="1">
        <f t="shared" si="39"/>
        <v>44802</v>
      </c>
      <c r="I397" s="1">
        <f t="shared" si="40"/>
        <v>44805</v>
      </c>
      <c r="J397">
        <v>2843018.3300000057</v>
      </c>
      <c r="K397">
        <v>150852</v>
      </c>
      <c r="L397">
        <f t="shared" si="36"/>
        <v>18.846407936255439</v>
      </c>
      <c r="M397">
        <v>12571</v>
      </c>
      <c r="N397" s="2">
        <f t="shared" si="41"/>
        <v>226.15689523506529</v>
      </c>
      <c r="O397">
        <v>12</v>
      </c>
    </row>
    <row r="398" spans="1:15" x14ac:dyDescent="0.25">
      <c r="A398" t="s">
        <v>46</v>
      </c>
      <c r="B398" t="s">
        <v>14</v>
      </c>
      <c r="C398" t="s">
        <v>2</v>
      </c>
      <c r="D398" t="str">
        <f t="shared" si="37"/>
        <v>FAB1_Leche Clasica Deslactosada 1 L</v>
      </c>
      <c r="E398">
        <v>2022</v>
      </c>
      <c r="F398">
        <v>36</v>
      </c>
      <c r="G398">
        <f t="shared" si="38"/>
        <v>9</v>
      </c>
      <c r="H398" s="1">
        <f t="shared" si="39"/>
        <v>44809</v>
      </c>
      <c r="I398" s="1">
        <f t="shared" si="40"/>
        <v>44805</v>
      </c>
      <c r="J398">
        <v>1758267.0299999991</v>
      </c>
      <c r="K398">
        <v>90996</v>
      </c>
      <c r="L398">
        <f t="shared" si="36"/>
        <v>19.32246505340893</v>
      </c>
      <c r="M398">
        <v>7583</v>
      </c>
      <c r="N398" s="2">
        <f t="shared" si="41"/>
        <v>231.86958064090717</v>
      </c>
      <c r="O398">
        <v>12</v>
      </c>
    </row>
    <row r="399" spans="1:15" x14ac:dyDescent="0.25">
      <c r="A399" t="s">
        <v>46</v>
      </c>
      <c r="B399" t="s">
        <v>14</v>
      </c>
      <c r="C399" t="s">
        <v>2</v>
      </c>
      <c r="D399" t="str">
        <f t="shared" si="37"/>
        <v>FAB1_Leche Clasica Deslactosada 1 L</v>
      </c>
      <c r="E399">
        <v>2022</v>
      </c>
      <c r="F399">
        <v>37</v>
      </c>
      <c r="G399">
        <f t="shared" si="38"/>
        <v>9</v>
      </c>
      <c r="H399" s="1">
        <f t="shared" si="39"/>
        <v>44816</v>
      </c>
      <c r="I399" s="1">
        <f t="shared" si="40"/>
        <v>44805</v>
      </c>
      <c r="J399">
        <v>1127795.4899999993</v>
      </c>
      <c r="K399">
        <v>56640</v>
      </c>
      <c r="L399">
        <f t="shared" si="36"/>
        <v>19.911643538135582</v>
      </c>
      <c r="M399">
        <v>4720</v>
      </c>
      <c r="N399" s="2">
        <f t="shared" si="41"/>
        <v>238.93972245762697</v>
      </c>
      <c r="O399">
        <v>12</v>
      </c>
    </row>
    <row r="400" spans="1:15" x14ac:dyDescent="0.25">
      <c r="A400" t="s">
        <v>46</v>
      </c>
      <c r="B400" t="s">
        <v>14</v>
      </c>
      <c r="C400" t="s">
        <v>2</v>
      </c>
      <c r="D400" t="str">
        <f t="shared" si="37"/>
        <v>FAB1_Leche Clasica Deslactosada 1 L</v>
      </c>
      <c r="E400">
        <v>2022</v>
      </c>
      <c r="F400">
        <v>38</v>
      </c>
      <c r="G400">
        <f t="shared" si="38"/>
        <v>9</v>
      </c>
      <c r="H400" s="1">
        <f t="shared" si="39"/>
        <v>44823</v>
      </c>
      <c r="I400" s="1">
        <f t="shared" si="40"/>
        <v>44805</v>
      </c>
      <c r="J400">
        <v>1315243.719999999</v>
      </c>
      <c r="K400">
        <v>66540</v>
      </c>
      <c r="L400">
        <f t="shared" si="36"/>
        <v>19.766211602043867</v>
      </c>
      <c r="M400">
        <v>5545</v>
      </c>
      <c r="N400" s="2">
        <f t="shared" si="41"/>
        <v>237.19453922452644</v>
      </c>
      <c r="O400">
        <v>12</v>
      </c>
    </row>
    <row r="401" spans="1:15" x14ac:dyDescent="0.25">
      <c r="A401" t="s">
        <v>46</v>
      </c>
      <c r="B401" t="s">
        <v>14</v>
      </c>
      <c r="C401" t="s">
        <v>2</v>
      </c>
      <c r="D401" t="str">
        <f t="shared" si="37"/>
        <v>FAB1_Leche Clasica Deslactosada 1 L</v>
      </c>
      <c r="E401">
        <v>2022</v>
      </c>
      <c r="F401">
        <v>39</v>
      </c>
      <c r="G401">
        <f t="shared" si="38"/>
        <v>9</v>
      </c>
      <c r="H401" s="1">
        <f t="shared" si="39"/>
        <v>44830</v>
      </c>
      <c r="I401" s="1">
        <f t="shared" si="40"/>
        <v>44805</v>
      </c>
      <c r="J401">
        <v>961895.21999999892</v>
      </c>
      <c r="K401">
        <v>46356</v>
      </c>
      <c r="L401">
        <f t="shared" si="36"/>
        <v>20.750177323323818</v>
      </c>
      <c r="M401">
        <v>3863</v>
      </c>
      <c r="N401" s="2">
        <f t="shared" si="41"/>
        <v>249.00212787988582</v>
      </c>
      <c r="O401">
        <v>12</v>
      </c>
    </row>
    <row r="402" spans="1:15" x14ac:dyDescent="0.25">
      <c r="A402" t="s">
        <v>46</v>
      </c>
      <c r="B402" t="s">
        <v>14</v>
      </c>
      <c r="C402" t="s">
        <v>2</v>
      </c>
      <c r="D402" t="str">
        <f t="shared" si="37"/>
        <v>FAB1_Leche Clasica Deslactosada 1 L</v>
      </c>
      <c r="E402">
        <v>2022</v>
      </c>
      <c r="F402">
        <v>40</v>
      </c>
      <c r="G402">
        <f t="shared" si="38"/>
        <v>10</v>
      </c>
      <c r="H402" s="1">
        <f t="shared" si="39"/>
        <v>44837</v>
      </c>
      <c r="I402" s="1">
        <f t="shared" si="40"/>
        <v>44835</v>
      </c>
      <c r="J402">
        <v>1348374.1599999988</v>
      </c>
      <c r="K402">
        <v>67200</v>
      </c>
      <c r="L402">
        <f t="shared" si="36"/>
        <v>20.06509166666665</v>
      </c>
      <c r="M402">
        <v>5600</v>
      </c>
      <c r="N402" s="2">
        <f t="shared" si="41"/>
        <v>240.78109999999978</v>
      </c>
      <c r="O402">
        <v>12</v>
      </c>
    </row>
    <row r="403" spans="1:15" x14ac:dyDescent="0.25">
      <c r="A403" t="s">
        <v>46</v>
      </c>
      <c r="B403" t="s">
        <v>14</v>
      </c>
      <c r="C403" t="s">
        <v>2</v>
      </c>
      <c r="D403" t="str">
        <f t="shared" si="37"/>
        <v>FAB1_Leche Clasica Deslactosada 1 L</v>
      </c>
      <c r="E403">
        <v>2022</v>
      </c>
      <c r="F403">
        <v>41</v>
      </c>
      <c r="G403">
        <f t="shared" si="38"/>
        <v>10</v>
      </c>
      <c r="H403" s="1">
        <f t="shared" si="39"/>
        <v>44844</v>
      </c>
      <c r="I403" s="1">
        <f t="shared" si="40"/>
        <v>44835</v>
      </c>
      <c r="J403">
        <v>1588997.4299999997</v>
      </c>
      <c r="K403">
        <v>83436</v>
      </c>
      <c r="L403">
        <f t="shared" si="36"/>
        <v>19.044506328203649</v>
      </c>
      <c r="M403">
        <v>6953</v>
      </c>
      <c r="N403" s="2">
        <f t="shared" si="41"/>
        <v>228.53407593844381</v>
      </c>
      <c r="O403">
        <v>12</v>
      </c>
    </row>
    <row r="404" spans="1:15" x14ac:dyDescent="0.25">
      <c r="A404" t="s">
        <v>46</v>
      </c>
      <c r="B404" t="s">
        <v>14</v>
      </c>
      <c r="C404" t="s">
        <v>2</v>
      </c>
      <c r="D404" t="str">
        <f t="shared" si="37"/>
        <v>FAB1_Leche Clasica Deslactosada 1 L</v>
      </c>
      <c r="E404">
        <v>2022</v>
      </c>
      <c r="F404">
        <v>42</v>
      </c>
      <c r="G404">
        <f t="shared" si="38"/>
        <v>10</v>
      </c>
      <c r="H404" s="1">
        <f t="shared" si="39"/>
        <v>44851</v>
      </c>
      <c r="I404" s="1">
        <f t="shared" si="40"/>
        <v>44835</v>
      </c>
      <c r="J404">
        <v>1294402.3299999994</v>
      </c>
      <c r="K404">
        <v>65592</v>
      </c>
      <c r="L404">
        <f t="shared" si="36"/>
        <v>19.73414943895596</v>
      </c>
      <c r="M404">
        <v>5466</v>
      </c>
      <c r="N404" s="2">
        <f t="shared" si="41"/>
        <v>236.80979326747152</v>
      </c>
      <c r="O404">
        <v>12</v>
      </c>
    </row>
    <row r="405" spans="1:15" x14ac:dyDescent="0.25">
      <c r="A405" t="s">
        <v>46</v>
      </c>
      <c r="B405" t="s">
        <v>14</v>
      </c>
      <c r="C405" t="s">
        <v>2</v>
      </c>
      <c r="D405" t="str">
        <f t="shared" si="37"/>
        <v>FAB1_Leche Clasica Deslactosada 1 L</v>
      </c>
      <c r="E405">
        <v>2022</v>
      </c>
      <c r="F405">
        <v>43</v>
      </c>
      <c r="G405">
        <f t="shared" si="38"/>
        <v>10</v>
      </c>
      <c r="H405" s="1">
        <f t="shared" si="39"/>
        <v>44858</v>
      </c>
      <c r="I405" s="1">
        <f t="shared" si="40"/>
        <v>44835</v>
      </c>
      <c r="J405">
        <v>822196.75999999943</v>
      </c>
      <c r="K405">
        <v>39660</v>
      </c>
      <c r="L405">
        <f t="shared" si="36"/>
        <v>20.731133635905181</v>
      </c>
      <c r="M405">
        <v>3305</v>
      </c>
      <c r="N405" s="2">
        <f t="shared" si="41"/>
        <v>248.77360363086217</v>
      </c>
      <c r="O405">
        <v>12</v>
      </c>
    </row>
    <row r="406" spans="1:15" x14ac:dyDescent="0.25">
      <c r="A406" t="s">
        <v>46</v>
      </c>
      <c r="B406" t="s">
        <v>14</v>
      </c>
      <c r="C406" t="s">
        <v>2</v>
      </c>
      <c r="D406" t="str">
        <f t="shared" si="37"/>
        <v>FAB1_Leche Clasica Deslactosada 1 L</v>
      </c>
      <c r="E406">
        <v>2022</v>
      </c>
      <c r="F406">
        <v>44</v>
      </c>
      <c r="G406">
        <f t="shared" si="38"/>
        <v>11</v>
      </c>
      <c r="H406" s="1">
        <f t="shared" si="39"/>
        <v>44865</v>
      </c>
      <c r="I406" s="1">
        <f t="shared" si="40"/>
        <v>44866</v>
      </c>
      <c r="J406">
        <v>1352737.4999999984</v>
      </c>
      <c r="K406">
        <v>67452</v>
      </c>
      <c r="L406">
        <f t="shared" si="36"/>
        <v>20.054816758583858</v>
      </c>
      <c r="M406">
        <v>5621</v>
      </c>
      <c r="N406" s="2">
        <f t="shared" si="41"/>
        <v>240.65780110300631</v>
      </c>
      <c r="O406">
        <v>12</v>
      </c>
    </row>
    <row r="407" spans="1:15" x14ac:dyDescent="0.25">
      <c r="A407" t="s">
        <v>46</v>
      </c>
      <c r="B407" t="s">
        <v>14</v>
      </c>
      <c r="C407" t="s">
        <v>2</v>
      </c>
      <c r="D407" t="str">
        <f t="shared" si="37"/>
        <v>FAB1_Leche Clasica Deslactosada 1 L</v>
      </c>
      <c r="E407">
        <v>2022</v>
      </c>
      <c r="F407">
        <v>45</v>
      </c>
      <c r="G407">
        <f t="shared" si="38"/>
        <v>11</v>
      </c>
      <c r="H407" s="1">
        <f t="shared" si="39"/>
        <v>44872</v>
      </c>
      <c r="I407" s="1">
        <f t="shared" si="40"/>
        <v>44866</v>
      </c>
      <c r="J407">
        <v>1426053.0699999984</v>
      </c>
      <c r="K407">
        <v>75072</v>
      </c>
      <c r="L407">
        <f t="shared" si="36"/>
        <v>18.995804960571164</v>
      </c>
      <c r="M407">
        <v>6256</v>
      </c>
      <c r="N407" s="2">
        <f t="shared" si="41"/>
        <v>227.94965952685396</v>
      </c>
      <c r="O407">
        <v>12</v>
      </c>
    </row>
    <row r="408" spans="1:15" x14ac:dyDescent="0.25">
      <c r="A408" t="s">
        <v>46</v>
      </c>
      <c r="B408" t="s">
        <v>14</v>
      </c>
      <c r="C408" t="s">
        <v>2</v>
      </c>
      <c r="D408" t="str">
        <f t="shared" si="37"/>
        <v>FAB1_Leche Clasica Deslactosada 1 L</v>
      </c>
      <c r="E408">
        <v>2022</v>
      </c>
      <c r="F408">
        <v>46</v>
      </c>
      <c r="G408">
        <f t="shared" si="38"/>
        <v>11</v>
      </c>
      <c r="H408" s="1">
        <f t="shared" si="39"/>
        <v>44879</v>
      </c>
      <c r="I408" s="1">
        <f t="shared" si="40"/>
        <v>44866</v>
      </c>
      <c r="J408">
        <v>2552299.3500000029</v>
      </c>
      <c r="K408">
        <v>135060</v>
      </c>
      <c r="L408">
        <f t="shared" si="36"/>
        <v>18.897522212350086</v>
      </c>
      <c r="M408">
        <v>11255</v>
      </c>
      <c r="N408" s="2">
        <f t="shared" si="41"/>
        <v>226.77026654820105</v>
      </c>
      <c r="O408">
        <v>12</v>
      </c>
    </row>
    <row r="409" spans="1:15" x14ac:dyDescent="0.25">
      <c r="A409" t="s">
        <v>46</v>
      </c>
      <c r="B409" t="s">
        <v>14</v>
      </c>
      <c r="C409" t="s">
        <v>2</v>
      </c>
      <c r="D409" t="str">
        <f t="shared" si="37"/>
        <v>FAB1_Leche Clasica Deslactosada 1 L</v>
      </c>
      <c r="E409">
        <v>2022</v>
      </c>
      <c r="F409">
        <v>47</v>
      </c>
      <c r="G409">
        <f t="shared" si="38"/>
        <v>11</v>
      </c>
      <c r="H409" s="1">
        <f t="shared" si="39"/>
        <v>44886</v>
      </c>
      <c r="I409" s="1">
        <f t="shared" si="40"/>
        <v>44866</v>
      </c>
      <c r="J409">
        <v>1293390.1999999993</v>
      </c>
      <c r="K409">
        <v>62868</v>
      </c>
      <c r="L409">
        <f t="shared" si="36"/>
        <v>20.57310873576381</v>
      </c>
      <c r="M409">
        <v>5239</v>
      </c>
      <c r="N409" s="2">
        <f t="shared" si="41"/>
        <v>246.87730482916572</v>
      </c>
      <c r="O409">
        <v>12</v>
      </c>
    </row>
    <row r="410" spans="1:15" x14ac:dyDescent="0.25">
      <c r="A410" t="s">
        <v>46</v>
      </c>
      <c r="B410" t="s">
        <v>14</v>
      </c>
      <c r="C410" t="s">
        <v>2</v>
      </c>
      <c r="D410" t="str">
        <f t="shared" si="37"/>
        <v>FAB1_Leche Clasica Deslactosada 1 L</v>
      </c>
      <c r="E410">
        <v>2022</v>
      </c>
      <c r="F410">
        <v>48</v>
      </c>
      <c r="G410">
        <f t="shared" si="38"/>
        <v>12</v>
      </c>
      <c r="H410" s="1">
        <f t="shared" si="39"/>
        <v>44893</v>
      </c>
      <c r="I410" s="1">
        <f t="shared" si="40"/>
        <v>44896</v>
      </c>
      <c r="J410">
        <v>1243495.9299999997</v>
      </c>
      <c r="K410">
        <v>63432</v>
      </c>
      <c r="L410">
        <f t="shared" si="36"/>
        <v>19.603605908689616</v>
      </c>
      <c r="M410">
        <v>5286</v>
      </c>
      <c r="N410" s="2">
        <f t="shared" si="41"/>
        <v>235.24327090427539</v>
      </c>
      <c r="O410">
        <v>12</v>
      </c>
    </row>
    <row r="411" spans="1:15" x14ac:dyDescent="0.25">
      <c r="A411" t="s">
        <v>46</v>
      </c>
      <c r="B411" t="s">
        <v>14</v>
      </c>
      <c r="C411" t="s">
        <v>2</v>
      </c>
      <c r="D411" t="str">
        <f t="shared" si="37"/>
        <v>FAB1_Leche Clasica Deslactosada 1 L</v>
      </c>
      <c r="E411">
        <v>2022</v>
      </c>
      <c r="F411">
        <v>49</v>
      </c>
      <c r="G411">
        <f t="shared" si="38"/>
        <v>12</v>
      </c>
      <c r="H411" s="1">
        <f t="shared" si="39"/>
        <v>44900</v>
      </c>
      <c r="I411" s="1">
        <f t="shared" si="40"/>
        <v>44896</v>
      </c>
      <c r="J411">
        <v>1581696.3499999994</v>
      </c>
      <c r="K411">
        <v>81204</v>
      </c>
      <c r="L411">
        <f t="shared" si="36"/>
        <v>19.478059578345889</v>
      </c>
      <c r="M411">
        <v>6767</v>
      </c>
      <c r="N411" s="2">
        <f t="shared" si="41"/>
        <v>233.73671494015065</v>
      </c>
      <c r="O411">
        <v>12</v>
      </c>
    </row>
    <row r="412" spans="1:15" x14ac:dyDescent="0.25">
      <c r="A412" t="s">
        <v>46</v>
      </c>
      <c r="B412" t="s">
        <v>14</v>
      </c>
      <c r="C412" t="s">
        <v>2</v>
      </c>
      <c r="D412" t="str">
        <f t="shared" si="37"/>
        <v>FAB1_Leche Clasica Deslactosada 1 L</v>
      </c>
      <c r="E412">
        <v>2022</v>
      </c>
      <c r="F412">
        <v>50</v>
      </c>
      <c r="G412">
        <f t="shared" si="38"/>
        <v>12</v>
      </c>
      <c r="H412" s="1">
        <f t="shared" si="39"/>
        <v>44907</v>
      </c>
      <c r="I412" s="1">
        <f t="shared" si="40"/>
        <v>44896</v>
      </c>
      <c r="J412">
        <v>4078816.3800000069</v>
      </c>
      <c r="K412">
        <v>225216</v>
      </c>
      <c r="L412">
        <f t="shared" si="36"/>
        <v>18.110686540920746</v>
      </c>
      <c r="M412">
        <v>18768</v>
      </c>
      <c r="N412" s="2">
        <f t="shared" si="41"/>
        <v>217.32823849104895</v>
      </c>
      <c r="O412">
        <v>12</v>
      </c>
    </row>
    <row r="413" spans="1:15" x14ac:dyDescent="0.25">
      <c r="A413" t="s">
        <v>46</v>
      </c>
      <c r="B413" t="s">
        <v>14</v>
      </c>
      <c r="C413" t="s">
        <v>2</v>
      </c>
      <c r="D413" t="str">
        <f t="shared" si="37"/>
        <v>FAB1_Leche Clasica Deslactosada 1 L</v>
      </c>
      <c r="E413">
        <v>2022</v>
      </c>
      <c r="F413">
        <v>51</v>
      </c>
      <c r="G413">
        <f t="shared" si="38"/>
        <v>12</v>
      </c>
      <c r="H413" s="1">
        <f t="shared" si="39"/>
        <v>44914</v>
      </c>
      <c r="I413" s="1">
        <f t="shared" si="40"/>
        <v>44896</v>
      </c>
      <c r="J413">
        <v>1665784.8399999987</v>
      </c>
      <c r="K413">
        <v>87600</v>
      </c>
      <c r="L413">
        <f t="shared" si="36"/>
        <v>19.015808675799072</v>
      </c>
      <c r="M413">
        <v>7300</v>
      </c>
      <c r="N413" s="2">
        <f t="shared" si="41"/>
        <v>228.18970410958886</v>
      </c>
      <c r="O413">
        <v>12</v>
      </c>
    </row>
    <row r="414" spans="1:15" x14ac:dyDescent="0.25">
      <c r="A414" t="s">
        <v>46</v>
      </c>
      <c r="B414" t="s">
        <v>14</v>
      </c>
      <c r="C414" t="s">
        <v>2</v>
      </c>
      <c r="D414" t="str">
        <f t="shared" si="37"/>
        <v>FAB1_Leche Clasica Deslactosada 1 L</v>
      </c>
      <c r="E414">
        <v>2022</v>
      </c>
      <c r="F414">
        <v>52</v>
      </c>
      <c r="G414">
        <f t="shared" si="38"/>
        <v>12</v>
      </c>
      <c r="H414" s="1">
        <f t="shared" si="39"/>
        <v>44921</v>
      </c>
      <c r="I414" s="1">
        <f t="shared" si="40"/>
        <v>44896</v>
      </c>
      <c r="J414">
        <v>1301522.5000000002</v>
      </c>
      <c r="K414">
        <v>67632</v>
      </c>
      <c r="L414">
        <f t="shared" si="36"/>
        <v>19.244181748284838</v>
      </c>
      <c r="M414">
        <v>5636</v>
      </c>
      <c r="N414" s="2">
        <f t="shared" si="41"/>
        <v>230.93018097941805</v>
      </c>
      <c r="O414">
        <v>12</v>
      </c>
    </row>
    <row r="415" spans="1:15" x14ac:dyDescent="0.25">
      <c r="A415" t="s">
        <v>46</v>
      </c>
      <c r="B415" t="s">
        <v>14</v>
      </c>
      <c r="C415" t="s">
        <v>2</v>
      </c>
      <c r="D415" t="str">
        <f t="shared" si="37"/>
        <v>FAB1_Leche Clasica Deslactosada 1 L</v>
      </c>
      <c r="E415">
        <v>2023</v>
      </c>
      <c r="F415">
        <v>1</v>
      </c>
      <c r="G415">
        <f t="shared" si="38"/>
        <v>1</v>
      </c>
      <c r="H415" s="1">
        <f t="shared" si="39"/>
        <v>44928</v>
      </c>
      <c r="I415" s="1">
        <f t="shared" si="40"/>
        <v>44927</v>
      </c>
      <c r="J415">
        <v>1128245.9999999995</v>
      </c>
      <c r="K415">
        <v>56052</v>
      </c>
      <c r="L415">
        <f t="shared" si="36"/>
        <v>20.128559195033176</v>
      </c>
      <c r="M415">
        <v>4671</v>
      </c>
      <c r="N415" s="2">
        <f t="shared" si="41"/>
        <v>241.54271034039809</v>
      </c>
      <c r="O415">
        <v>12</v>
      </c>
    </row>
    <row r="416" spans="1:15" x14ac:dyDescent="0.25">
      <c r="A416" t="s">
        <v>46</v>
      </c>
      <c r="B416" t="s">
        <v>14</v>
      </c>
      <c r="C416" t="s">
        <v>2</v>
      </c>
      <c r="D416" t="str">
        <f t="shared" si="37"/>
        <v>FAB1_Leche Clasica Deslactosada 1 L</v>
      </c>
      <c r="E416">
        <v>2023</v>
      </c>
      <c r="F416">
        <v>2</v>
      </c>
      <c r="G416">
        <f t="shared" si="38"/>
        <v>1</v>
      </c>
      <c r="H416" s="1">
        <f t="shared" si="39"/>
        <v>44935</v>
      </c>
      <c r="I416" s="1">
        <f t="shared" si="40"/>
        <v>44927</v>
      </c>
      <c r="J416">
        <v>1893776.1999999986</v>
      </c>
      <c r="K416">
        <v>102108</v>
      </c>
      <c r="L416">
        <f t="shared" si="36"/>
        <v>18.546795549809993</v>
      </c>
      <c r="M416">
        <v>8509</v>
      </c>
      <c r="N416" s="2">
        <f t="shared" si="41"/>
        <v>222.56154659771988</v>
      </c>
      <c r="O416">
        <v>12</v>
      </c>
    </row>
    <row r="417" spans="1:15" x14ac:dyDescent="0.25">
      <c r="A417" t="s">
        <v>46</v>
      </c>
      <c r="B417" t="s">
        <v>14</v>
      </c>
      <c r="C417" t="s">
        <v>2</v>
      </c>
      <c r="D417" t="str">
        <f t="shared" si="37"/>
        <v>FAB1_Leche Clasica Deslactosada 1 L</v>
      </c>
      <c r="E417">
        <v>2023</v>
      </c>
      <c r="F417">
        <v>3</v>
      </c>
      <c r="G417">
        <f t="shared" si="38"/>
        <v>1</v>
      </c>
      <c r="H417" s="1">
        <f t="shared" si="39"/>
        <v>44942</v>
      </c>
      <c r="I417" s="1">
        <f t="shared" si="40"/>
        <v>44927</v>
      </c>
      <c r="J417">
        <v>1523563.7800000003</v>
      </c>
      <c r="K417">
        <v>81768</v>
      </c>
      <c r="L417">
        <f t="shared" si="36"/>
        <v>18.632763183641526</v>
      </c>
      <c r="M417">
        <v>6814</v>
      </c>
      <c r="N417" s="2">
        <f t="shared" si="41"/>
        <v>223.59315820369829</v>
      </c>
      <c r="O417">
        <v>12</v>
      </c>
    </row>
    <row r="418" spans="1:15" x14ac:dyDescent="0.25">
      <c r="A418" t="s">
        <v>46</v>
      </c>
      <c r="B418" t="s">
        <v>14</v>
      </c>
      <c r="C418" t="s">
        <v>2</v>
      </c>
      <c r="D418" t="str">
        <f t="shared" si="37"/>
        <v>FAB1_Leche Clasica Deslactosada 1 L</v>
      </c>
      <c r="E418">
        <v>2023</v>
      </c>
      <c r="F418">
        <v>4</v>
      </c>
      <c r="G418">
        <f t="shared" si="38"/>
        <v>1</v>
      </c>
      <c r="H418" s="1">
        <f t="shared" si="39"/>
        <v>44949</v>
      </c>
      <c r="I418" s="1">
        <f t="shared" si="40"/>
        <v>44927</v>
      </c>
      <c r="J418">
        <v>2128036.0900000003</v>
      </c>
      <c r="K418">
        <v>115848</v>
      </c>
      <c r="L418">
        <f t="shared" si="36"/>
        <v>18.369208704509361</v>
      </c>
      <c r="M418">
        <v>9654</v>
      </c>
      <c r="N418" s="2">
        <f t="shared" si="41"/>
        <v>220.43050445411231</v>
      </c>
      <c r="O418">
        <v>12</v>
      </c>
    </row>
    <row r="419" spans="1:15" x14ac:dyDescent="0.25">
      <c r="A419" t="s">
        <v>46</v>
      </c>
      <c r="B419" t="s">
        <v>14</v>
      </c>
      <c r="C419" t="s">
        <v>2</v>
      </c>
      <c r="D419" t="str">
        <f t="shared" si="37"/>
        <v>FAB1_Leche Clasica Deslactosada 1 L</v>
      </c>
      <c r="E419">
        <v>2023</v>
      </c>
      <c r="F419">
        <v>5</v>
      </c>
      <c r="G419">
        <f t="shared" si="38"/>
        <v>2</v>
      </c>
      <c r="H419" s="1">
        <f t="shared" si="39"/>
        <v>44956</v>
      </c>
      <c r="I419" s="1">
        <f t="shared" si="40"/>
        <v>44958</v>
      </c>
      <c r="J419">
        <v>1073175.77</v>
      </c>
      <c r="K419">
        <v>53028</v>
      </c>
      <c r="L419">
        <f t="shared" si="36"/>
        <v>20.237907709134799</v>
      </c>
      <c r="M419">
        <v>4419</v>
      </c>
      <c r="N419" s="2">
        <f t="shared" si="41"/>
        <v>242.85489250961757</v>
      </c>
      <c r="O419">
        <v>12</v>
      </c>
    </row>
    <row r="420" spans="1:15" x14ac:dyDescent="0.25">
      <c r="A420" t="s">
        <v>46</v>
      </c>
      <c r="B420" t="s">
        <v>14</v>
      </c>
      <c r="C420" t="s">
        <v>2</v>
      </c>
      <c r="D420" t="str">
        <f t="shared" si="37"/>
        <v>FAB1_Leche Clasica Deslactosada 1 L</v>
      </c>
      <c r="E420">
        <v>2023</v>
      </c>
      <c r="F420">
        <v>6</v>
      </c>
      <c r="G420">
        <f t="shared" si="38"/>
        <v>2</v>
      </c>
      <c r="H420" s="1">
        <f t="shared" si="39"/>
        <v>44963</v>
      </c>
      <c r="I420" s="1">
        <f t="shared" si="40"/>
        <v>44958</v>
      </c>
      <c r="J420">
        <v>952863.65999999922</v>
      </c>
      <c r="K420">
        <v>48780</v>
      </c>
      <c r="L420">
        <f t="shared" si="36"/>
        <v>19.533900369003675</v>
      </c>
      <c r="M420">
        <v>4065</v>
      </c>
      <c r="N420" s="2">
        <f t="shared" si="41"/>
        <v>234.4068044280441</v>
      </c>
      <c r="O420">
        <v>12</v>
      </c>
    </row>
    <row r="421" spans="1:15" x14ac:dyDescent="0.25">
      <c r="A421" t="s">
        <v>46</v>
      </c>
      <c r="B421" t="s">
        <v>14</v>
      </c>
      <c r="C421" t="s">
        <v>2</v>
      </c>
      <c r="D421" t="str">
        <f t="shared" si="37"/>
        <v>FAB1_Leche Clasica Deslactosada 1 L</v>
      </c>
      <c r="E421">
        <v>2023</v>
      </c>
      <c r="F421">
        <v>7</v>
      </c>
      <c r="G421">
        <f t="shared" si="38"/>
        <v>2</v>
      </c>
      <c r="H421" s="1">
        <f t="shared" si="39"/>
        <v>44970</v>
      </c>
      <c r="I421" s="1">
        <f t="shared" si="40"/>
        <v>44958</v>
      </c>
      <c r="J421">
        <v>2895056.4400000013</v>
      </c>
      <c r="K421">
        <v>164316</v>
      </c>
      <c r="L421">
        <f t="shared" si="36"/>
        <v>17.618834684388624</v>
      </c>
      <c r="M421">
        <v>13693</v>
      </c>
      <c r="N421" s="2">
        <f t="shared" si="41"/>
        <v>211.42601621266351</v>
      </c>
      <c r="O421">
        <v>12</v>
      </c>
    </row>
    <row r="422" spans="1:15" x14ac:dyDescent="0.25">
      <c r="A422" t="s">
        <v>46</v>
      </c>
      <c r="B422" t="s">
        <v>14</v>
      </c>
      <c r="C422" t="s">
        <v>2</v>
      </c>
      <c r="D422" t="str">
        <f t="shared" si="37"/>
        <v>FAB1_Leche Clasica Deslactosada 1 L</v>
      </c>
      <c r="E422">
        <v>2023</v>
      </c>
      <c r="F422">
        <v>8</v>
      </c>
      <c r="G422">
        <f t="shared" si="38"/>
        <v>2</v>
      </c>
      <c r="H422" s="1">
        <f t="shared" si="39"/>
        <v>44977</v>
      </c>
      <c r="I422" s="1">
        <f t="shared" si="40"/>
        <v>44958</v>
      </c>
      <c r="J422">
        <v>712363.54000000027</v>
      </c>
      <c r="K422">
        <v>36072</v>
      </c>
      <c r="L422">
        <f t="shared" si="36"/>
        <v>19.748379352406307</v>
      </c>
      <c r="M422">
        <v>3006</v>
      </c>
      <c r="N422" s="2">
        <f t="shared" si="41"/>
        <v>236.98055222887567</v>
      </c>
      <c r="O422">
        <v>12</v>
      </c>
    </row>
    <row r="423" spans="1:15" x14ac:dyDescent="0.25">
      <c r="A423" t="s">
        <v>46</v>
      </c>
      <c r="B423" t="s">
        <v>14</v>
      </c>
      <c r="C423" t="s">
        <v>2</v>
      </c>
      <c r="D423" t="str">
        <f t="shared" si="37"/>
        <v>FAB1_Leche Clasica Deslactosada 1 L</v>
      </c>
      <c r="E423">
        <v>2023</v>
      </c>
      <c r="F423">
        <v>9</v>
      </c>
      <c r="G423">
        <f t="shared" si="38"/>
        <v>3</v>
      </c>
      <c r="H423" s="1">
        <f t="shared" si="39"/>
        <v>44984</v>
      </c>
      <c r="I423" s="1">
        <f t="shared" si="40"/>
        <v>44986</v>
      </c>
      <c r="J423">
        <v>1350014.8300000012</v>
      </c>
      <c r="K423">
        <v>72936</v>
      </c>
      <c r="L423">
        <f t="shared" si="36"/>
        <v>18.509581413842291</v>
      </c>
      <c r="M423">
        <v>6078</v>
      </c>
      <c r="N423" s="2">
        <f t="shared" si="41"/>
        <v>222.11497696610746</v>
      </c>
      <c r="O423">
        <v>12</v>
      </c>
    </row>
    <row r="424" spans="1:15" x14ac:dyDescent="0.25">
      <c r="A424" t="s">
        <v>46</v>
      </c>
      <c r="B424" t="s">
        <v>14</v>
      </c>
      <c r="C424" t="s">
        <v>2</v>
      </c>
      <c r="D424" t="str">
        <f t="shared" si="37"/>
        <v>FAB1_Leche Clasica Deslactosada 1 L</v>
      </c>
      <c r="E424">
        <v>2023</v>
      </c>
      <c r="F424">
        <v>10</v>
      </c>
      <c r="G424">
        <f t="shared" si="38"/>
        <v>3</v>
      </c>
      <c r="H424" s="1">
        <f t="shared" si="39"/>
        <v>44991</v>
      </c>
      <c r="I424" s="1">
        <f t="shared" si="40"/>
        <v>44986</v>
      </c>
      <c r="J424">
        <v>1105266.2600000002</v>
      </c>
      <c r="K424">
        <v>58968</v>
      </c>
      <c r="L424">
        <f t="shared" si="36"/>
        <v>18.743492402659072</v>
      </c>
      <c r="M424">
        <v>4914</v>
      </c>
      <c r="N424" s="2">
        <f t="shared" si="41"/>
        <v>224.92190883190889</v>
      </c>
      <c r="O424">
        <v>12</v>
      </c>
    </row>
    <row r="425" spans="1:15" x14ac:dyDescent="0.25">
      <c r="A425" t="s">
        <v>46</v>
      </c>
      <c r="B425" t="s">
        <v>14</v>
      </c>
      <c r="C425" t="s">
        <v>2</v>
      </c>
      <c r="D425" t="str">
        <f t="shared" si="37"/>
        <v>FAB1_Leche Clasica Deslactosada 1 L</v>
      </c>
      <c r="E425">
        <v>2023</v>
      </c>
      <c r="F425">
        <v>11</v>
      </c>
      <c r="G425">
        <f t="shared" si="38"/>
        <v>3</v>
      </c>
      <c r="H425" s="1">
        <f t="shared" si="39"/>
        <v>44998</v>
      </c>
      <c r="I425" s="1">
        <f t="shared" si="40"/>
        <v>44986</v>
      </c>
      <c r="J425">
        <v>1575089.85</v>
      </c>
      <c r="K425">
        <v>84144</v>
      </c>
      <c r="L425">
        <f t="shared" si="36"/>
        <v>18.718979962920709</v>
      </c>
      <c r="M425">
        <v>7012</v>
      </c>
      <c r="N425" s="2">
        <f t="shared" si="41"/>
        <v>224.6277595550485</v>
      </c>
      <c r="O425">
        <v>12</v>
      </c>
    </row>
    <row r="426" spans="1:15" x14ac:dyDescent="0.25">
      <c r="A426" t="s">
        <v>46</v>
      </c>
      <c r="B426" t="s">
        <v>14</v>
      </c>
      <c r="C426" t="s">
        <v>2</v>
      </c>
      <c r="D426" t="str">
        <f t="shared" si="37"/>
        <v>FAB1_Leche Clasica Deslactosada 1 L</v>
      </c>
      <c r="E426">
        <v>2023</v>
      </c>
      <c r="F426">
        <v>12</v>
      </c>
      <c r="G426">
        <f t="shared" si="38"/>
        <v>3</v>
      </c>
      <c r="H426" s="1">
        <f t="shared" si="39"/>
        <v>45005</v>
      </c>
      <c r="I426" s="1">
        <f t="shared" si="40"/>
        <v>44986</v>
      </c>
      <c r="J426">
        <v>871625.95000000007</v>
      </c>
      <c r="K426">
        <v>44292</v>
      </c>
      <c r="L426">
        <f t="shared" si="36"/>
        <v>19.67908313013637</v>
      </c>
      <c r="M426">
        <v>3691</v>
      </c>
      <c r="N426" s="2">
        <f t="shared" si="41"/>
        <v>236.14899756163643</v>
      </c>
      <c r="O426">
        <v>12</v>
      </c>
    </row>
    <row r="427" spans="1:15" x14ac:dyDescent="0.25">
      <c r="A427" t="s">
        <v>46</v>
      </c>
      <c r="B427" t="s">
        <v>14</v>
      </c>
      <c r="C427" t="s">
        <v>2</v>
      </c>
      <c r="D427" t="str">
        <f t="shared" si="37"/>
        <v>FAB1_Leche Clasica Deslactosada 1 L</v>
      </c>
      <c r="E427">
        <v>2023</v>
      </c>
      <c r="F427">
        <v>13</v>
      </c>
      <c r="G427">
        <f t="shared" si="38"/>
        <v>3</v>
      </c>
      <c r="H427" s="1">
        <f t="shared" si="39"/>
        <v>45012</v>
      </c>
      <c r="I427" s="1">
        <f t="shared" si="40"/>
        <v>44986</v>
      </c>
      <c r="J427">
        <v>2313988.4400000009</v>
      </c>
      <c r="K427">
        <v>127476</v>
      </c>
      <c r="L427">
        <f t="shared" si="36"/>
        <v>18.152345853337106</v>
      </c>
      <c r="M427">
        <v>10623</v>
      </c>
      <c r="N427" s="2">
        <f t="shared" si="41"/>
        <v>217.82815024004526</v>
      </c>
      <c r="O427">
        <v>12</v>
      </c>
    </row>
    <row r="428" spans="1:15" x14ac:dyDescent="0.25">
      <c r="A428" t="s">
        <v>46</v>
      </c>
      <c r="B428" t="s">
        <v>14</v>
      </c>
      <c r="C428" t="s">
        <v>2</v>
      </c>
      <c r="D428" t="str">
        <f t="shared" si="37"/>
        <v>FAB1_Leche Clasica Deslactosada 1 L</v>
      </c>
      <c r="E428">
        <v>2023</v>
      </c>
      <c r="F428">
        <v>14</v>
      </c>
      <c r="G428">
        <f t="shared" si="38"/>
        <v>4</v>
      </c>
      <c r="H428" s="1">
        <f t="shared" si="39"/>
        <v>45019</v>
      </c>
      <c r="I428" s="1">
        <f t="shared" si="40"/>
        <v>45017</v>
      </c>
      <c r="J428">
        <v>1053732.6699999995</v>
      </c>
      <c r="K428">
        <v>53868</v>
      </c>
      <c r="L428">
        <f t="shared" si="36"/>
        <v>19.561384681072241</v>
      </c>
      <c r="M428">
        <v>4489</v>
      </c>
      <c r="N428" s="2">
        <f t="shared" si="41"/>
        <v>234.73661617286689</v>
      </c>
      <c r="O428">
        <v>12</v>
      </c>
    </row>
    <row r="429" spans="1:15" x14ac:dyDescent="0.25">
      <c r="A429" t="s">
        <v>46</v>
      </c>
      <c r="B429" t="s">
        <v>14</v>
      </c>
      <c r="C429" t="s">
        <v>2</v>
      </c>
      <c r="D429" t="str">
        <f t="shared" si="37"/>
        <v>FAB1_Leche Clasica Deslactosada 1 L</v>
      </c>
      <c r="E429">
        <v>2023</v>
      </c>
      <c r="F429">
        <v>15</v>
      </c>
      <c r="G429">
        <f t="shared" si="38"/>
        <v>4</v>
      </c>
      <c r="H429" s="1">
        <f t="shared" si="39"/>
        <v>45026</v>
      </c>
      <c r="I429" s="1">
        <f t="shared" si="40"/>
        <v>45017</v>
      </c>
      <c r="J429">
        <v>1993986.2799999989</v>
      </c>
      <c r="K429">
        <v>113160</v>
      </c>
      <c r="L429">
        <f t="shared" si="36"/>
        <v>17.620946270767046</v>
      </c>
      <c r="M429">
        <v>9430</v>
      </c>
      <c r="N429" s="2">
        <f t="shared" si="41"/>
        <v>211.45135524920454</v>
      </c>
      <c r="O429">
        <v>12</v>
      </c>
    </row>
    <row r="430" spans="1:15" x14ac:dyDescent="0.25">
      <c r="A430" t="s">
        <v>46</v>
      </c>
      <c r="B430" t="s">
        <v>14</v>
      </c>
      <c r="C430" t="s">
        <v>2</v>
      </c>
      <c r="D430" t="str">
        <f t="shared" si="37"/>
        <v>FAB1_Leche Clasica Deslactosada 1 L</v>
      </c>
      <c r="E430">
        <v>2023</v>
      </c>
      <c r="F430">
        <v>16</v>
      </c>
      <c r="G430">
        <f t="shared" si="38"/>
        <v>4</v>
      </c>
      <c r="H430" s="1">
        <f t="shared" si="39"/>
        <v>45033</v>
      </c>
      <c r="I430" s="1">
        <f t="shared" si="40"/>
        <v>45017</v>
      </c>
      <c r="J430">
        <v>1081147.69</v>
      </c>
      <c r="K430">
        <v>58968</v>
      </c>
      <c r="L430">
        <f t="shared" si="36"/>
        <v>18.334481244064577</v>
      </c>
      <c r="M430">
        <v>4914</v>
      </c>
      <c r="N430" s="2">
        <f t="shared" si="41"/>
        <v>220.01377492877492</v>
      </c>
      <c r="O430">
        <v>12</v>
      </c>
    </row>
    <row r="431" spans="1:15" x14ac:dyDescent="0.25">
      <c r="A431" t="s">
        <v>46</v>
      </c>
      <c r="B431" t="s">
        <v>14</v>
      </c>
      <c r="C431" t="s">
        <v>2</v>
      </c>
      <c r="D431" t="str">
        <f t="shared" si="37"/>
        <v>FAB1_Leche Clasica Deslactosada 1 L</v>
      </c>
      <c r="E431">
        <v>2023</v>
      </c>
      <c r="F431">
        <v>17</v>
      </c>
      <c r="G431">
        <f t="shared" si="38"/>
        <v>4</v>
      </c>
      <c r="H431" s="1">
        <f t="shared" si="39"/>
        <v>45040</v>
      </c>
      <c r="I431" s="1">
        <f t="shared" si="40"/>
        <v>45017</v>
      </c>
      <c r="J431">
        <v>4108096.6300000004</v>
      </c>
      <c r="K431">
        <v>241212</v>
      </c>
      <c r="L431">
        <f t="shared" si="36"/>
        <v>17.031062426413282</v>
      </c>
      <c r="M431">
        <v>20101</v>
      </c>
      <c r="N431" s="2">
        <f t="shared" si="41"/>
        <v>204.37274911695937</v>
      </c>
      <c r="O431">
        <v>12</v>
      </c>
    </row>
    <row r="432" spans="1:15" x14ac:dyDescent="0.25">
      <c r="A432" t="s">
        <v>46</v>
      </c>
      <c r="B432" t="s">
        <v>14</v>
      </c>
      <c r="C432" t="s">
        <v>2</v>
      </c>
      <c r="D432" t="str">
        <f t="shared" si="37"/>
        <v>FAB1_Leche Clasica Deslactosada 1 L</v>
      </c>
      <c r="E432">
        <v>2023</v>
      </c>
      <c r="F432">
        <v>18</v>
      </c>
      <c r="G432">
        <f t="shared" si="38"/>
        <v>5</v>
      </c>
      <c r="H432" s="1">
        <f t="shared" si="39"/>
        <v>45047</v>
      </c>
      <c r="I432" s="1">
        <f t="shared" si="40"/>
        <v>45047</v>
      </c>
      <c r="J432">
        <v>1104798.1300000001</v>
      </c>
      <c r="K432">
        <v>58092</v>
      </c>
      <c r="L432">
        <f t="shared" si="36"/>
        <v>19.018077015768093</v>
      </c>
      <c r="M432">
        <v>4841</v>
      </c>
      <c r="N432" s="2">
        <f t="shared" si="41"/>
        <v>228.21692418921714</v>
      </c>
      <c r="O432">
        <v>12</v>
      </c>
    </row>
    <row r="433" spans="1:15" x14ac:dyDescent="0.25">
      <c r="A433" t="s">
        <v>46</v>
      </c>
      <c r="B433" t="s">
        <v>14</v>
      </c>
      <c r="C433" t="s">
        <v>2</v>
      </c>
      <c r="D433" t="str">
        <f t="shared" si="37"/>
        <v>FAB1_Leche Clasica Deslactosada 1 L</v>
      </c>
      <c r="E433">
        <v>2023</v>
      </c>
      <c r="F433">
        <v>19</v>
      </c>
      <c r="G433">
        <f t="shared" si="38"/>
        <v>5</v>
      </c>
      <c r="H433" s="1">
        <f t="shared" si="39"/>
        <v>45054</v>
      </c>
      <c r="I433" s="1">
        <f t="shared" si="40"/>
        <v>45047</v>
      </c>
      <c r="J433">
        <v>877437.20000000042</v>
      </c>
      <c r="K433">
        <v>48360</v>
      </c>
      <c r="L433">
        <f t="shared" si="36"/>
        <v>18.14386269644335</v>
      </c>
      <c r="M433">
        <v>4030</v>
      </c>
      <c r="N433" s="2">
        <f t="shared" si="41"/>
        <v>217.7263523573202</v>
      </c>
      <c r="O433">
        <v>12</v>
      </c>
    </row>
    <row r="434" spans="1:15" x14ac:dyDescent="0.25">
      <c r="A434" t="s">
        <v>46</v>
      </c>
      <c r="B434" t="s">
        <v>14</v>
      </c>
      <c r="C434" t="s">
        <v>2</v>
      </c>
      <c r="D434" t="str">
        <f t="shared" si="37"/>
        <v>FAB1_Leche Clasica Deslactosada 1 L</v>
      </c>
      <c r="E434">
        <v>2023</v>
      </c>
      <c r="F434">
        <v>20</v>
      </c>
      <c r="G434">
        <f t="shared" si="38"/>
        <v>5</v>
      </c>
      <c r="H434" s="1">
        <f t="shared" si="39"/>
        <v>45061</v>
      </c>
      <c r="I434" s="1">
        <f t="shared" si="40"/>
        <v>45047</v>
      </c>
      <c r="J434">
        <v>1081487.7899999998</v>
      </c>
      <c r="K434">
        <v>57252</v>
      </c>
      <c r="L434">
        <f t="shared" si="36"/>
        <v>18.889956508069584</v>
      </c>
      <c r="M434">
        <v>4771</v>
      </c>
      <c r="N434" s="2">
        <f t="shared" si="41"/>
        <v>226.679478096835</v>
      </c>
      <c r="O434">
        <v>12</v>
      </c>
    </row>
    <row r="435" spans="1:15" x14ac:dyDescent="0.25">
      <c r="A435" t="s">
        <v>46</v>
      </c>
      <c r="B435" t="s">
        <v>14</v>
      </c>
      <c r="C435" t="s">
        <v>2</v>
      </c>
      <c r="D435" t="str">
        <f t="shared" si="37"/>
        <v>FAB1_Leche Clasica Deslactosada 1 L</v>
      </c>
      <c r="E435">
        <v>2023</v>
      </c>
      <c r="F435">
        <v>21</v>
      </c>
      <c r="G435">
        <f t="shared" si="38"/>
        <v>5</v>
      </c>
      <c r="H435" s="1">
        <f t="shared" si="39"/>
        <v>45068</v>
      </c>
      <c r="I435" s="1">
        <f t="shared" si="40"/>
        <v>45047</v>
      </c>
      <c r="J435">
        <v>951188.04999999993</v>
      </c>
      <c r="K435">
        <v>51252</v>
      </c>
      <c r="L435">
        <f t="shared" si="36"/>
        <v>18.559042573948332</v>
      </c>
      <c r="M435">
        <v>4271</v>
      </c>
      <c r="N435" s="2">
        <f t="shared" si="41"/>
        <v>222.70851088737999</v>
      </c>
      <c r="O435">
        <v>12</v>
      </c>
    </row>
    <row r="436" spans="1:15" x14ac:dyDescent="0.25">
      <c r="A436" t="s">
        <v>46</v>
      </c>
      <c r="B436" t="s">
        <v>14</v>
      </c>
      <c r="C436" t="s">
        <v>2</v>
      </c>
      <c r="D436" t="str">
        <f t="shared" si="37"/>
        <v>FAB1_Leche Clasica Deslactosada 1 L</v>
      </c>
      <c r="E436">
        <v>2023</v>
      </c>
      <c r="F436">
        <v>22</v>
      </c>
      <c r="G436">
        <f t="shared" si="38"/>
        <v>6</v>
      </c>
      <c r="H436" s="1">
        <f t="shared" si="39"/>
        <v>45075</v>
      </c>
      <c r="I436" s="1">
        <f t="shared" si="40"/>
        <v>45078</v>
      </c>
      <c r="J436">
        <v>1053956.1599999999</v>
      </c>
      <c r="K436">
        <v>55116</v>
      </c>
      <c r="L436">
        <f t="shared" si="36"/>
        <v>19.122508164598301</v>
      </c>
      <c r="M436">
        <v>4593</v>
      </c>
      <c r="N436" s="2">
        <f t="shared" si="41"/>
        <v>229.47009797517961</v>
      </c>
      <c r="O436">
        <v>12</v>
      </c>
    </row>
    <row r="437" spans="1:15" x14ac:dyDescent="0.25">
      <c r="A437" t="s">
        <v>46</v>
      </c>
      <c r="B437" t="s">
        <v>14</v>
      </c>
      <c r="C437" t="s">
        <v>2</v>
      </c>
      <c r="D437" t="str">
        <f t="shared" si="37"/>
        <v>FAB1_Leche Clasica Deslactosada 1 L</v>
      </c>
      <c r="E437">
        <v>2023</v>
      </c>
      <c r="F437">
        <v>23</v>
      </c>
      <c r="G437">
        <f t="shared" si="38"/>
        <v>6</v>
      </c>
      <c r="H437" s="1">
        <f t="shared" si="39"/>
        <v>45082</v>
      </c>
      <c r="I437" s="1">
        <f t="shared" si="40"/>
        <v>45078</v>
      </c>
      <c r="J437">
        <v>1471781.7799999996</v>
      </c>
      <c r="K437">
        <v>79092</v>
      </c>
      <c r="L437">
        <f t="shared" si="36"/>
        <v>18.608478480756581</v>
      </c>
      <c r="M437">
        <v>6591</v>
      </c>
      <c r="N437" s="2">
        <f t="shared" si="41"/>
        <v>223.30174176907897</v>
      </c>
      <c r="O437">
        <v>12</v>
      </c>
    </row>
    <row r="438" spans="1:15" x14ac:dyDescent="0.25">
      <c r="A438" t="s">
        <v>46</v>
      </c>
      <c r="B438" t="s">
        <v>14</v>
      </c>
      <c r="C438" t="s">
        <v>2</v>
      </c>
      <c r="D438" t="str">
        <f t="shared" si="37"/>
        <v>FAB1_Leche Clasica Deslactosada 1 L</v>
      </c>
      <c r="E438">
        <v>2023</v>
      </c>
      <c r="F438">
        <v>24</v>
      </c>
      <c r="G438">
        <f t="shared" si="38"/>
        <v>6</v>
      </c>
      <c r="H438" s="1">
        <f t="shared" si="39"/>
        <v>45089</v>
      </c>
      <c r="I438" s="1">
        <f t="shared" si="40"/>
        <v>45078</v>
      </c>
      <c r="J438">
        <v>1498038.3199999998</v>
      </c>
      <c r="K438">
        <v>81300</v>
      </c>
      <c r="L438">
        <f t="shared" si="36"/>
        <v>18.426055596555962</v>
      </c>
      <c r="M438">
        <v>6775</v>
      </c>
      <c r="N438" s="2">
        <f t="shared" si="41"/>
        <v>221.11266715867157</v>
      </c>
      <c r="O438">
        <v>12</v>
      </c>
    </row>
    <row r="439" spans="1:15" x14ac:dyDescent="0.25">
      <c r="A439" t="s">
        <v>46</v>
      </c>
      <c r="B439" t="s">
        <v>14</v>
      </c>
      <c r="C439" t="s">
        <v>2</v>
      </c>
      <c r="D439" t="str">
        <f t="shared" si="37"/>
        <v>FAB1_Leche Clasica Deslactosada 1 L</v>
      </c>
      <c r="E439">
        <v>2023</v>
      </c>
      <c r="F439">
        <v>25</v>
      </c>
      <c r="G439">
        <f t="shared" si="38"/>
        <v>6</v>
      </c>
      <c r="H439" s="1">
        <f t="shared" si="39"/>
        <v>45096</v>
      </c>
      <c r="I439" s="1">
        <f t="shared" si="40"/>
        <v>45078</v>
      </c>
      <c r="J439">
        <v>1564177.1299999997</v>
      </c>
      <c r="K439">
        <v>85692</v>
      </c>
      <c r="L439">
        <f t="shared" si="36"/>
        <v>18.253479087896181</v>
      </c>
      <c r="M439">
        <v>7141</v>
      </c>
      <c r="N439" s="2">
        <f t="shared" si="41"/>
        <v>219.04174905475418</v>
      </c>
      <c r="O439">
        <v>12</v>
      </c>
    </row>
    <row r="440" spans="1:15" x14ac:dyDescent="0.25">
      <c r="A440" t="s">
        <v>46</v>
      </c>
      <c r="B440" t="s">
        <v>14</v>
      </c>
      <c r="C440" t="s">
        <v>2</v>
      </c>
      <c r="D440" t="str">
        <f t="shared" si="37"/>
        <v>FAB1_Leche Clasica Deslactosada 1 L</v>
      </c>
      <c r="E440">
        <v>2023</v>
      </c>
      <c r="F440">
        <v>26</v>
      </c>
      <c r="G440">
        <f t="shared" si="38"/>
        <v>6</v>
      </c>
      <c r="H440" s="1">
        <f t="shared" si="39"/>
        <v>45103</v>
      </c>
      <c r="I440" s="1">
        <f t="shared" si="40"/>
        <v>45078</v>
      </c>
      <c r="J440">
        <v>874685.10000000021</v>
      </c>
      <c r="K440">
        <v>45792</v>
      </c>
      <c r="L440">
        <f t="shared" si="36"/>
        <v>19.101264412997907</v>
      </c>
      <c r="M440">
        <v>3816</v>
      </c>
      <c r="N440" s="2">
        <f t="shared" si="41"/>
        <v>229.21517295597491</v>
      </c>
      <c r="O440">
        <v>12</v>
      </c>
    </row>
    <row r="441" spans="1:15" x14ac:dyDescent="0.25">
      <c r="A441" t="s">
        <v>46</v>
      </c>
      <c r="B441" t="s">
        <v>14</v>
      </c>
      <c r="C441" t="s">
        <v>2</v>
      </c>
      <c r="D441" t="str">
        <f t="shared" si="37"/>
        <v>FAB1_Leche Clasica Deslactosada 1 L</v>
      </c>
      <c r="E441">
        <v>2023</v>
      </c>
      <c r="F441">
        <v>27</v>
      </c>
      <c r="G441">
        <f t="shared" si="38"/>
        <v>7</v>
      </c>
      <c r="H441" s="1">
        <f t="shared" si="39"/>
        <v>45110</v>
      </c>
      <c r="I441" s="1">
        <f t="shared" si="40"/>
        <v>45108</v>
      </c>
      <c r="J441">
        <v>3014110.4300000048</v>
      </c>
      <c r="K441">
        <v>167604</v>
      </c>
      <c r="L441">
        <f t="shared" si="36"/>
        <v>17.983523245268639</v>
      </c>
      <c r="M441">
        <v>13967</v>
      </c>
      <c r="N441" s="2">
        <f t="shared" si="41"/>
        <v>215.80227894322366</v>
      </c>
      <c r="O441">
        <v>12</v>
      </c>
    </row>
    <row r="442" spans="1:15" x14ac:dyDescent="0.25">
      <c r="A442" t="s">
        <v>46</v>
      </c>
      <c r="B442" t="s">
        <v>14</v>
      </c>
      <c r="C442" t="s">
        <v>2</v>
      </c>
      <c r="D442" t="str">
        <f t="shared" si="37"/>
        <v>FAB1_Leche Clasica Deslactosada 1 L</v>
      </c>
      <c r="E442">
        <v>2023</v>
      </c>
      <c r="F442">
        <v>28</v>
      </c>
      <c r="G442">
        <f t="shared" si="38"/>
        <v>7</v>
      </c>
      <c r="H442" s="1">
        <f t="shared" si="39"/>
        <v>45117</v>
      </c>
      <c r="I442" s="1">
        <f t="shared" si="40"/>
        <v>45108</v>
      </c>
      <c r="J442">
        <v>1097135.2700000003</v>
      </c>
      <c r="K442">
        <v>56676</v>
      </c>
      <c r="L442">
        <f t="shared" si="36"/>
        <v>19.358022266920749</v>
      </c>
      <c r="M442">
        <v>4723</v>
      </c>
      <c r="N442" s="2">
        <f t="shared" si="41"/>
        <v>232.29626720304896</v>
      </c>
      <c r="O442">
        <v>12</v>
      </c>
    </row>
    <row r="443" spans="1:15" x14ac:dyDescent="0.25">
      <c r="A443" t="s">
        <v>46</v>
      </c>
      <c r="B443" t="s">
        <v>14</v>
      </c>
      <c r="C443" t="s">
        <v>2</v>
      </c>
      <c r="D443" t="str">
        <f t="shared" si="37"/>
        <v>FAB1_Leche Clasica Deslactosada 1 L</v>
      </c>
      <c r="E443">
        <v>2023</v>
      </c>
      <c r="F443">
        <v>29</v>
      </c>
      <c r="G443">
        <f t="shared" si="38"/>
        <v>7</v>
      </c>
      <c r="H443" s="1">
        <f t="shared" si="39"/>
        <v>45124</v>
      </c>
      <c r="I443" s="1">
        <f t="shared" si="40"/>
        <v>45108</v>
      </c>
      <c r="J443">
        <v>1875816.08</v>
      </c>
      <c r="K443">
        <v>103560</v>
      </c>
      <c r="L443">
        <f t="shared" si="36"/>
        <v>18.113326380842025</v>
      </c>
      <c r="M443">
        <v>8630</v>
      </c>
      <c r="N443" s="2">
        <f t="shared" si="41"/>
        <v>217.3599165701043</v>
      </c>
      <c r="O443">
        <v>12</v>
      </c>
    </row>
    <row r="444" spans="1:15" x14ac:dyDescent="0.25">
      <c r="A444" t="s">
        <v>46</v>
      </c>
      <c r="B444" t="s">
        <v>14</v>
      </c>
      <c r="C444" t="s">
        <v>2</v>
      </c>
      <c r="D444" t="str">
        <f t="shared" si="37"/>
        <v>FAB1_Leche Clasica Deslactosada 1 L</v>
      </c>
      <c r="E444">
        <v>2023</v>
      </c>
      <c r="F444">
        <v>30</v>
      </c>
      <c r="G444">
        <f t="shared" si="38"/>
        <v>7</v>
      </c>
      <c r="H444" s="1">
        <f t="shared" si="39"/>
        <v>45131</v>
      </c>
      <c r="I444" s="1">
        <f t="shared" si="40"/>
        <v>45108</v>
      </c>
      <c r="J444">
        <v>1290235.7799999998</v>
      </c>
      <c r="K444">
        <v>68568</v>
      </c>
      <c r="L444">
        <f t="shared" si="36"/>
        <v>18.816879302298446</v>
      </c>
      <c r="M444">
        <v>5714</v>
      </c>
      <c r="N444" s="2">
        <f t="shared" si="41"/>
        <v>225.80255162758135</v>
      </c>
      <c r="O444">
        <v>12</v>
      </c>
    </row>
    <row r="445" spans="1:15" x14ac:dyDescent="0.25">
      <c r="A445" t="s">
        <v>46</v>
      </c>
      <c r="B445" t="s">
        <v>14</v>
      </c>
      <c r="C445" t="s">
        <v>2</v>
      </c>
      <c r="D445" t="str">
        <f t="shared" si="37"/>
        <v>FAB1_Leche Clasica Deslactosada 1 L</v>
      </c>
      <c r="E445">
        <v>2023</v>
      </c>
      <c r="F445">
        <v>31</v>
      </c>
      <c r="G445">
        <f t="shared" si="38"/>
        <v>8</v>
      </c>
      <c r="H445" s="1">
        <f t="shared" si="39"/>
        <v>45138</v>
      </c>
      <c r="I445" s="1">
        <f t="shared" si="40"/>
        <v>45139</v>
      </c>
      <c r="J445">
        <v>1761154.7899999991</v>
      </c>
      <c r="K445">
        <v>90768</v>
      </c>
      <c r="L445">
        <f t="shared" si="36"/>
        <v>19.402815860215043</v>
      </c>
      <c r="M445">
        <v>7564</v>
      </c>
      <c r="N445" s="2">
        <f t="shared" si="41"/>
        <v>232.83379032258054</v>
      </c>
      <c r="O445">
        <v>12</v>
      </c>
    </row>
    <row r="446" spans="1:15" x14ac:dyDescent="0.25">
      <c r="A446" t="s">
        <v>46</v>
      </c>
      <c r="B446" t="s">
        <v>14</v>
      </c>
      <c r="C446" t="s">
        <v>2</v>
      </c>
      <c r="D446" t="str">
        <f t="shared" si="37"/>
        <v>FAB1_Leche Clasica Deslactosada 1 L</v>
      </c>
      <c r="E446">
        <v>2023</v>
      </c>
      <c r="F446">
        <v>32</v>
      </c>
      <c r="G446">
        <f t="shared" si="38"/>
        <v>8</v>
      </c>
      <c r="H446" s="1">
        <f t="shared" si="39"/>
        <v>45145</v>
      </c>
      <c r="I446" s="1">
        <f t="shared" si="40"/>
        <v>45139</v>
      </c>
      <c r="J446">
        <v>2818898.6700000023</v>
      </c>
      <c r="K446">
        <v>144720</v>
      </c>
      <c r="L446">
        <f t="shared" si="36"/>
        <v>19.478293739635173</v>
      </c>
      <c r="M446">
        <v>12060</v>
      </c>
      <c r="N446" s="2">
        <f t="shared" si="41"/>
        <v>233.73952487562207</v>
      </c>
      <c r="O446">
        <v>12</v>
      </c>
    </row>
    <row r="447" spans="1:15" x14ac:dyDescent="0.25">
      <c r="A447" t="s">
        <v>46</v>
      </c>
      <c r="B447" t="s">
        <v>14</v>
      </c>
      <c r="C447" t="s">
        <v>2</v>
      </c>
      <c r="D447" t="str">
        <f t="shared" si="37"/>
        <v>FAB1_Leche Clasica Deslactosada 1 L</v>
      </c>
      <c r="E447">
        <v>2023</v>
      </c>
      <c r="F447">
        <v>33</v>
      </c>
      <c r="G447">
        <f t="shared" si="38"/>
        <v>8</v>
      </c>
      <c r="H447" s="1">
        <f t="shared" si="39"/>
        <v>45152</v>
      </c>
      <c r="I447" s="1">
        <f t="shared" si="40"/>
        <v>45139</v>
      </c>
      <c r="J447">
        <v>1578174.9200000009</v>
      </c>
      <c r="K447">
        <v>78732</v>
      </c>
      <c r="L447">
        <f t="shared" si="36"/>
        <v>20.044898135446843</v>
      </c>
      <c r="M447">
        <v>6561</v>
      </c>
      <c r="N447" s="2">
        <f t="shared" si="41"/>
        <v>240.53877762536212</v>
      </c>
      <c r="O447">
        <v>12</v>
      </c>
    </row>
    <row r="448" spans="1:15" x14ac:dyDescent="0.25">
      <c r="A448" t="s">
        <v>46</v>
      </c>
      <c r="B448" t="s">
        <v>14</v>
      </c>
      <c r="C448" t="s">
        <v>2</v>
      </c>
      <c r="D448" t="str">
        <f t="shared" si="37"/>
        <v>FAB1_Leche Clasica Deslactosada 1 L</v>
      </c>
      <c r="E448">
        <v>2023</v>
      </c>
      <c r="F448">
        <v>34</v>
      </c>
      <c r="G448">
        <f t="shared" si="38"/>
        <v>8</v>
      </c>
      <c r="H448" s="1">
        <f t="shared" si="39"/>
        <v>45159</v>
      </c>
      <c r="I448" s="1">
        <f t="shared" si="40"/>
        <v>45139</v>
      </c>
      <c r="J448">
        <v>2115607.5300000012</v>
      </c>
      <c r="K448">
        <v>106836</v>
      </c>
      <c r="L448">
        <f t="shared" si="36"/>
        <v>19.802384308660013</v>
      </c>
      <c r="M448">
        <v>8903</v>
      </c>
      <c r="N448" s="2">
        <f t="shared" si="41"/>
        <v>237.62861170392017</v>
      </c>
      <c r="O448">
        <v>12</v>
      </c>
    </row>
    <row r="449" spans="1:15" x14ac:dyDescent="0.25">
      <c r="A449" t="s">
        <v>46</v>
      </c>
      <c r="B449" t="s">
        <v>14</v>
      </c>
      <c r="C449" t="s">
        <v>2</v>
      </c>
      <c r="D449" t="str">
        <f t="shared" si="37"/>
        <v>FAB1_Leche Clasica Deslactosada 1 L</v>
      </c>
      <c r="E449">
        <v>2023</v>
      </c>
      <c r="F449">
        <v>35</v>
      </c>
      <c r="G449">
        <f t="shared" si="38"/>
        <v>8</v>
      </c>
      <c r="H449" s="1">
        <f t="shared" si="39"/>
        <v>45166</v>
      </c>
      <c r="I449" s="1">
        <f t="shared" si="40"/>
        <v>45139</v>
      </c>
      <c r="J449">
        <v>1547460.75</v>
      </c>
      <c r="K449">
        <v>75144</v>
      </c>
      <c r="L449">
        <f t="shared" si="36"/>
        <v>20.59327091983392</v>
      </c>
      <c r="M449">
        <v>6262</v>
      </c>
      <c r="N449" s="2">
        <f t="shared" si="41"/>
        <v>247.11925103800704</v>
      </c>
      <c r="O449">
        <v>12</v>
      </c>
    </row>
    <row r="450" spans="1:15" x14ac:dyDescent="0.25">
      <c r="A450" t="s">
        <v>46</v>
      </c>
      <c r="B450" t="s">
        <v>14</v>
      </c>
      <c r="C450" t="s">
        <v>2</v>
      </c>
      <c r="D450" t="str">
        <f t="shared" si="37"/>
        <v>FAB1_Leche Clasica Deslactosada 1 L</v>
      </c>
      <c r="E450">
        <v>2023</v>
      </c>
      <c r="F450">
        <v>36</v>
      </c>
      <c r="G450">
        <f t="shared" si="38"/>
        <v>9</v>
      </c>
      <c r="H450" s="1">
        <f t="shared" si="39"/>
        <v>45173</v>
      </c>
      <c r="I450" s="1">
        <f t="shared" si="40"/>
        <v>45170</v>
      </c>
      <c r="J450">
        <v>1285161.78</v>
      </c>
      <c r="K450">
        <v>60936</v>
      </c>
      <c r="L450">
        <f t="shared" ref="L450:L513" si="42">J450/K450</f>
        <v>21.090353485624263</v>
      </c>
      <c r="M450">
        <v>5078</v>
      </c>
      <c r="N450" s="2">
        <f t="shared" si="41"/>
        <v>253.08424182749116</v>
      </c>
      <c r="O450">
        <v>12</v>
      </c>
    </row>
    <row r="451" spans="1:15" x14ac:dyDescent="0.25">
      <c r="A451" t="s">
        <v>46</v>
      </c>
      <c r="B451" t="s">
        <v>14</v>
      </c>
      <c r="C451" t="s">
        <v>2</v>
      </c>
      <c r="D451" t="str">
        <f t="shared" ref="D451:D514" si="43">B451&amp;"_"&amp;C451</f>
        <v>FAB1_Leche Clasica Deslactosada 1 L</v>
      </c>
      <c r="E451">
        <v>2023</v>
      </c>
      <c r="F451">
        <v>37</v>
      </c>
      <c r="G451">
        <f t="shared" ref="G451:G514" si="44">MONTH(DATE(E451,1,4)+(F451-1)*7-WEEKDAY(DATE(E451,1,4),2)+4)</f>
        <v>9</v>
      </c>
      <c r="H451" s="1">
        <f t="shared" ref="H451:H514" si="45">DATE(E451,1,-2)-WEEKDAY(DATE(E451,1,3))+F451*7</f>
        <v>45180</v>
      </c>
      <c r="I451" s="1">
        <f t="shared" ref="I451:I514" si="46">DATE(E451,G451,1)</f>
        <v>45170</v>
      </c>
      <c r="J451">
        <v>7183943.1699999971</v>
      </c>
      <c r="K451">
        <v>364836</v>
      </c>
      <c r="L451">
        <f t="shared" si="42"/>
        <v>19.690883492857058</v>
      </c>
      <c r="M451">
        <v>30403</v>
      </c>
      <c r="N451" s="2">
        <f t="shared" ref="N451:N514" si="47">J451/M451</f>
        <v>236.29060191428468</v>
      </c>
      <c r="O451">
        <v>12</v>
      </c>
    </row>
    <row r="452" spans="1:15" x14ac:dyDescent="0.25">
      <c r="A452" t="s">
        <v>46</v>
      </c>
      <c r="B452" t="s">
        <v>14</v>
      </c>
      <c r="C452" t="s">
        <v>2</v>
      </c>
      <c r="D452" t="str">
        <f t="shared" si="43"/>
        <v>FAB1_Leche Clasica Deslactosada 1 L</v>
      </c>
      <c r="E452">
        <v>2023</v>
      </c>
      <c r="F452">
        <v>38</v>
      </c>
      <c r="G452">
        <f t="shared" si="44"/>
        <v>9</v>
      </c>
      <c r="H452" s="1">
        <f t="shared" si="45"/>
        <v>45187</v>
      </c>
      <c r="I452" s="1">
        <f t="shared" si="46"/>
        <v>45170</v>
      </c>
      <c r="J452">
        <v>2096468.3399999999</v>
      </c>
      <c r="K452">
        <v>103368</v>
      </c>
      <c r="L452">
        <f t="shared" si="42"/>
        <v>20.281599140933363</v>
      </c>
      <c r="M452">
        <v>8614</v>
      </c>
      <c r="N452" s="2">
        <f t="shared" si="47"/>
        <v>243.37918969120037</v>
      </c>
      <c r="O452">
        <v>12</v>
      </c>
    </row>
    <row r="453" spans="1:15" x14ac:dyDescent="0.25">
      <c r="A453" t="s">
        <v>46</v>
      </c>
      <c r="B453" t="s">
        <v>14</v>
      </c>
      <c r="C453" t="s">
        <v>2</v>
      </c>
      <c r="D453" t="str">
        <f t="shared" si="43"/>
        <v>FAB1_Leche Clasica Deslactosada 1 L</v>
      </c>
      <c r="E453">
        <v>2023</v>
      </c>
      <c r="F453">
        <v>39</v>
      </c>
      <c r="G453">
        <f t="shared" si="44"/>
        <v>9</v>
      </c>
      <c r="H453" s="1">
        <f t="shared" si="45"/>
        <v>45194</v>
      </c>
      <c r="I453" s="1">
        <f t="shared" si="46"/>
        <v>45170</v>
      </c>
      <c r="J453">
        <v>928254.15000000037</v>
      </c>
      <c r="K453">
        <v>43404</v>
      </c>
      <c r="L453">
        <f t="shared" si="42"/>
        <v>21.386373375725746</v>
      </c>
      <c r="M453">
        <v>3617</v>
      </c>
      <c r="N453" s="2">
        <f t="shared" si="47"/>
        <v>256.63648050870898</v>
      </c>
      <c r="O453">
        <v>12</v>
      </c>
    </row>
    <row r="454" spans="1:15" x14ac:dyDescent="0.25">
      <c r="A454" t="s">
        <v>46</v>
      </c>
      <c r="B454" t="s">
        <v>14</v>
      </c>
      <c r="C454" t="s">
        <v>2</v>
      </c>
      <c r="D454" t="str">
        <f t="shared" si="43"/>
        <v>FAB1_Leche Clasica Deslactosada 1 L</v>
      </c>
      <c r="E454">
        <v>2023</v>
      </c>
      <c r="F454">
        <v>40</v>
      </c>
      <c r="G454">
        <f t="shared" si="44"/>
        <v>10</v>
      </c>
      <c r="H454" s="1">
        <f t="shared" si="45"/>
        <v>45201</v>
      </c>
      <c r="I454" s="1">
        <f t="shared" si="46"/>
        <v>45200</v>
      </c>
      <c r="J454">
        <v>1289899.7000000009</v>
      </c>
      <c r="K454">
        <v>60468</v>
      </c>
      <c r="L454">
        <f t="shared" si="42"/>
        <v>21.331939207514733</v>
      </c>
      <c r="M454">
        <v>5039</v>
      </c>
      <c r="N454" s="2">
        <f t="shared" si="47"/>
        <v>255.98327049017681</v>
      </c>
      <c r="O454">
        <v>12</v>
      </c>
    </row>
    <row r="455" spans="1:15" x14ac:dyDescent="0.25">
      <c r="A455" t="s">
        <v>46</v>
      </c>
      <c r="B455" t="s">
        <v>14</v>
      </c>
      <c r="C455" t="s">
        <v>2</v>
      </c>
      <c r="D455" t="str">
        <f t="shared" si="43"/>
        <v>FAB1_Leche Clasica Deslactosada 1 L</v>
      </c>
      <c r="E455">
        <v>2023</v>
      </c>
      <c r="F455">
        <v>41</v>
      </c>
      <c r="G455">
        <f t="shared" si="44"/>
        <v>10</v>
      </c>
      <c r="H455" s="1">
        <f t="shared" si="45"/>
        <v>45208</v>
      </c>
      <c r="I455" s="1">
        <f t="shared" si="46"/>
        <v>45200</v>
      </c>
      <c r="J455">
        <v>5817919.0499999942</v>
      </c>
      <c r="K455">
        <v>300468</v>
      </c>
      <c r="L455">
        <f t="shared" si="42"/>
        <v>19.362857442389853</v>
      </c>
      <c r="M455">
        <v>25039</v>
      </c>
      <c r="N455" s="2">
        <f t="shared" si="47"/>
        <v>232.35428930867823</v>
      </c>
      <c r="O455">
        <v>12</v>
      </c>
    </row>
    <row r="456" spans="1:15" x14ac:dyDescent="0.25">
      <c r="A456" t="s">
        <v>46</v>
      </c>
      <c r="B456" t="s">
        <v>14</v>
      </c>
      <c r="C456" t="s">
        <v>2</v>
      </c>
      <c r="D456" t="str">
        <f t="shared" si="43"/>
        <v>FAB1_Leche Clasica Deslactosada 1 L</v>
      </c>
      <c r="E456">
        <v>2023</v>
      </c>
      <c r="F456">
        <v>42</v>
      </c>
      <c r="G456">
        <f t="shared" si="44"/>
        <v>10</v>
      </c>
      <c r="H456" s="1">
        <f t="shared" si="45"/>
        <v>45215</v>
      </c>
      <c r="I456" s="1">
        <f t="shared" si="46"/>
        <v>45200</v>
      </c>
      <c r="J456">
        <v>3946872.2899999991</v>
      </c>
      <c r="K456">
        <v>203736</v>
      </c>
      <c r="L456">
        <f t="shared" si="42"/>
        <v>19.372483458986135</v>
      </c>
      <c r="M456">
        <v>16978</v>
      </c>
      <c r="N456" s="2">
        <f t="shared" si="47"/>
        <v>232.46980150783361</v>
      </c>
      <c r="O456">
        <v>12</v>
      </c>
    </row>
    <row r="457" spans="1:15" x14ac:dyDescent="0.25">
      <c r="A457" t="s">
        <v>46</v>
      </c>
      <c r="B457" t="s">
        <v>14</v>
      </c>
      <c r="C457" t="s">
        <v>2</v>
      </c>
      <c r="D457" t="str">
        <f t="shared" si="43"/>
        <v>FAB1_Leche Clasica Deslactosada 1 L</v>
      </c>
      <c r="E457">
        <v>2023</v>
      </c>
      <c r="F457">
        <v>43</v>
      </c>
      <c r="G457">
        <f t="shared" si="44"/>
        <v>10</v>
      </c>
      <c r="H457" s="1">
        <f t="shared" si="45"/>
        <v>45222</v>
      </c>
      <c r="I457" s="1">
        <f t="shared" si="46"/>
        <v>45200</v>
      </c>
      <c r="J457">
        <v>1171380.8399999999</v>
      </c>
      <c r="K457">
        <v>57096</v>
      </c>
      <c r="L457">
        <f t="shared" si="42"/>
        <v>20.515987810004201</v>
      </c>
      <c r="M457">
        <v>4758</v>
      </c>
      <c r="N457" s="2">
        <f t="shared" si="47"/>
        <v>246.1918537200504</v>
      </c>
      <c r="O457">
        <v>12</v>
      </c>
    </row>
    <row r="458" spans="1:15" x14ac:dyDescent="0.25">
      <c r="A458" t="s">
        <v>46</v>
      </c>
      <c r="B458" t="s">
        <v>14</v>
      </c>
      <c r="C458" t="s">
        <v>2</v>
      </c>
      <c r="D458" t="str">
        <f t="shared" si="43"/>
        <v>FAB1_Leche Clasica Deslactosada 1 L</v>
      </c>
      <c r="E458">
        <v>2023</v>
      </c>
      <c r="F458">
        <v>44</v>
      </c>
      <c r="G458">
        <f t="shared" si="44"/>
        <v>11</v>
      </c>
      <c r="H458" s="1">
        <f t="shared" si="45"/>
        <v>45229</v>
      </c>
      <c r="I458" s="1">
        <f t="shared" si="46"/>
        <v>45231</v>
      </c>
      <c r="J458">
        <v>1188791.82</v>
      </c>
      <c r="K458">
        <v>56688</v>
      </c>
      <c r="L458">
        <f t="shared" si="42"/>
        <v>20.970784292972059</v>
      </c>
      <c r="M458">
        <v>4724</v>
      </c>
      <c r="N458" s="2">
        <f t="shared" si="47"/>
        <v>251.6494115156647</v>
      </c>
      <c r="O458">
        <v>12</v>
      </c>
    </row>
    <row r="459" spans="1:15" x14ac:dyDescent="0.25">
      <c r="A459" t="s">
        <v>46</v>
      </c>
      <c r="B459" t="s">
        <v>14</v>
      </c>
      <c r="C459" t="s">
        <v>2</v>
      </c>
      <c r="D459" t="str">
        <f t="shared" si="43"/>
        <v>FAB1_Leche Clasica Deslactosada 1 L</v>
      </c>
      <c r="E459">
        <v>2023</v>
      </c>
      <c r="F459">
        <v>45</v>
      </c>
      <c r="G459">
        <f t="shared" si="44"/>
        <v>11</v>
      </c>
      <c r="H459" s="1">
        <f t="shared" si="45"/>
        <v>45236</v>
      </c>
      <c r="I459" s="1">
        <f t="shared" si="46"/>
        <v>45231</v>
      </c>
      <c r="J459">
        <v>1119693.7800000007</v>
      </c>
      <c r="K459">
        <v>52452</v>
      </c>
      <c r="L459">
        <f t="shared" si="42"/>
        <v>21.347017844886768</v>
      </c>
      <c r="M459">
        <v>4371</v>
      </c>
      <c r="N459" s="2">
        <f t="shared" si="47"/>
        <v>256.16421413864123</v>
      </c>
      <c r="O459">
        <v>12</v>
      </c>
    </row>
    <row r="460" spans="1:15" x14ac:dyDescent="0.25">
      <c r="A460" t="s">
        <v>46</v>
      </c>
      <c r="B460" t="s">
        <v>14</v>
      </c>
      <c r="C460" t="s">
        <v>2</v>
      </c>
      <c r="D460" t="str">
        <f t="shared" si="43"/>
        <v>FAB1_Leche Clasica Deslactosada 1 L</v>
      </c>
      <c r="E460">
        <v>2023</v>
      </c>
      <c r="F460">
        <v>46</v>
      </c>
      <c r="G460">
        <f t="shared" si="44"/>
        <v>11</v>
      </c>
      <c r="H460" s="1">
        <f t="shared" si="45"/>
        <v>45243</v>
      </c>
      <c r="I460" s="1">
        <f t="shared" si="46"/>
        <v>45231</v>
      </c>
      <c r="J460">
        <v>1195348.8499999999</v>
      </c>
      <c r="K460">
        <v>55872</v>
      </c>
      <c r="L460">
        <f t="shared" si="42"/>
        <v>21.39441670246277</v>
      </c>
      <c r="M460">
        <v>4656</v>
      </c>
      <c r="N460" s="2">
        <f t="shared" si="47"/>
        <v>256.73300042955321</v>
      </c>
      <c r="O460">
        <v>12</v>
      </c>
    </row>
    <row r="461" spans="1:15" x14ac:dyDescent="0.25">
      <c r="A461" t="s">
        <v>46</v>
      </c>
      <c r="B461" t="s">
        <v>14</v>
      </c>
      <c r="C461" t="s">
        <v>2</v>
      </c>
      <c r="D461" t="str">
        <f t="shared" si="43"/>
        <v>FAB1_Leche Clasica Deslactosada 1 L</v>
      </c>
      <c r="E461">
        <v>2023</v>
      </c>
      <c r="F461">
        <v>47</v>
      </c>
      <c r="G461">
        <f t="shared" si="44"/>
        <v>11</v>
      </c>
      <c r="H461" s="1">
        <f t="shared" si="45"/>
        <v>45250</v>
      </c>
      <c r="I461" s="1">
        <f t="shared" si="46"/>
        <v>45231</v>
      </c>
      <c r="J461">
        <v>1469817.9700000002</v>
      </c>
      <c r="K461">
        <v>69144</v>
      </c>
      <c r="L461">
        <f t="shared" si="42"/>
        <v>21.25734655212311</v>
      </c>
      <c r="M461">
        <v>5762</v>
      </c>
      <c r="N461" s="2">
        <f t="shared" si="47"/>
        <v>255.08815862547729</v>
      </c>
      <c r="O461">
        <v>12</v>
      </c>
    </row>
    <row r="462" spans="1:15" x14ac:dyDescent="0.25">
      <c r="A462" t="s">
        <v>46</v>
      </c>
      <c r="B462" t="s">
        <v>14</v>
      </c>
      <c r="C462" t="s">
        <v>2</v>
      </c>
      <c r="D462" t="str">
        <f t="shared" si="43"/>
        <v>FAB1_Leche Clasica Deslactosada 1 L</v>
      </c>
      <c r="E462">
        <v>2023</v>
      </c>
      <c r="F462">
        <v>48</v>
      </c>
      <c r="G462">
        <f t="shared" si="44"/>
        <v>11</v>
      </c>
      <c r="H462" s="1">
        <f t="shared" si="45"/>
        <v>45257</v>
      </c>
      <c r="I462" s="1">
        <f t="shared" si="46"/>
        <v>45231</v>
      </c>
      <c r="J462">
        <v>1064005.8200000003</v>
      </c>
      <c r="K462">
        <v>50316</v>
      </c>
      <c r="L462">
        <f t="shared" si="42"/>
        <v>21.1464707051435</v>
      </c>
      <c r="M462">
        <v>4193</v>
      </c>
      <c r="N462" s="2">
        <f t="shared" si="47"/>
        <v>253.757648461722</v>
      </c>
      <c r="O462">
        <v>12</v>
      </c>
    </row>
    <row r="463" spans="1:15" x14ac:dyDescent="0.25">
      <c r="A463" t="s">
        <v>46</v>
      </c>
      <c r="B463" t="s">
        <v>14</v>
      </c>
      <c r="C463" t="s">
        <v>2</v>
      </c>
      <c r="D463" t="str">
        <f t="shared" si="43"/>
        <v>FAB1_Leche Clasica Deslactosada 1 L</v>
      </c>
      <c r="E463">
        <v>2023</v>
      </c>
      <c r="F463">
        <v>49</v>
      </c>
      <c r="G463">
        <f t="shared" si="44"/>
        <v>12</v>
      </c>
      <c r="H463" s="1">
        <f t="shared" si="45"/>
        <v>45264</v>
      </c>
      <c r="I463" s="1">
        <f t="shared" si="46"/>
        <v>45261</v>
      </c>
      <c r="J463">
        <v>1225108.0500000005</v>
      </c>
      <c r="K463">
        <v>58416</v>
      </c>
      <c r="L463">
        <f t="shared" si="42"/>
        <v>20.972131778964677</v>
      </c>
      <c r="M463">
        <v>4868</v>
      </c>
      <c r="N463" s="2">
        <f t="shared" si="47"/>
        <v>251.66558134757611</v>
      </c>
      <c r="O463">
        <v>12</v>
      </c>
    </row>
    <row r="464" spans="1:15" x14ac:dyDescent="0.25">
      <c r="A464" t="s">
        <v>46</v>
      </c>
      <c r="B464" t="s">
        <v>14</v>
      </c>
      <c r="C464" t="s">
        <v>2</v>
      </c>
      <c r="D464" t="str">
        <f t="shared" si="43"/>
        <v>FAB1_Leche Clasica Deslactosada 1 L</v>
      </c>
      <c r="E464">
        <v>2023</v>
      </c>
      <c r="F464">
        <v>50</v>
      </c>
      <c r="G464">
        <f t="shared" si="44"/>
        <v>12</v>
      </c>
      <c r="H464" s="1">
        <f t="shared" si="45"/>
        <v>45271</v>
      </c>
      <c r="I464" s="1">
        <f t="shared" si="46"/>
        <v>45261</v>
      </c>
      <c r="J464">
        <v>2283092.5400000005</v>
      </c>
      <c r="K464">
        <v>114216</v>
      </c>
      <c r="L464">
        <f t="shared" si="42"/>
        <v>19.989253169433358</v>
      </c>
      <c r="M464">
        <v>9518</v>
      </c>
      <c r="N464" s="2">
        <f t="shared" si="47"/>
        <v>239.87103803320031</v>
      </c>
      <c r="O464">
        <v>12</v>
      </c>
    </row>
    <row r="465" spans="1:15" x14ac:dyDescent="0.25">
      <c r="A465" t="s">
        <v>46</v>
      </c>
      <c r="B465" t="s">
        <v>14</v>
      </c>
      <c r="C465" t="s">
        <v>2</v>
      </c>
      <c r="D465" t="str">
        <f t="shared" si="43"/>
        <v>FAB1_Leche Clasica Deslactosada 1 L</v>
      </c>
      <c r="E465">
        <v>2023</v>
      </c>
      <c r="F465">
        <v>51</v>
      </c>
      <c r="G465">
        <f t="shared" si="44"/>
        <v>12</v>
      </c>
      <c r="H465" s="1">
        <f t="shared" si="45"/>
        <v>45278</v>
      </c>
      <c r="I465" s="1">
        <f t="shared" si="46"/>
        <v>45261</v>
      </c>
      <c r="J465">
        <v>1150155.5600000008</v>
      </c>
      <c r="K465">
        <v>54048</v>
      </c>
      <c r="L465">
        <f t="shared" si="42"/>
        <v>21.280261249259929</v>
      </c>
      <c r="M465">
        <v>4504</v>
      </c>
      <c r="N465" s="2">
        <f t="shared" si="47"/>
        <v>255.36313499111918</v>
      </c>
      <c r="O465">
        <v>12</v>
      </c>
    </row>
    <row r="466" spans="1:15" x14ac:dyDescent="0.25">
      <c r="A466" t="s">
        <v>46</v>
      </c>
      <c r="B466" t="s">
        <v>14</v>
      </c>
      <c r="C466" t="s">
        <v>2</v>
      </c>
      <c r="D466" t="str">
        <f t="shared" si="43"/>
        <v>FAB1_Leche Clasica Deslactosada 1 L</v>
      </c>
      <c r="E466">
        <v>2023</v>
      </c>
      <c r="F466">
        <v>52</v>
      </c>
      <c r="G466">
        <f t="shared" si="44"/>
        <v>12</v>
      </c>
      <c r="H466" s="1">
        <f t="shared" si="45"/>
        <v>45285</v>
      </c>
      <c r="I466" s="1">
        <f t="shared" si="46"/>
        <v>45261</v>
      </c>
      <c r="J466">
        <v>1087447.5800000003</v>
      </c>
      <c r="K466">
        <v>51300</v>
      </c>
      <c r="L466">
        <f t="shared" si="42"/>
        <v>21.197808576998057</v>
      </c>
      <c r="M466">
        <v>4275</v>
      </c>
      <c r="N466" s="2">
        <f t="shared" si="47"/>
        <v>254.37370292397668</v>
      </c>
      <c r="O466">
        <v>12</v>
      </c>
    </row>
    <row r="467" spans="1:15" x14ac:dyDescent="0.25">
      <c r="A467" t="s">
        <v>46</v>
      </c>
      <c r="B467" t="s">
        <v>14</v>
      </c>
      <c r="C467" t="s">
        <v>2</v>
      </c>
      <c r="D467" t="str">
        <f t="shared" si="43"/>
        <v>FAB1_Leche Clasica Deslactosada 1 L</v>
      </c>
      <c r="E467">
        <v>2024</v>
      </c>
      <c r="F467">
        <v>1</v>
      </c>
      <c r="G467">
        <f t="shared" si="44"/>
        <v>1</v>
      </c>
      <c r="H467" s="1">
        <f t="shared" si="45"/>
        <v>45292</v>
      </c>
      <c r="I467" s="1">
        <f t="shared" si="46"/>
        <v>45292</v>
      </c>
      <c r="J467">
        <v>1413795.6900000002</v>
      </c>
      <c r="K467">
        <v>69528</v>
      </c>
      <c r="L467">
        <f t="shared" si="42"/>
        <v>20.334191836382466</v>
      </c>
      <c r="M467">
        <v>5794</v>
      </c>
      <c r="N467" s="2">
        <f t="shared" si="47"/>
        <v>244.01030203658959</v>
      </c>
      <c r="O467">
        <v>12</v>
      </c>
    </row>
    <row r="468" spans="1:15" x14ac:dyDescent="0.25">
      <c r="A468" t="s">
        <v>46</v>
      </c>
      <c r="B468" t="s">
        <v>14</v>
      </c>
      <c r="C468" t="s">
        <v>2</v>
      </c>
      <c r="D468" t="str">
        <f t="shared" si="43"/>
        <v>FAB1_Leche Clasica Deslactosada 1 L</v>
      </c>
      <c r="E468">
        <v>2024</v>
      </c>
      <c r="F468">
        <v>2</v>
      </c>
      <c r="G468">
        <f t="shared" si="44"/>
        <v>1</v>
      </c>
      <c r="H468" s="1">
        <f t="shared" si="45"/>
        <v>45299</v>
      </c>
      <c r="I468" s="1">
        <f t="shared" si="46"/>
        <v>45292</v>
      </c>
      <c r="J468">
        <v>1312636.0600000003</v>
      </c>
      <c r="K468">
        <v>62556</v>
      </c>
      <c r="L468">
        <f t="shared" si="42"/>
        <v>20.983375855233714</v>
      </c>
      <c r="M468">
        <v>5213</v>
      </c>
      <c r="N468" s="2">
        <f t="shared" si="47"/>
        <v>251.80051026280458</v>
      </c>
      <c r="O468">
        <v>12</v>
      </c>
    </row>
    <row r="469" spans="1:15" x14ac:dyDescent="0.25">
      <c r="A469" t="s">
        <v>46</v>
      </c>
      <c r="B469" t="s">
        <v>14</v>
      </c>
      <c r="C469" t="s">
        <v>2</v>
      </c>
      <c r="D469" t="str">
        <f t="shared" si="43"/>
        <v>FAB1_Leche Clasica Deslactosada 1 L</v>
      </c>
      <c r="E469">
        <v>2024</v>
      </c>
      <c r="F469">
        <v>3</v>
      </c>
      <c r="G469">
        <f t="shared" si="44"/>
        <v>1</v>
      </c>
      <c r="H469" s="1">
        <f t="shared" si="45"/>
        <v>45306</v>
      </c>
      <c r="I469" s="1">
        <f t="shared" si="46"/>
        <v>45292</v>
      </c>
      <c r="J469">
        <v>1769996.3699999996</v>
      </c>
      <c r="K469">
        <v>87888</v>
      </c>
      <c r="L469">
        <f t="shared" si="42"/>
        <v>20.139226856908788</v>
      </c>
      <c r="M469">
        <v>7324</v>
      </c>
      <c r="N469" s="2">
        <f t="shared" si="47"/>
        <v>241.67072228290547</v>
      </c>
      <c r="O469">
        <v>12</v>
      </c>
    </row>
    <row r="470" spans="1:15" x14ac:dyDescent="0.25">
      <c r="A470" t="s">
        <v>46</v>
      </c>
      <c r="B470" t="s">
        <v>14</v>
      </c>
      <c r="C470" t="s">
        <v>2</v>
      </c>
      <c r="D470" t="str">
        <f t="shared" si="43"/>
        <v>FAB1_Leche Clasica Deslactosada 1 L</v>
      </c>
      <c r="E470">
        <v>2024</v>
      </c>
      <c r="F470">
        <v>4</v>
      </c>
      <c r="G470">
        <f t="shared" si="44"/>
        <v>1</v>
      </c>
      <c r="H470" s="1">
        <f t="shared" si="45"/>
        <v>45313</v>
      </c>
      <c r="I470" s="1">
        <f t="shared" si="46"/>
        <v>45292</v>
      </c>
      <c r="J470">
        <v>1144539.1200000008</v>
      </c>
      <c r="K470">
        <v>54060</v>
      </c>
      <c r="L470">
        <f t="shared" si="42"/>
        <v>21.171644839067717</v>
      </c>
      <c r="M470">
        <v>4505</v>
      </c>
      <c r="N470" s="2">
        <f t="shared" si="47"/>
        <v>254.05973806881261</v>
      </c>
      <c r="O470">
        <v>12</v>
      </c>
    </row>
    <row r="471" spans="1:15" x14ac:dyDescent="0.25">
      <c r="A471" t="s">
        <v>46</v>
      </c>
      <c r="B471" t="s">
        <v>14</v>
      </c>
      <c r="C471" t="s">
        <v>2</v>
      </c>
      <c r="D471" t="str">
        <f t="shared" si="43"/>
        <v>FAB1_Leche Clasica Deslactosada 1 L</v>
      </c>
      <c r="E471">
        <v>2024</v>
      </c>
      <c r="F471">
        <v>5</v>
      </c>
      <c r="G471">
        <f t="shared" si="44"/>
        <v>2</v>
      </c>
      <c r="H471" s="1">
        <f t="shared" si="45"/>
        <v>45320</v>
      </c>
      <c r="I471" s="1">
        <f t="shared" si="46"/>
        <v>45323</v>
      </c>
      <c r="J471">
        <v>1462165.9900000007</v>
      </c>
      <c r="K471">
        <v>68976</v>
      </c>
      <c r="L471">
        <f t="shared" si="42"/>
        <v>21.198184730920911</v>
      </c>
      <c r="M471">
        <v>5748</v>
      </c>
      <c r="N471" s="2">
        <f t="shared" si="47"/>
        <v>254.37821677105092</v>
      </c>
      <c r="O471">
        <v>12</v>
      </c>
    </row>
    <row r="472" spans="1:15" x14ac:dyDescent="0.25">
      <c r="A472" t="s">
        <v>46</v>
      </c>
      <c r="B472" t="s">
        <v>14</v>
      </c>
      <c r="C472" t="s">
        <v>2</v>
      </c>
      <c r="D472" t="str">
        <f t="shared" si="43"/>
        <v>FAB1_Leche Clasica Deslactosada 1 L</v>
      </c>
      <c r="E472">
        <v>2024</v>
      </c>
      <c r="F472">
        <v>6</v>
      </c>
      <c r="G472">
        <f t="shared" si="44"/>
        <v>2</v>
      </c>
      <c r="H472" s="1">
        <f t="shared" si="45"/>
        <v>45327</v>
      </c>
      <c r="I472" s="1">
        <f t="shared" si="46"/>
        <v>45323</v>
      </c>
      <c r="J472">
        <v>1298561.0899999996</v>
      </c>
      <c r="K472">
        <v>61368</v>
      </c>
      <c r="L472">
        <f t="shared" si="42"/>
        <v>21.16023155390431</v>
      </c>
      <c r="M472">
        <v>5114</v>
      </c>
      <c r="N472" s="2">
        <f t="shared" si="47"/>
        <v>253.9227786468517</v>
      </c>
      <c r="O472">
        <v>12</v>
      </c>
    </row>
    <row r="473" spans="1:15" x14ac:dyDescent="0.25">
      <c r="A473" t="s">
        <v>46</v>
      </c>
      <c r="B473" t="s">
        <v>14</v>
      </c>
      <c r="C473" t="s">
        <v>2</v>
      </c>
      <c r="D473" t="str">
        <f t="shared" si="43"/>
        <v>FAB1_Leche Clasica Deslactosada 1 L</v>
      </c>
      <c r="E473">
        <v>2024</v>
      </c>
      <c r="F473">
        <v>7</v>
      </c>
      <c r="G473">
        <f t="shared" si="44"/>
        <v>2</v>
      </c>
      <c r="H473" s="1">
        <f t="shared" si="45"/>
        <v>45334</v>
      </c>
      <c r="I473" s="1">
        <f t="shared" si="46"/>
        <v>45323</v>
      </c>
      <c r="J473">
        <v>2116393.09</v>
      </c>
      <c r="K473">
        <v>103812</v>
      </c>
      <c r="L473">
        <f t="shared" si="42"/>
        <v>20.38678659499865</v>
      </c>
      <c r="M473">
        <v>8651</v>
      </c>
      <c r="N473" s="2">
        <f t="shared" si="47"/>
        <v>244.64143913998379</v>
      </c>
      <c r="O473">
        <v>12</v>
      </c>
    </row>
    <row r="474" spans="1:15" x14ac:dyDescent="0.25">
      <c r="A474" t="s">
        <v>46</v>
      </c>
      <c r="B474" t="s">
        <v>14</v>
      </c>
      <c r="C474" t="s">
        <v>2</v>
      </c>
      <c r="D474" t="str">
        <f t="shared" si="43"/>
        <v>FAB1_Leche Clasica Deslactosada 1 L</v>
      </c>
      <c r="E474">
        <v>2024</v>
      </c>
      <c r="F474">
        <v>8</v>
      </c>
      <c r="G474">
        <f t="shared" si="44"/>
        <v>2</v>
      </c>
      <c r="H474" s="1">
        <f t="shared" si="45"/>
        <v>45341</v>
      </c>
      <c r="I474" s="1">
        <f t="shared" si="46"/>
        <v>45323</v>
      </c>
      <c r="J474">
        <v>1655270.81</v>
      </c>
      <c r="K474">
        <v>81936</v>
      </c>
      <c r="L474">
        <f t="shared" si="42"/>
        <v>20.201996802382347</v>
      </c>
      <c r="M474">
        <v>6828</v>
      </c>
      <c r="N474" s="2">
        <f t="shared" si="47"/>
        <v>242.42396162858819</v>
      </c>
      <c r="O474">
        <v>12</v>
      </c>
    </row>
    <row r="475" spans="1:15" x14ac:dyDescent="0.25">
      <c r="A475" t="s">
        <v>46</v>
      </c>
      <c r="B475" t="s">
        <v>14</v>
      </c>
      <c r="C475" t="s">
        <v>2</v>
      </c>
      <c r="D475" t="str">
        <f t="shared" si="43"/>
        <v>FAB1_Leche Clasica Deslactosada 1 L</v>
      </c>
      <c r="E475">
        <v>2024</v>
      </c>
      <c r="F475">
        <v>9</v>
      </c>
      <c r="G475">
        <f t="shared" si="44"/>
        <v>2</v>
      </c>
      <c r="H475" s="1">
        <f t="shared" si="45"/>
        <v>45348</v>
      </c>
      <c r="I475" s="1">
        <f t="shared" si="46"/>
        <v>45323</v>
      </c>
      <c r="J475">
        <v>1054507.5899999994</v>
      </c>
      <c r="K475">
        <v>47448</v>
      </c>
      <c r="L475">
        <f t="shared" si="42"/>
        <v>22.224489757207877</v>
      </c>
      <c r="M475">
        <v>3954</v>
      </c>
      <c r="N475" s="2">
        <f t="shared" si="47"/>
        <v>266.69387708649452</v>
      </c>
      <c r="O475">
        <v>12</v>
      </c>
    </row>
    <row r="476" spans="1:15" x14ac:dyDescent="0.25">
      <c r="A476" t="s">
        <v>46</v>
      </c>
      <c r="B476" t="s">
        <v>14</v>
      </c>
      <c r="C476" t="s">
        <v>2</v>
      </c>
      <c r="D476" t="str">
        <f t="shared" si="43"/>
        <v>FAB1_Leche Clasica Deslactosada 1 L</v>
      </c>
      <c r="E476">
        <v>2024</v>
      </c>
      <c r="F476">
        <v>10</v>
      </c>
      <c r="G476">
        <f t="shared" si="44"/>
        <v>3</v>
      </c>
      <c r="H476" s="1">
        <f t="shared" si="45"/>
        <v>45355</v>
      </c>
      <c r="I476" s="1">
        <f t="shared" si="46"/>
        <v>45352</v>
      </c>
      <c r="J476">
        <v>1215502.0799999989</v>
      </c>
      <c r="K476">
        <v>54840</v>
      </c>
      <c r="L476">
        <f t="shared" si="42"/>
        <v>22.164516411378536</v>
      </c>
      <c r="M476">
        <v>4570</v>
      </c>
      <c r="N476" s="2">
        <f t="shared" si="47"/>
        <v>265.97419693654246</v>
      </c>
      <c r="O476">
        <v>12</v>
      </c>
    </row>
    <row r="477" spans="1:15" x14ac:dyDescent="0.25">
      <c r="A477" t="s">
        <v>46</v>
      </c>
      <c r="B477" t="s">
        <v>14</v>
      </c>
      <c r="C477" t="s">
        <v>2</v>
      </c>
      <c r="D477" t="str">
        <f t="shared" si="43"/>
        <v>FAB1_Leche Clasica Deslactosada 1 L</v>
      </c>
      <c r="E477">
        <v>2024</v>
      </c>
      <c r="F477">
        <v>11</v>
      </c>
      <c r="G477">
        <f t="shared" si="44"/>
        <v>3</v>
      </c>
      <c r="H477" s="1">
        <f t="shared" si="45"/>
        <v>45362</v>
      </c>
      <c r="I477" s="1">
        <f t="shared" si="46"/>
        <v>45352</v>
      </c>
      <c r="J477">
        <v>1096178.4499999995</v>
      </c>
      <c r="K477">
        <v>48924</v>
      </c>
      <c r="L477">
        <f t="shared" si="42"/>
        <v>22.405740536342073</v>
      </c>
      <c r="M477">
        <v>4077</v>
      </c>
      <c r="N477" s="2">
        <f t="shared" si="47"/>
        <v>268.86888643610484</v>
      </c>
      <c r="O477">
        <v>12</v>
      </c>
    </row>
    <row r="478" spans="1:15" x14ac:dyDescent="0.25">
      <c r="A478" t="s">
        <v>46</v>
      </c>
      <c r="B478" t="s">
        <v>14</v>
      </c>
      <c r="C478" t="s">
        <v>2</v>
      </c>
      <c r="D478" t="str">
        <f t="shared" si="43"/>
        <v>FAB1_Leche Clasica Deslactosada 1 L</v>
      </c>
      <c r="E478">
        <v>2024</v>
      </c>
      <c r="F478">
        <v>12</v>
      </c>
      <c r="G478">
        <f t="shared" si="44"/>
        <v>3</v>
      </c>
      <c r="H478" s="1">
        <f t="shared" si="45"/>
        <v>45369</v>
      </c>
      <c r="I478" s="1">
        <f t="shared" si="46"/>
        <v>45352</v>
      </c>
      <c r="J478">
        <v>1192197.0799999989</v>
      </c>
      <c r="K478">
        <v>54972</v>
      </c>
      <c r="L478">
        <f t="shared" si="42"/>
        <v>21.687351378883776</v>
      </c>
      <c r="M478">
        <v>4581</v>
      </c>
      <c r="N478" s="2">
        <f t="shared" si="47"/>
        <v>260.24821654660531</v>
      </c>
      <c r="O478">
        <v>12</v>
      </c>
    </row>
    <row r="479" spans="1:15" x14ac:dyDescent="0.25">
      <c r="A479" t="s">
        <v>46</v>
      </c>
      <c r="B479" t="s">
        <v>14</v>
      </c>
      <c r="C479" t="s">
        <v>2</v>
      </c>
      <c r="D479" t="str">
        <f t="shared" si="43"/>
        <v>FAB1_Leche Clasica Deslactosada 1 L</v>
      </c>
      <c r="E479">
        <v>2024</v>
      </c>
      <c r="F479">
        <v>13</v>
      </c>
      <c r="G479">
        <f t="shared" si="44"/>
        <v>3</v>
      </c>
      <c r="H479" s="1">
        <f t="shared" si="45"/>
        <v>45376</v>
      </c>
      <c r="I479" s="1">
        <f t="shared" si="46"/>
        <v>45352</v>
      </c>
      <c r="J479">
        <v>1044081.8699999992</v>
      </c>
      <c r="K479">
        <v>46992</v>
      </c>
      <c r="L479">
        <f t="shared" si="42"/>
        <v>22.218289708886601</v>
      </c>
      <c r="M479">
        <v>3916</v>
      </c>
      <c r="N479" s="2">
        <f t="shared" si="47"/>
        <v>266.61947650663922</v>
      </c>
      <c r="O479">
        <v>12</v>
      </c>
    </row>
    <row r="480" spans="1:15" x14ac:dyDescent="0.25">
      <c r="A480" t="s">
        <v>46</v>
      </c>
      <c r="B480" t="s">
        <v>14</v>
      </c>
      <c r="C480" t="s">
        <v>2</v>
      </c>
      <c r="D480" t="str">
        <f t="shared" si="43"/>
        <v>FAB1_Leche Clasica Deslactosada 1 L</v>
      </c>
      <c r="E480">
        <v>2024</v>
      </c>
      <c r="F480">
        <v>14</v>
      </c>
      <c r="G480">
        <f t="shared" si="44"/>
        <v>4</v>
      </c>
      <c r="H480" s="1">
        <f t="shared" si="45"/>
        <v>45383</v>
      </c>
      <c r="I480" s="1">
        <f t="shared" si="46"/>
        <v>45383</v>
      </c>
      <c r="J480">
        <v>1285498.1099999992</v>
      </c>
      <c r="K480">
        <v>58104</v>
      </c>
      <c r="L480">
        <f t="shared" si="42"/>
        <v>22.124089735646415</v>
      </c>
      <c r="M480">
        <v>4842</v>
      </c>
      <c r="N480" s="2">
        <f t="shared" si="47"/>
        <v>265.48907682775695</v>
      </c>
      <c r="O480">
        <v>12</v>
      </c>
    </row>
    <row r="481" spans="1:15" x14ac:dyDescent="0.25">
      <c r="A481" t="s">
        <v>46</v>
      </c>
      <c r="B481" t="s">
        <v>14</v>
      </c>
      <c r="C481" t="s">
        <v>2</v>
      </c>
      <c r="D481" t="str">
        <f t="shared" si="43"/>
        <v>FAB1_Leche Clasica Deslactosada 1 L</v>
      </c>
      <c r="E481">
        <v>2024</v>
      </c>
      <c r="F481">
        <v>15</v>
      </c>
      <c r="G481">
        <f t="shared" si="44"/>
        <v>4</v>
      </c>
      <c r="H481" s="1">
        <f t="shared" si="45"/>
        <v>45390</v>
      </c>
      <c r="I481" s="1">
        <f t="shared" si="46"/>
        <v>45383</v>
      </c>
      <c r="J481">
        <v>1045695.2000000007</v>
      </c>
      <c r="K481">
        <v>47364</v>
      </c>
      <c r="L481">
        <f t="shared" si="42"/>
        <v>22.077848154716676</v>
      </c>
      <c r="M481">
        <v>3947</v>
      </c>
      <c r="N481" s="2">
        <f t="shared" si="47"/>
        <v>264.93417785660012</v>
      </c>
      <c r="O481">
        <v>12</v>
      </c>
    </row>
    <row r="482" spans="1:15" x14ac:dyDescent="0.25">
      <c r="A482" t="s">
        <v>46</v>
      </c>
      <c r="B482" t="s">
        <v>14</v>
      </c>
      <c r="C482" t="s">
        <v>2</v>
      </c>
      <c r="D482" t="str">
        <f t="shared" si="43"/>
        <v>FAB1_Leche Clasica Deslactosada 1 L</v>
      </c>
      <c r="E482">
        <v>2024</v>
      </c>
      <c r="F482">
        <v>16</v>
      </c>
      <c r="G482">
        <f t="shared" si="44"/>
        <v>4</v>
      </c>
      <c r="H482" s="1">
        <f t="shared" si="45"/>
        <v>45397</v>
      </c>
      <c r="I482" s="1">
        <f t="shared" si="46"/>
        <v>45383</v>
      </c>
      <c r="J482">
        <v>1904282.4699999988</v>
      </c>
      <c r="K482">
        <v>89640</v>
      </c>
      <c r="L482">
        <f t="shared" si="42"/>
        <v>21.243668786256123</v>
      </c>
      <c r="M482">
        <v>7470</v>
      </c>
      <c r="N482" s="2">
        <f t="shared" si="47"/>
        <v>254.92402543507347</v>
      </c>
      <c r="O482">
        <v>12</v>
      </c>
    </row>
    <row r="483" spans="1:15" x14ac:dyDescent="0.25">
      <c r="A483" t="s">
        <v>46</v>
      </c>
      <c r="B483" t="s">
        <v>14</v>
      </c>
      <c r="C483" t="s">
        <v>2</v>
      </c>
      <c r="D483" t="str">
        <f t="shared" si="43"/>
        <v>FAB1_Leche Clasica Deslactosada 1 L</v>
      </c>
      <c r="E483">
        <v>2024</v>
      </c>
      <c r="F483">
        <v>17</v>
      </c>
      <c r="G483">
        <f t="shared" si="44"/>
        <v>4</v>
      </c>
      <c r="H483" s="1">
        <f t="shared" si="45"/>
        <v>45404</v>
      </c>
      <c r="I483" s="1">
        <f t="shared" si="46"/>
        <v>45383</v>
      </c>
      <c r="J483">
        <v>1758324.0799999996</v>
      </c>
      <c r="K483">
        <v>86724</v>
      </c>
      <c r="L483">
        <f t="shared" si="42"/>
        <v>20.274942115216085</v>
      </c>
      <c r="M483">
        <v>7227</v>
      </c>
      <c r="N483" s="2">
        <f t="shared" si="47"/>
        <v>243.29930538259299</v>
      </c>
      <c r="O483">
        <v>12</v>
      </c>
    </row>
    <row r="484" spans="1:15" x14ac:dyDescent="0.25">
      <c r="A484" t="s">
        <v>46</v>
      </c>
      <c r="B484" t="s">
        <v>14</v>
      </c>
      <c r="C484" t="s">
        <v>2</v>
      </c>
      <c r="D484" t="str">
        <f t="shared" si="43"/>
        <v>FAB1_Leche Clasica Deslactosada 1 L</v>
      </c>
      <c r="E484">
        <v>2024</v>
      </c>
      <c r="F484">
        <v>18</v>
      </c>
      <c r="G484">
        <f t="shared" si="44"/>
        <v>5</v>
      </c>
      <c r="H484" s="1">
        <f t="shared" si="45"/>
        <v>45411</v>
      </c>
      <c r="I484" s="1">
        <f t="shared" si="46"/>
        <v>45413</v>
      </c>
      <c r="J484">
        <v>1898140.2099999993</v>
      </c>
      <c r="K484">
        <v>94164</v>
      </c>
      <c r="L484">
        <f t="shared" si="42"/>
        <v>20.157812008835641</v>
      </c>
      <c r="M484">
        <v>7847</v>
      </c>
      <c r="N484" s="2">
        <f t="shared" si="47"/>
        <v>241.8937441060277</v>
      </c>
      <c r="O484">
        <v>12</v>
      </c>
    </row>
    <row r="485" spans="1:15" x14ac:dyDescent="0.25">
      <c r="A485" t="s">
        <v>46</v>
      </c>
      <c r="B485" t="s">
        <v>14</v>
      </c>
      <c r="C485" t="s">
        <v>2</v>
      </c>
      <c r="D485" t="str">
        <f t="shared" si="43"/>
        <v>FAB1_Leche Clasica Deslactosada 1 L</v>
      </c>
      <c r="E485">
        <v>2024</v>
      </c>
      <c r="F485">
        <v>19</v>
      </c>
      <c r="G485">
        <f t="shared" si="44"/>
        <v>5</v>
      </c>
      <c r="H485" s="1">
        <f t="shared" si="45"/>
        <v>45418</v>
      </c>
      <c r="I485" s="1">
        <f t="shared" si="46"/>
        <v>45413</v>
      </c>
      <c r="J485">
        <v>1279884.9000000004</v>
      </c>
      <c r="K485">
        <v>60492</v>
      </c>
      <c r="L485">
        <f t="shared" si="42"/>
        <v>21.15792005554454</v>
      </c>
      <c r="M485">
        <v>5041</v>
      </c>
      <c r="N485" s="2">
        <f t="shared" si="47"/>
        <v>253.8950406665345</v>
      </c>
      <c r="O485">
        <v>12</v>
      </c>
    </row>
    <row r="486" spans="1:15" x14ac:dyDescent="0.25">
      <c r="A486" t="s">
        <v>46</v>
      </c>
      <c r="B486" t="s">
        <v>14</v>
      </c>
      <c r="C486" t="s">
        <v>2</v>
      </c>
      <c r="D486" t="str">
        <f t="shared" si="43"/>
        <v>FAB1_Leche Clasica Deslactosada 1 L</v>
      </c>
      <c r="E486">
        <v>2024</v>
      </c>
      <c r="F486">
        <v>20</v>
      </c>
      <c r="G486">
        <f t="shared" si="44"/>
        <v>5</v>
      </c>
      <c r="H486" s="1">
        <f t="shared" si="45"/>
        <v>45425</v>
      </c>
      <c r="I486" s="1">
        <f t="shared" si="46"/>
        <v>45413</v>
      </c>
      <c r="J486">
        <v>1954259.7099999993</v>
      </c>
      <c r="K486">
        <v>94188</v>
      </c>
      <c r="L486">
        <f t="shared" si="42"/>
        <v>20.748499915063483</v>
      </c>
      <c r="M486">
        <v>7849</v>
      </c>
      <c r="N486" s="2">
        <f t="shared" si="47"/>
        <v>248.98199898076177</v>
      </c>
      <c r="O486">
        <v>12</v>
      </c>
    </row>
    <row r="487" spans="1:15" x14ac:dyDescent="0.25">
      <c r="A487" t="s">
        <v>46</v>
      </c>
      <c r="B487" t="s">
        <v>14</v>
      </c>
      <c r="C487" t="s">
        <v>2</v>
      </c>
      <c r="D487" t="str">
        <f t="shared" si="43"/>
        <v>FAB1_Leche Clasica Deslactosada 1 L</v>
      </c>
      <c r="E487">
        <v>2024</v>
      </c>
      <c r="F487">
        <v>21</v>
      </c>
      <c r="G487">
        <f t="shared" si="44"/>
        <v>5</v>
      </c>
      <c r="H487" s="1">
        <f t="shared" si="45"/>
        <v>45432</v>
      </c>
      <c r="I487" s="1">
        <f t="shared" si="46"/>
        <v>45413</v>
      </c>
      <c r="J487">
        <v>1164017.0100000002</v>
      </c>
      <c r="K487">
        <v>54828</v>
      </c>
      <c r="L487">
        <f t="shared" si="42"/>
        <v>21.23033869555702</v>
      </c>
      <c r="M487">
        <v>4569</v>
      </c>
      <c r="N487" s="2">
        <f t="shared" si="47"/>
        <v>254.76406434668422</v>
      </c>
      <c r="O487">
        <v>12</v>
      </c>
    </row>
    <row r="488" spans="1:15" x14ac:dyDescent="0.25">
      <c r="A488" t="s">
        <v>46</v>
      </c>
      <c r="B488" t="s">
        <v>14</v>
      </c>
      <c r="C488" t="s">
        <v>2</v>
      </c>
      <c r="D488" t="str">
        <f t="shared" si="43"/>
        <v>FAB1_Leche Clasica Deslactosada 1 L</v>
      </c>
      <c r="E488">
        <v>2024</v>
      </c>
      <c r="F488">
        <v>22</v>
      </c>
      <c r="G488">
        <f t="shared" si="44"/>
        <v>5</v>
      </c>
      <c r="H488" s="1">
        <f t="shared" si="45"/>
        <v>45439</v>
      </c>
      <c r="I488" s="1">
        <f t="shared" si="46"/>
        <v>45413</v>
      </c>
      <c r="J488">
        <v>1128954.79</v>
      </c>
      <c r="K488">
        <v>51492</v>
      </c>
      <c r="L488">
        <f t="shared" si="42"/>
        <v>21.924858036199797</v>
      </c>
      <c r="M488">
        <v>4291</v>
      </c>
      <c r="N488" s="2">
        <f t="shared" si="47"/>
        <v>263.09829643439758</v>
      </c>
      <c r="O488">
        <v>12</v>
      </c>
    </row>
    <row r="489" spans="1:15" x14ac:dyDescent="0.25">
      <c r="A489" t="s">
        <v>46</v>
      </c>
      <c r="B489" t="s">
        <v>14</v>
      </c>
      <c r="C489" t="s">
        <v>2</v>
      </c>
      <c r="D489" t="str">
        <f t="shared" si="43"/>
        <v>FAB1_Leche Clasica Deslactosada 1 L</v>
      </c>
      <c r="E489">
        <v>2024</v>
      </c>
      <c r="F489">
        <v>23</v>
      </c>
      <c r="G489">
        <f t="shared" si="44"/>
        <v>6</v>
      </c>
      <c r="H489" s="1">
        <f t="shared" si="45"/>
        <v>45446</v>
      </c>
      <c r="I489" s="1">
        <f t="shared" si="46"/>
        <v>45444</v>
      </c>
      <c r="J489">
        <v>1302675.7799999996</v>
      </c>
      <c r="K489">
        <v>59064</v>
      </c>
      <c r="L489">
        <f t="shared" si="42"/>
        <v>22.055326086956516</v>
      </c>
      <c r="M489">
        <v>4922</v>
      </c>
      <c r="N489" s="2">
        <f t="shared" si="47"/>
        <v>264.66391304347815</v>
      </c>
      <c r="O489">
        <v>12</v>
      </c>
    </row>
    <row r="490" spans="1:15" x14ac:dyDescent="0.25">
      <c r="A490" t="s">
        <v>46</v>
      </c>
      <c r="B490" t="s">
        <v>14</v>
      </c>
      <c r="C490" t="s">
        <v>2</v>
      </c>
      <c r="D490" t="str">
        <f t="shared" si="43"/>
        <v>FAB1_Leche Clasica Deslactosada 1 L</v>
      </c>
      <c r="E490">
        <v>2024</v>
      </c>
      <c r="F490">
        <v>24</v>
      </c>
      <c r="G490">
        <f t="shared" si="44"/>
        <v>6</v>
      </c>
      <c r="H490" s="1">
        <f t="shared" si="45"/>
        <v>45453</v>
      </c>
      <c r="I490" s="1">
        <f t="shared" si="46"/>
        <v>45444</v>
      </c>
      <c r="J490">
        <v>1864520.5699999984</v>
      </c>
      <c r="K490">
        <v>90972</v>
      </c>
      <c r="L490">
        <f t="shared" si="42"/>
        <v>20.495543353999015</v>
      </c>
      <c r="M490">
        <v>7581</v>
      </c>
      <c r="N490" s="2">
        <f t="shared" si="47"/>
        <v>245.94652024798819</v>
      </c>
      <c r="O490">
        <v>12</v>
      </c>
    </row>
    <row r="491" spans="1:15" x14ac:dyDescent="0.25">
      <c r="A491" t="s">
        <v>46</v>
      </c>
      <c r="B491" t="s">
        <v>14</v>
      </c>
      <c r="C491" t="s">
        <v>2</v>
      </c>
      <c r="D491" t="str">
        <f t="shared" si="43"/>
        <v>FAB1_Leche Clasica Deslactosada 1 L</v>
      </c>
      <c r="E491">
        <v>2024</v>
      </c>
      <c r="F491">
        <v>25</v>
      </c>
      <c r="G491">
        <f t="shared" si="44"/>
        <v>6</v>
      </c>
      <c r="H491" s="1">
        <f t="shared" si="45"/>
        <v>45460</v>
      </c>
      <c r="I491" s="1">
        <f t="shared" si="46"/>
        <v>45444</v>
      </c>
      <c r="J491">
        <v>1400713.6399999987</v>
      </c>
      <c r="K491">
        <v>66912</v>
      </c>
      <c r="L491">
        <f t="shared" si="42"/>
        <v>20.933668699186974</v>
      </c>
      <c r="M491">
        <v>5576</v>
      </c>
      <c r="N491" s="2">
        <f t="shared" si="47"/>
        <v>251.20402439024369</v>
      </c>
      <c r="O491">
        <v>12</v>
      </c>
    </row>
    <row r="492" spans="1:15" x14ac:dyDescent="0.25">
      <c r="A492" t="s">
        <v>46</v>
      </c>
      <c r="B492" t="s">
        <v>14</v>
      </c>
      <c r="C492" t="s">
        <v>2</v>
      </c>
      <c r="D492" t="str">
        <f t="shared" si="43"/>
        <v>FAB1_Leche Clasica Deslactosada 1 L</v>
      </c>
      <c r="E492">
        <v>2024</v>
      </c>
      <c r="F492">
        <v>26</v>
      </c>
      <c r="G492">
        <f t="shared" si="44"/>
        <v>6</v>
      </c>
      <c r="H492" s="1">
        <f t="shared" si="45"/>
        <v>45467</v>
      </c>
      <c r="I492" s="1">
        <f t="shared" si="46"/>
        <v>45444</v>
      </c>
      <c r="J492">
        <v>1267285.2699999998</v>
      </c>
      <c r="K492">
        <v>61284</v>
      </c>
      <c r="L492">
        <f t="shared" si="42"/>
        <v>20.678892859473923</v>
      </c>
      <c r="M492">
        <v>5107</v>
      </c>
      <c r="N492" s="2">
        <f t="shared" si="47"/>
        <v>248.14671431368706</v>
      </c>
      <c r="O492">
        <v>12</v>
      </c>
    </row>
    <row r="493" spans="1:15" x14ac:dyDescent="0.25">
      <c r="A493" t="s">
        <v>46</v>
      </c>
      <c r="B493" t="s">
        <v>14</v>
      </c>
      <c r="C493" t="s">
        <v>2</v>
      </c>
      <c r="D493" t="str">
        <f t="shared" si="43"/>
        <v>FAB1_Leche Clasica Deslactosada 1 L</v>
      </c>
      <c r="E493">
        <v>2024</v>
      </c>
      <c r="F493">
        <v>27</v>
      </c>
      <c r="G493">
        <f t="shared" si="44"/>
        <v>7</v>
      </c>
      <c r="H493" s="1">
        <f t="shared" si="45"/>
        <v>45474</v>
      </c>
      <c r="I493" s="1">
        <f t="shared" si="46"/>
        <v>45474</v>
      </c>
      <c r="J493">
        <v>1941017.7399999981</v>
      </c>
      <c r="K493">
        <v>94092</v>
      </c>
      <c r="L493">
        <f t="shared" si="42"/>
        <v>20.628934872252668</v>
      </c>
      <c r="M493">
        <v>7841</v>
      </c>
      <c r="N493" s="2">
        <f t="shared" si="47"/>
        <v>247.54721846703202</v>
      </c>
      <c r="O493">
        <v>12</v>
      </c>
    </row>
    <row r="494" spans="1:15" x14ac:dyDescent="0.25">
      <c r="A494" t="s">
        <v>46</v>
      </c>
      <c r="B494" t="s">
        <v>14</v>
      </c>
      <c r="C494" t="s">
        <v>2</v>
      </c>
      <c r="D494" t="str">
        <f t="shared" si="43"/>
        <v>FAB1_Leche Clasica Deslactosada 1 L</v>
      </c>
      <c r="E494">
        <v>2024</v>
      </c>
      <c r="F494">
        <v>28</v>
      </c>
      <c r="G494">
        <f t="shared" si="44"/>
        <v>7</v>
      </c>
      <c r="H494" s="1">
        <f t="shared" si="45"/>
        <v>45481</v>
      </c>
      <c r="I494" s="1">
        <f t="shared" si="46"/>
        <v>45474</v>
      </c>
      <c r="J494">
        <v>1716670.4900000005</v>
      </c>
      <c r="K494">
        <v>84012</v>
      </c>
      <c r="L494">
        <f t="shared" si="42"/>
        <v>20.43363436175785</v>
      </c>
      <c r="M494">
        <v>7001</v>
      </c>
      <c r="N494" s="2">
        <f t="shared" si="47"/>
        <v>245.20361234109419</v>
      </c>
      <c r="O494">
        <v>12</v>
      </c>
    </row>
    <row r="495" spans="1:15" x14ac:dyDescent="0.25">
      <c r="A495" t="s">
        <v>46</v>
      </c>
      <c r="B495" t="s">
        <v>14</v>
      </c>
      <c r="C495" t="s">
        <v>2</v>
      </c>
      <c r="D495" t="str">
        <f t="shared" si="43"/>
        <v>FAB1_Leche Clasica Deslactosada 1 L</v>
      </c>
      <c r="E495">
        <v>2024</v>
      </c>
      <c r="F495">
        <v>29</v>
      </c>
      <c r="G495">
        <f t="shared" si="44"/>
        <v>7</v>
      </c>
      <c r="H495" s="1">
        <f t="shared" si="45"/>
        <v>45488</v>
      </c>
      <c r="I495" s="1">
        <f t="shared" si="46"/>
        <v>45474</v>
      </c>
      <c r="J495">
        <v>2036416.4900000009</v>
      </c>
      <c r="K495">
        <v>99132</v>
      </c>
      <c r="L495">
        <f t="shared" si="42"/>
        <v>20.542473570592755</v>
      </c>
      <c r="M495">
        <v>8261</v>
      </c>
      <c r="N495" s="2">
        <f t="shared" si="47"/>
        <v>246.50968284711306</v>
      </c>
      <c r="O495">
        <v>12</v>
      </c>
    </row>
    <row r="496" spans="1:15" x14ac:dyDescent="0.25">
      <c r="A496" t="s">
        <v>46</v>
      </c>
      <c r="B496" t="s">
        <v>14</v>
      </c>
      <c r="C496" t="s">
        <v>2</v>
      </c>
      <c r="D496" t="str">
        <f t="shared" si="43"/>
        <v>FAB1_Leche Clasica Deslactosada 1 L</v>
      </c>
      <c r="E496">
        <v>2024</v>
      </c>
      <c r="F496">
        <v>30</v>
      </c>
      <c r="G496">
        <f t="shared" si="44"/>
        <v>7</v>
      </c>
      <c r="H496" s="1">
        <f t="shared" si="45"/>
        <v>45495</v>
      </c>
      <c r="I496" s="1">
        <f t="shared" si="46"/>
        <v>45474</v>
      </c>
      <c r="J496">
        <v>2138401.4900000002</v>
      </c>
      <c r="K496">
        <v>106632</v>
      </c>
      <c r="L496">
        <f t="shared" si="42"/>
        <v>20.054031528996926</v>
      </c>
      <c r="M496">
        <v>8886</v>
      </c>
      <c r="N496" s="2">
        <f t="shared" si="47"/>
        <v>240.6483783479631</v>
      </c>
      <c r="O496">
        <v>12</v>
      </c>
    </row>
    <row r="497" spans="1:15" x14ac:dyDescent="0.25">
      <c r="A497" t="s">
        <v>46</v>
      </c>
      <c r="B497" t="s">
        <v>14</v>
      </c>
      <c r="C497" t="s">
        <v>2</v>
      </c>
      <c r="D497" t="str">
        <f t="shared" si="43"/>
        <v>FAB1_Leche Clasica Deslactosada 1 L</v>
      </c>
      <c r="E497">
        <v>2024</v>
      </c>
      <c r="F497">
        <v>31</v>
      </c>
      <c r="G497">
        <f t="shared" si="44"/>
        <v>8</v>
      </c>
      <c r="H497" s="1">
        <f t="shared" si="45"/>
        <v>45502</v>
      </c>
      <c r="I497" s="1">
        <f t="shared" si="46"/>
        <v>45505</v>
      </c>
      <c r="J497">
        <v>1745634.9199999997</v>
      </c>
      <c r="K497">
        <v>84624</v>
      </c>
      <c r="L497">
        <f t="shared" si="42"/>
        <v>20.628130553979954</v>
      </c>
      <c r="M497">
        <v>7052</v>
      </c>
      <c r="N497" s="2">
        <f t="shared" si="47"/>
        <v>247.53756664775946</v>
      </c>
      <c r="O497">
        <v>12</v>
      </c>
    </row>
    <row r="498" spans="1:15" x14ac:dyDescent="0.25">
      <c r="A498" t="s">
        <v>46</v>
      </c>
      <c r="B498" t="s">
        <v>14</v>
      </c>
      <c r="C498" t="s">
        <v>2</v>
      </c>
      <c r="D498" t="str">
        <f t="shared" si="43"/>
        <v>FAB1_Leche Clasica Deslactosada 1 L</v>
      </c>
      <c r="E498">
        <v>2024</v>
      </c>
      <c r="F498">
        <v>32</v>
      </c>
      <c r="G498">
        <f t="shared" si="44"/>
        <v>8</v>
      </c>
      <c r="H498" s="1">
        <f t="shared" si="45"/>
        <v>45509</v>
      </c>
      <c r="I498" s="1">
        <f t="shared" si="46"/>
        <v>45505</v>
      </c>
      <c r="J498">
        <v>1545201.51</v>
      </c>
      <c r="K498">
        <v>71616</v>
      </c>
      <c r="L498">
        <f t="shared" si="42"/>
        <v>21.576205177613939</v>
      </c>
      <c r="M498">
        <v>5968</v>
      </c>
      <c r="N498" s="2">
        <f t="shared" si="47"/>
        <v>258.91446213136732</v>
      </c>
      <c r="O498">
        <v>12</v>
      </c>
    </row>
    <row r="499" spans="1:15" x14ac:dyDescent="0.25">
      <c r="A499" t="s">
        <v>46</v>
      </c>
      <c r="B499" t="s">
        <v>14</v>
      </c>
      <c r="C499" t="s">
        <v>2</v>
      </c>
      <c r="D499" t="str">
        <f t="shared" si="43"/>
        <v>FAB1_Leche Clasica Deslactosada 1 L</v>
      </c>
      <c r="E499">
        <v>2024</v>
      </c>
      <c r="F499">
        <v>33</v>
      </c>
      <c r="G499">
        <f t="shared" si="44"/>
        <v>8</v>
      </c>
      <c r="H499" s="1">
        <f t="shared" si="45"/>
        <v>45516</v>
      </c>
      <c r="I499" s="1">
        <f t="shared" si="46"/>
        <v>45505</v>
      </c>
      <c r="J499">
        <v>2000181.8800000001</v>
      </c>
      <c r="K499">
        <v>97500</v>
      </c>
      <c r="L499">
        <f t="shared" si="42"/>
        <v>20.51468594871795</v>
      </c>
      <c r="M499">
        <v>8125</v>
      </c>
      <c r="N499" s="2">
        <f t="shared" si="47"/>
        <v>246.17623138461539</v>
      </c>
      <c r="O499">
        <v>12</v>
      </c>
    </row>
    <row r="500" spans="1:15" x14ac:dyDescent="0.25">
      <c r="A500" t="s">
        <v>46</v>
      </c>
      <c r="B500" t="s">
        <v>14</v>
      </c>
      <c r="C500" t="s">
        <v>2</v>
      </c>
      <c r="D500" t="str">
        <f t="shared" si="43"/>
        <v>FAB1_Leche Clasica Deslactosada 1 L</v>
      </c>
      <c r="E500">
        <v>2024</v>
      </c>
      <c r="F500">
        <v>34</v>
      </c>
      <c r="G500">
        <f t="shared" si="44"/>
        <v>8</v>
      </c>
      <c r="H500" s="1">
        <f t="shared" si="45"/>
        <v>45523</v>
      </c>
      <c r="I500" s="1">
        <f t="shared" si="46"/>
        <v>45505</v>
      </c>
      <c r="J500">
        <v>1670950.0700000008</v>
      </c>
      <c r="K500">
        <v>79440</v>
      </c>
      <c r="L500">
        <f t="shared" si="42"/>
        <v>21.034114677744221</v>
      </c>
      <c r="M500">
        <v>6620</v>
      </c>
      <c r="N500" s="2">
        <f t="shared" si="47"/>
        <v>252.40937613293062</v>
      </c>
      <c r="O500">
        <v>12</v>
      </c>
    </row>
    <row r="501" spans="1:15" x14ac:dyDescent="0.25">
      <c r="A501" t="s">
        <v>46</v>
      </c>
      <c r="B501" t="s">
        <v>14</v>
      </c>
      <c r="C501" t="s">
        <v>2</v>
      </c>
      <c r="D501" t="str">
        <f t="shared" si="43"/>
        <v>FAB1_Leche Clasica Deslactosada 1 L</v>
      </c>
      <c r="E501">
        <v>2024</v>
      </c>
      <c r="F501">
        <v>35</v>
      </c>
      <c r="G501">
        <f t="shared" si="44"/>
        <v>8</v>
      </c>
      <c r="H501" s="1">
        <f t="shared" si="45"/>
        <v>45530</v>
      </c>
      <c r="I501" s="1">
        <f t="shared" si="46"/>
        <v>45505</v>
      </c>
      <c r="J501">
        <v>1298525.4900000005</v>
      </c>
      <c r="K501">
        <v>59484</v>
      </c>
      <c r="L501">
        <f t="shared" si="42"/>
        <v>21.82982802098044</v>
      </c>
      <c r="M501">
        <v>4957</v>
      </c>
      <c r="N501" s="2">
        <f t="shared" si="47"/>
        <v>261.95793625176526</v>
      </c>
      <c r="O501">
        <v>12</v>
      </c>
    </row>
    <row r="502" spans="1:15" x14ac:dyDescent="0.25">
      <c r="A502" t="s">
        <v>46</v>
      </c>
      <c r="B502" t="s">
        <v>14</v>
      </c>
      <c r="C502" t="s">
        <v>2</v>
      </c>
      <c r="D502" t="str">
        <f t="shared" si="43"/>
        <v>FAB1_Leche Clasica Deslactosada 1 L</v>
      </c>
      <c r="E502">
        <v>2024</v>
      </c>
      <c r="F502">
        <v>36</v>
      </c>
      <c r="G502">
        <f t="shared" si="44"/>
        <v>9</v>
      </c>
      <c r="H502" s="1">
        <f t="shared" si="45"/>
        <v>45537</v>
      </c>
      <c r="I502" s="1">
        <f t="shared" si="46"/>
        <v>45536</v>
      </c>
      <c r="J502">
        <v>1705634.8399999996</v>
      </c>
      <c r="K502">
        <v>78096</v>
      </c>
      <c r="L502">
        <f t="shared" si="42"/>
        <v>21.84023304650686</v>
      </c>
      <c r="M502">
        <v>6508</v>
      </c>
      <c r="N502" s="2">
        <f t="shared" si="47"/>
        <v>262.08279655808229</v>
      </c>
      <c r="O502">
        <v>12</v>
      </c>
    </row>
    <row r="503" spans="1:15" x14ac:dyDescent="0.25">
      <c r="A503" t="s">
        <v>46</v>
      </c>
      <c r="B503" t="s">
        <v>14</v>
      </c>
      <c r="C503" t="s">
        <v>2</v>
      </c>
      <c r="D503" t="str">
        <f t="shared" si="43"/>
        <v>FAB1_Leche Clasica Deslactosada 1 L</v>
      </c>
      <c r="E503">
        <v>2024</v>
      </c>
      <c r="F503">
        <v>37</v>
      </c>
      <c r="G503">
        <f t="shared" si="44"/>
        <v>9</v>
      </c>
      <c r="H503" s="1">
        <f t="shared" si="45"/>
        <v>45544</v>
      </c>
      <c r="I503" s="1">
        <f t="shared" si="46"/>
        <v>45536</v>
      </c>
      <c r="J503">
        <v>2195014.9299999988</v>
      </c>
      <c r="K503">
        <v>105384</v>
      </c>
      <c r="L503">
        <f t="shared" si="42"/>
        <v>20.828730452440588</v>
      </c>
      <c r="M503">
        <v>8782</v>
      </c>
      <c r="N503" s="2">
        <f t="shared" si="47"/>
        <v>249.94476542928703</v>
      </c>
      <c r="O503">
        <v>12</v>
      </c>
    </row>
    <row r="504" spans="1:15" x14ac:dyDescent="0.25">
      <c r="A504" t="s">
        <v>46</v>
      </c>
      <c r="B504" t="s">
        <v>14</v>
      </c>
      <c r="C504" t="s">
        <v>2</v>
      </c>
      <c r="D504" t="str">
        <f t="shared" si="43"/>
        <v>FAB1_Leche Clasica Deslactosada 1 L</v>
      </c>
      <c r="E504">
        <v>2024</v>
      </c>
      <c r="F504">
        <v>38</v>
      </c>
      <c r="G504">
        <f t="shared" si="44"/>
        <v>9</v>
      </c>
      <c r="H504" s="1">
        <f t="shared" si="45"/>
        <v>45551</v>
      </c>
      <c r="I504" s="1">
        <f t="shared" si="46"/>
        <v>45536</v>
      </c>
      <c r="J504">
        <v>1267848.2199999993</v>
      </c>
      <c r="K504">
        <v>55752</v>
      </c>
      <c r="L504">
        <f t="shared" si="42"/>
        <v>22.740856292150941</v>
      </c>
      <c r="M504">
        <v>4646</v>
      </c>
      <c r="N504" s="2">
        <f t="shared" si="47"/>
        <v>272.8902755058113</v>
      </c>
      <c r="O504">
        <v>12</v>
      </c>
    </row>
    <row r="505" spans="1:15" x14ac:dyDescent="0.25">
      <c r="A505" t="s">
        <v>46</v>
      </c>
      <c r="B505" t="s">
        <v>14</v>
      </c>
      <c r="C505" t="s">
        <v>2</v>
      </c>
      <c r="D505" t="str">
        <f t="shared" si="43"/>
        <v>FAB1_Leche Clasica Deslactosada 1 L</v>
      </c>
      <c r="E505">
        <v>2024</v>
      </c>
      <c r="F505">
        <v>39</v>
      </c>
      <c r="G505">
        <f t="shared" si="44"/>
        <v>9</v>
      </c>
      <c r="H505" s="1">
        <f t="shared" si="45"/>
        <v>45558</v>
      </c>
      <c r="I505" s="1">
        <f t="shared" si="46"/>
        <v>45536</v>
      </c>
      <c r="J505">
        <v>1169263.3</v>
      </c>
      <c r="K505">
        <v>51924</v>
      </c>
      <c r="L505">
        <f t="shared" si="42"/>
        <v>22.518744703797861</v>
      </c>
      <c r="M505">
        <v>4327</v>
      </c>
      <c r="N505" s="2">
        <f t="shared" si="47"/>
        <v>270.22493644557431</v>
      </c>
      <c r="O505">
        <v>12</v>
      </c>
    </row>
    <row r="506" spans="1:15" x14ac:dyDescent="0.25">
      <c r="A506" t="s">
        <v>46</v>
      </c>
      <c r="B506" t="s">
        <v>14</v>
      </c>
      <c r="C506" t="s">
        <v>2</v>
      </c>
      <c r="D506" t="str">
        <f t="shared" si="43"/>
        <v>FAB1_Leche Clasica Deslactosada 1 L</v>
      </c>
      <c r="E506">
        <v>2024</v>
      </c>
      <c r="F506">
        <v>40</v>
      </c>
      <c r="G506">
        <f t="shared" si="44"/>
        <v>10</v>
      </c>
      <c r="H506" s="1">
        <f t="shared" si="45"/>
        <v>45565</v>
      </c>
      <c r="I506" s="1">
        <f t="shared" si="46"/>
        <v>45566</v>
      </c>
      <c r="J506">
        <v>1574427.6399999997</v>
      </c>
      <c r="K506">
        <v>69636</v>
      </c>
      <c r="L506">
        <f t="shared" si="42"/>
        <v>22.609392268366932</v>
      </c>
      <c r="M506">
        <v>5803</v>
      </c>
      <c r="N506" s="2">
        <f t="shared" si="47"/>
        <v>271.31270722040318</v>
      </c>
      <c r="O506">
        <v>12</v>
      </c>
    </row>
    <row r="507" spans="1:15" x14ac:dyDescent="0.25">
      <c r="A507" t="s">
        <v>46</v>
      </c>
      <c r="B507" t="s">
        <v>14</v>
      </c>
      <c r="C507" t="s">
        <v>2</v>
      </c>
      <c r="D507" t="str">
        <f t="shared" si="43"/>
        <v>FAB1_Leche Clasica Deslactosada 1 L</v>
      </c>
      <c r="E507">
        <v>2024</v>
      </c>
      <c r="F507">
        <v>41</v>
      </c>
      <c r="G507">
        <f t="shared" si="44"/>
        <v>10</v>
      </c>
      <c r="H507" s="1">
        <f t="shared" si="45"/>
        <v>45572</v>
      </c>
      <c r="I507" s="1">
        <f t="shared" si="46"/>
        <v>45566</v>
      </c>
      <c r="J507">
        <v>1338825.3399999994</v>
      </c>
      <c r="K507">
        <v>58968</v>
      </c>
      <c r="L507">
        <f t="shared" si="42"/>
        <v>22.704269095102418</v>
      </c>
      <c r="M507">
        <v>4914</v>
      </c>
      <c r="N507" s="2">
        <f t="shared" si="47"/>
        <v>272.45122914122902</v>
      </c>
      <c r="O507">
        <v>12</v>
      </c>
    </row>
    <row r="508" spans="1:15" x14ac:dyDescent="0.25">
      <c r="A508" t="s">
        <v>46</v>
      </c>
      <c r="B508" t="s">
        <v>14</v>
      </c>
      <c r="C508" t="s">
        <v>2</v>
      </c>
      <c r="D508" t="str">
        <f t="shared" si="43"/>
        <v>FAB1_Leche Clasica Deslactosada 1 L</v>
      </c>
      <c r="E508">
        <v>2024</v>
      </c>
      <c r="F508">
        <v>42</v>
      </c>
      <c r="G508">
        <f t="shared" si="44"/>
        <v>10</v>
      </c>
      <c r="H508" s="1">
        <f t="shared" si="45"/>
        <v>45579</v>
      </c>
      <c r="I508" s="1">
        <f t="shared" si="46"/>
        <v>45566</v>
      </c>
      <c r="J508">
        <v>2508846.100000002</v>
      </c>
      <c r="K508">
        <v>120156</v>
      </c>
      <c r="L508">
        <f t="shared" si="42"/>
        <v>20.879906954292768</v>
      </c>
      <c r="M508">
        <v>10013</v>
      </c>
      <c r="N508" s="2">
        <f t="shared" si="47"/>
        <v>250.55888345151322</v>
      </c>
      <c r="O508">
        <v>12</v>
      </c>
    </row>
    <row r="509" spans="1:15" x14ac:dyDescent="0.25">
      <c r="A509" t="s">
        <v>46</v>
      </c>
      <c r="B509" t="s">
        <v>14</v>
      </c>
      <c r="C509" t="s">
        <v>2</v>
      </c>
      <c r="D509" t="str">
        <f t="shared" si="43"/>
        <v>FAB1_Leche Clasica Deslactosada 1 L</v>
      </c>
      <c r="E509">
        <v>2024</v>
      </c>
      <c r="F509">
        <v>43</v>
      </c>
      <c r="G509">
        <f t="shared" si="44"/>
        <v>10</v>
      </c>
      <c r="H509" s="1">
        <f t="shared" si="45"/>
        <v>45586</v>
      </c>
      <c r="I509" s="1">
        <f t="shared" si="46"/>
        <v>45566</v>
      </c>
      <c r="J509">
        <v>1239618.5499999993</v>
      </c>
      <c r="K509">
        <v>55920</v>
      </c>
      <c r="L509">
        <f t="shared" si="42"/>
        <v>22.16771369814019</v>
      </c>
      <c r="M509">
        <v>4660</v>
      </c>
      <c r="N509" s="2">
        <f t="shared" si="47"/>
        <v>266.01256437768228</v>
      </c>
      <c r="O509">
        <v>12</v>
      </c>
    </row>
    <row r="510" spans="1:15" x14ac:dyDescent="0.25">
      <c r="A510" t="s">
        <v>46</v>
      </c>
      <c r="B510" t="s">
        <v>14</v>
      </c>
      <c r="C510" t="s">
        <v>2</v>
      </c>
      <c r="D510" t="str">
        <f t="shared" si="43"/>
        <v>FAB1_Leche Clasica Deslactosada 1 L</v>
      </c>
      <c r="E510">
        <v>2024</v>
      </c>
      <c r="F510">
        <v>44</v>
      </c>
      <c r="G510">
        <f t="shared" si="44"/>
        <v>10</v>
      </c>
      <c r="H510" s="1">
        <f t="shared" si="45"/>
        <v>45593</v>
      </c>
      <c r="I510" s="1">
        <f t="shared" si="46"/>
        <v>45566</v>
      </c>
      <c r="J510">
        <v>1451898.639999999</v>
      </c>
      <c r="K510">
        <v>66444</v>
      </c>
      <c r="L510">
        <f t="shared" si="42"/>
        <v>21.851463488050072</v>
      </c>
      <c r="M510">
        <v>5537</v>
      </c>
      <c r="N510" s="2">
        <f t="shared" si="47"/>
        <v>262.21756185660087</v>
      </c>
      <c r="O510">
        <v>12</v>
      </c>
    </row>
    <row r="511" spans="1:15" x14ac:dyDescent="0.25">
      <c r="A511" t="s">
        <v>46</v>
      </c>
      <c r="B511" t="s">
        <v>14</v>
      </c>
      <c r="C511" t="s">
        <v>2</v>
      </c>
      <c r="D511" t="str">
        <f t="shared" si="43"/>
        <v>FAB1_Leche Clasica Deslactosada 1 L</v>
      </c>
      <c r="E511">
        <v>2024</v>
      </c>
      <c r="F511">
        <v>45</v>
      </c>
      <c r="G511">
        <f t="shared" si="44"/>
        <v>11</v>
      </c>
      <c r="H511" s="1">
        <f t="shared" si="45"/>
        <v>45600</v>
      </c>
      <c r="I511" s="1">
        <f t="shared" si="46"/>
        <v>45597</v>
      </c>
      <c r="J511">
        <v>1498519.7299999988</v>
      </c>
      <c r="K511">
        <v>69420</v>
      </c>
      <c r="L511">
        <f t="shared" si="42"/>
        <v>21.58628248343415</v>
      </c>
      <c r="M511">
        <v>5785</v>
      </c>
      <c r="N511" s="2">
        <f t="shared" si="47"/>
        <v>259.03538980120982</v>
      </c>
      <c r="O511">
        <v>12</v>
      </c>
    </row>
    <row r="512" spans="1:15" x14ac:dyDescent="0.25">
      <c r="A512" t="s">
        <v>46</v>
      </c>
      <c r="B512" t="s">
        <v>14</v>
      </c>
      <c r="C512" t="s">
        <v>2</v>
      </c>
      <c r="D512" t="str">
        <f t="shared" si="43"/>
        <v>FAB1_Leche Clasica Deslactosada 1 L</v>
      </c>
      <c r="E512">
        <v>2024</v>
      </c>
      <c r="F512">
        <v>46</v>
      </c>
      <c r="G512">
        <f t="shared" si="44"/>
        <v>11</v>
      </c>
      <c r="H512" s="1">
        <f t="shared" si="45"/>
        <v>45607</v>
      </c>
      <c r="I512" s="1">
        <f t="shared" si="46"/>
        <v>45597</v>
      </c>
      <c r="J512">
        <v>1817283.3399999985</v>
      </c>
      <c r="K512">
        <v>83880</v>
      </c>
      <c r="L512">
        <f t="shared" si="42"/>
        <v>21.665275870290873</v>
      </c>
      <c r="M512">
        <v>6990</v>
      </c>
      <c r="N512" s="2">
        <f t="shared" si="47"/>
        <v>259.9833104434905</v>
      </c>
      <c r="O512">
        <v>12</v>
      </c>
    </row>
    <row r="513" spans="1:15" x14ac:dyDescent="0.25">
      <c r="A513" t="s">
        <v>46</v>
      </c>
      <c r="B513" t="s">
        <v>14</v>
      </c>
      <c r="C513" t="s">
        <v>2</v>
      </c>
      <c r="D513" t="str">
        <f t="shared" si="43"/>
        <v>FAB1_Leche Clasica Deslactosada 1 L</v>
      </c>
      <c r="E513">
        <v>2024</v>
      </c>
      <c r="F513">
        <v>47</v>
      </c>
      <c r="G513">
        <f t="shared" si="44"/>
        <v>11</v>
      </c>
      <c r="H513" s="1">
        <f t="shared" si="45"/>
        <v>45614</v>
      </c>
      <c r="I513" s="1">
        <f t="shared" si="46"/>
        <v>45597</v>
      </c>
      <c r="J513">
        <v>1804409.4399999995</v>
      </c>
      <c r="K513">
        <v>82248</v>
      </c>
      <c r="L513">
        <f t="shared" si="42"/>
        <v>21.938642155432344</v>
      </c>
      <c r="M513">
        <v>6854</v>
      </c>
      <c r="N513" s="2">
        <f t="shared" si="47"/>
        <v>263.26370586518811</v>
      </c>
      <c r="O513">
        <v>12</v>
      </c>
    </row>
    <row r="514" spans="1:15" x14ac:dyDescent="0.25">
      <c r="A514" t="s">
        <v>46</v>
      </c>
      <c r="B514" t="s">
        <v>14</v>
      </c>
      <c r="C514" t="s">
        <v>2</v>
      </c>
      <c r="D514" t="str">
        <f t="shared" si="43"/>
        <v>FAB1_Leche Clasica Deslactosada 1 L</v>
      </c>
      <c r="E514">
        <v>2024</v>
      </c>
      <c r="F514">
        <v>48</v>
      </c>
      <c r="G514">
        <f t="shared" si="44"/>
        <v>11</v>
      </c>
      <c r="H514" s="1">
        <f t="shared" si="45"/>
        <v>45621</v>
      </c>
      <c r="I514" s="1">
        <f t="shared" si="46"/>
        <v>45597</v>
      </c>
      <c r="J514">
        <v>1427147.3199999996</v>
      </c>
      <c r="K514">
        <v>66108</v>
      </c>
      <c r="L514">
        <f t="shared" ref="L514:L577" si="48">J514/K514</f>
        <v>21.58811823077388</v>
      </c>
      <c r="M514">
        <v>5509</v>
      </c>
      <c r="N514" s="2">
        <f t="shared" si="47"/>
        <v>259.05741876928653</v>
      </c>
      <c r="O514">
        <v>12</v>
      </c>
    </row>
    <row r="515" spans="1:15" x14ac:dyDescent="0.25">
      <c r="A515" t="s">
        <v>46</v>
      </c>
      <c r="B515" t="s">
        <v>14</v>
      </c>
      <c r="C515" t="s">
        <v>2</v>
      </c>
      <c r="D515" t="str">
        <f t="shared" ref="D515:D578" si="49">B515&amp;"_"&amp;C515</f>
        <v>FAB1_Leche Clasica Deslactosada 1 L</v>
      </c>
      <c r="E515">
        <v>2024</v>
      </c>
      <c r="F515">
        <v>49</v>
      </c>
      <c r="G515">
        <f t="shared" ref="G515:G578" si="50">MONTH(DATE(E515,1,4)+(F515-1)*7-WEEKDAY(DATE(E515,1,4),2)+4)</f>
        <v>12</v>
      </c>
      <c r="H515" s="1">
        <f t="shared" ref="H515:H578" si="51">DATE(E515,1,-2)-WEEKDAY(DATE(E515,1,3))+F515*7</f>
        <v>45628</v>
      </c>
      <c r="I515" s="1">
        <f t="shared" ref="I515:I578" si="52">DATE(E515,G515,1)</f>
        <v>45627</v>
      </c>
      <c r="J515">
        <v>1118698.6299999997</v>
      </c>
      <c r="K515">
        <v>50592</v>
      </c>
      <c r="L515">
        <f t="shared" si="48"/>
        <v>22.112164571473745</v>
      </c>
      <c r="M515">
        <v>4216</v>
      </c>
      <c r="N515" s="2">
        <f t="shared" ref="N515:N578" si="53">J515/M515</f>
        <v>265.34597485768495</v>
      </c>
      <c r="O515">
        <v>12</v>
      </c>
    </row>
    <row r="516" spans="1:15" x14ac:dyDescent="0.25">
      <c r="A516" t="s">
        <v>46</v>
      </c>
      <c r="B516" t="s">
        <v>14</v>
      </c>
      <c r="C516" t="s">
        <v>2</v>
      </c>
      <c r="D516" t="str">
        <f t="shared" si="49"/>
        <v>FAB1_Leche Clasica Deslactosada 1 L</v>
      </c>
      <c r="E516">
        <v>2024</v>
      </c>
      <c r="F516">
        <v>50</v>
      </c>
      <c r="G516">
        <f t="shared" si="50"/>
        <v>12</v>
      </c>
      <c r="H516" s="1">
        <f t="shared" si="51"/>
        <v>45635</v>
      </c>
      <c r="I516" s="1">
        <f t="shared" si="52"/>
        <v>45627</v>
      </c>
      <c r="J516">
        <v>1721447.4699999995</v>
      </c>
      <c r="K516">
        <v>78852</v>
      </c>
      <c r="L516">
        <f t="shared" si="48"/>
        <v>21.831373585958499</v>
      </c>
      <c r="M516">
        <v>6571</v>
      </c>
      <c r="N516" s="2">
        <f t="shared" si="53"/>
        <v>261.97648303150197</v>
      </c>
      <c r="O516">
        <v>12</v>
      </c>
    </row>
    <row r="517" spans="1:15" x14ac:dyDescent="0.25">
      <c r="A517" t="s">
        <v>46</v>
      </c>
      <c r="B517" t="s">
        <v>14</v>
      </c>
      <c r="C517" t="s">
        <v>2</v>
      </c>
      <c r="D517" t="str">
        <f t="shared" si="49"/>
        <v>FAB1_Leche Clasica Deslactosada 1 L</v>
      </c>
      <c r="E517">
        <v>2024</v>
      </c>
      <c r="F517">
        <v>51</v>
      </c>
      <c r="G517">
        <f t="shared" si="50"/>
        <v>12</v>
      </c>
      <c r="H517" s="1">
        <f t="shared" si="51"/>
        <v>45642</v>
      </c>
      <c r="I517" s="1">
        <f t="shared" si="52"/>
        <v>45627</v>
      </c>
      <c r="J517">
        <v>1362726.8099999996</v>
      </c>
      <c r="K517">
        <v>61056</v>
      </c>
      <c r="L517">
        <f t="shared" si="48"/>
        <v>22.319293926886786</v>
      </c>
      <c r="M517">
        <v>5088</v>
      </c>
      <c r="N517" s="2">
        <f t="shared" si="53"/>
        <v>267.83152712264143</v>
      </c>
      <c r="O517">
        <v>12</v>
      </c>
    </row>
    <row r="518" spans="1:15" x14ac:dyDescent="0.25">
      <c r="A518" t="s">
        <v>46</v>
      </c>
      <c r="B518" t="s">
        <v>14</v>
      </c>
      <c r="C518" t="s">
        <v>2</v>
      </c>
      <c r="D518" t="str">
        <f t="shared" si="49"/>
        <v>FAB1_Leche Clasica Deslactosada 1 L</v>
      </c>
      <c r="E518">
        <v>2024</v>
      </c>
      <c r="F518">
        <v>52</v>
      </c>
      <c r="G518">
        <f t="shared" si="50"/>
        <v>12</v>
      </c>
      <c r="H518" s="1">
        <f t="shared" si="51"/>
        <v>45649</v>
      </c>
      <c r="I518" s="1">
        <f t="shared" si="52"/>
        <v>45627</v>
      </c>
      <c r="J518">
        <v>1193804.1599999999</v>
      </c>
      <c r="K518">
        <v>54660</v>
      </c>
      <c r="L518">
        <f t="shared" si="48"/>
        <v>21.840544456641052</v>
      </c>
      <c r="M518">
        <v>4555</v>
      </c>
      <c r="N518" s="2">
        <f t="shared" si="53"/>
        <v>262.0865334796926</v>
      </c>
      <c r="O518">
        <v>12</v>
      </c>
    </row>
    <row r="519" spans="1:15" x14ac:dyDescent="0.25">
      <c r="A519" t="s">
        <v>46</v>
      </c>
      <c r="B519" t="s">
        <v>14</v>
      </c>
      <c r="C519" t="s">
        <v>2</v>
      </c>
      <c r="D519" t="str">
        <f t="shared" si="49"/>
        <v>FAB1_Leche Clasica Deslactosada 1 L</v>
      </c>
      <c r="E519">
        <v>2025</v>
      </c>
      <c r="F519">
        <v>1</v>
      </c>
      <c r="G519">
        <f t="shared" si="50"/>
        <v>1</v>
      </c>
      <c r="H519" s="1">
        <f t="shared" si="51"/>
        <v>45656</v>
      </c>
      <c r="I519" s="1">
        <f t="shared" si="52"/>
        <v>45658</v>
      </c>
      <c r="J519">
        <v>1824468.4699999981</v>
      </c>
      <c r="K519">
        <v>84936</v>
      </c>
      <c r="L519">
        <f t="shared" si="48"/>
        <v>21.480508500518013</v>
      </c>
      <c r="M519">
        <v>7078</v>
      </c>
      <c r="N519" s="2">
        <f t="shared" si="53"/>
        <v>257.76610200621616</v>
      </c>
      <c r="O519">
        <v>12</v>
      </c>
    </row>
    <row r="520" spans="1:15" x14ac:dyDescent="0.25">
      <c r="A520" t="s">
        <v>46</v>
      </c>
      <c r="B520" t="s">
        <v>14</v>
      </c>
      <c r="C520" t="s">
        <v>2</v>
      </c>
      <c r="D520" t="str">
        <f t="shared" si="49"/>
        <v>FAB1_Leche Clasica Deslactosada 1 L</v>
      </c>
      <c r="E520">
        <v>2025</v>
      </c>
      <c r="F520">
        <v>2</v>
      </c>
      <c r="G520">
        <f t="shared" si="50"/>
        <v>1</v>
      </c>
      <c r="H520" s="1">
        <f t="shared" si="51"/>
        <v>45663</v>
      </c>
      <c r="I520" s="1">
        <f t="shared" si="52"/>
        <v>45658</v>
      </c>
      <c r="J520">
        <v>1325902.2999999993</v>
      </c>
      <c r="K520">
        <v>59376</v>
      </c>
      <c r="L520">
        <f t="shared" si="48"/>
        <v>22.330610010778756</v>
      </c>
      <c r="M520">
        <v>4948</v>
      </c>
      <c r="N520" s="2">
        <f t="shared" si="53"/>
        <v>267.96732012934507</v>
      </c>
      <c r="O520">
        <v>12</v>
      </c>
    </row>
    <row r="521" spans="1:15" x14ac:dyDescent="0.25">
      <c r="A521" t="s">
        <v>46</v>
      </c>
      <c r="B521" t="s">
        <v>14</v>
      </c>
      <c r="C521" t="s">
        <v>2</v>
      </c>
      <c r="D521" t="str">
        <f t="shared" si="49"/>
        <v>FAB1_Leche Clasica Deslactosada 1 L</v>
      </c>
      <c r="E521">
        <v>2025</v>
      </c>
      <c r="F521">
        <v>3</v>
      </c>
      <c r="G521">
        <f t="shared" si="50"/>
        <v>1</v>
      </c>
      <c r="H521" s="1">
        <f t="shared" si="51"/>
        <v>45670</v>
      </c>
      <c r="I521" s="1">
        <f t="shared" si="52"/>
        <v>45658</v>
      </c>
      <c r="J521">
        <v>2371098.0400000024</v>
      </c>
      <c r="K521">
        <v>114600</v>
      </c>
      <c r="L521">
        <f t="shared" si="48"/>
        <v>20.690209773123929</v>
      </c>
      <c r="M521">
        <v>9550</v>
      </c>
      <c r="N521" s="2">
        <f t="shared" si="53"/>
        <v>248.28251727748716</v>
      </c>
      <c r="O521">
        <v>12</v>
      </c>
    </row>
    <row r="522" spans="1:15" x14ac:dyDescent="0.25">
      <c r="A522" t="s">
        <v>46</v>
      </c>
      <c r="B522" t="s">
        <v>14</v>
      </c>
      <c r="C522" t="s">
        <v>2</v>
      </c>
      <c r="D522" t="str">
        <f t="shared" si="49"/>
        <v>FAB1_Leche Clasica Deslactosada 1 L</v>
      </c>
      <c r="E522">
        <v>2025</v>
      </c>
      <c r="F522">
        <v>4</v>
      </c>
      <c r="G522">
        <f t="shared" si="50"/>
        <v>1</v>
      </c>
      <c r="H522" s="1">
        <f t="shared" si="51"/>
        <v>45677</v>
      </c>
      <c r="I522" s="1">
        <f t="shared" si="52"/>
        <v>45658</v>
      </c>
      <c r="J522">
        <v>1589641.7599999993</v>
      </c>
      <c r="K522">
        <v>72288</v>
      </c>
      <c r="L522">
        <f t="shared" si="48"/>
        <v>21.990396193005747</v>
      </c>
      <c r="M522">
        <v>6024</v>
      </c>
      <c r="N522" s="2">
        <f t="shared" si="53"/>
        <v>263.88475431606895</v>
      </c>
      <c r="O522">
        <v>12</v>
      </c>
    </row>
    <row r="523" spans="1:15" x14ac:dyDescent="0.25">
      <c r="A523" t="s">
        <v>46</v>
      </c>
      <c r="B523" t="s">
        <v>14</v>
      </c>
      <c r="C523" t="s">
        <v>2</v>
      </c>
      <c r="D523" t="str">
        <f t="shared" si="49"/>
        <v>FAB1_Leche Clasica Deslactosada 1 L</v>
      </c>
      <c r="E523">
        <v>2025</v>
      </c>
      <c r="F523">
        <v>5</v>
      </c>
      <c r="G523">
        <f t="shared" si="50"/>
        <v>1</v>
      </c>
      <c r="H523" s="1">
        <f t="shared" si="51"/>
        <v>45684</v>
      </c>
      <c r="I523" s="1">
        <f t="shared" si="52"/>
        <v>45658</v>
      </c>
      <c r="J523">
        <v>2285402.379999998</v>
      </c>
      <c r="K523">
        <v>105408</v>
      </c>
      <c r="L523">
        <f t="shared" si="48"/>
        <v>21.681488881299313</v>
      </c>
      <c r="M523">
        <v>8784</v>
      </c>
      <c r="N523" s="2">
        <f t="shared" si="53"/>
        <v>260.17786657559174</v>
      </c>
      <c r="O523">
        <v>12</v>
      </c>
    </row>
    <row r="524" spans="1:15" x14ac:dyDescent="0.25">
      <c r="A524" t="s">
        <v>46</v>
      </c>
      <c r="B524" t="s">
        <v>14</v>
      </c>
      <c r="C524" t="s">
        <v>2</v>
      </c>
      <c r="D524" t="str">
        <f t="shared" si="49"/>
        <v>FAB1_Leche Clasica Deslactosada 1 L</v>
      </c>
      <c r="E524">
        <v>2025</v>
      </c>
      <c r="F524">
        <v>6</v>
      </c>
      <c r="G524">
        <f t="shared" si="50"/>
        <v>2</v>
      </c>
      <c r="H524" s="1">
        <f t="shared" si="51"/>
        <v>45691</v>
      </c>
      <c r="I524" s="1">
        <f t="shared" si="52"/>
        <v>45689</v>
      </c>
      <c r="J524">
        <v>1323164.0199999991</v>
      </c>
      <c r="K524">
        <v>57636</v>
      </c>
      <c r="L524">
        <f t="shared" si="48"/>
        <v>22.95724928863903</v>
      </c>
      <c r="M524">
        <v>4803</v>
      </c>
      <c r="N524" s="2">
        <f t="shared" si="53"/>
        <v>275.48699146366835</v>
      </c>
      <c r="O524">
        <v>12</v>
      </c>
    </row>
    <row r="525" spans="1:15" x14ac:dyDescent="0.25">
      <c r="A525" t="s">
        <v>46</v>
      </c>
      <c r="B525" t="s">
        <v>14</v>
      </c>
      <c r="C525" t="s">
        <v>2</v>
      </c>
      <c r="D525" t="str">
        <f t="shared" si="49"/>
        <v>FAB1_Leche Clasica Deslactosada 1 L</v>
      </c>
      <c r="E525">
        <v>2025</v>
      </c>
      <c r="F525">
        <v>7</v>
      </c>
      <c r="G525">
        <f t="shared" si="50"/>
        <v>2</v>
      </c>
      <c r="H525" s="1">
        <f t="shared" si="51"/>
        <v>45698</v>
      </c>
      <c r="I525" s="1">
        <f t="shared" si="52"/>
        <v>45689</v>
      </c>
      <c r="J525">
        <v>2700242.7699999991</v>
      </c>
      <c r="K525">
        <v>128592</v>
      </c>
      <c r="L525">
        <f t="shared" si="48"/>
        <v>20.998528446559654</v>
      </c>
      <c r="M525">
        <v>10716</v>
      </c>
      <c r="N525" s="2">
        <f t="shared" si="53"/>
        <v>251.98234135871584</v>
      </c>
      <c r="O525">
        <v>12</v>
      </c>
    </row>
    <row r="526" spans="1:15" x14ac:dyDescent="0.25">
      <c r="A526" t="s">
        <v>46</v>
      </c>
      <c r="B526" t="s">
        <v>14</v>
      </c>
      <c r="C526" t="s">
        <v>2</v>
      </c>
      <c r="D526" t="str">
        <f t="shared" si="49"/>
        <v>FAB1_Leche Clasica Deslactosada 1 L</v>
      </c>
      <c r="E526">
        <v>2025</v>
      </c>
      <c r="F526">
        <v>8</v>
      </c>
      <c r="G526">
        <f t="shared" si="50"/>
        <v>2</v>
      </c>
      <c r="H526" s="1">
        <f t="shared" si="51"/>
        <v>45705</v>
      </c>
      <c r="I526" s="1">
        <f t="shared" si="52"/>
        <v>45689</v>
      </c>
      <c r="J526">
        <v>1555189.7199999997</v>
      </c>
      <c r="K526">
        <v>69900</v>
      </c>
      <c r="L526">
        <f t="shared" si="48"/>
        <v>22.248779971387695</v>
      </c>
      <c r="M526">
        <v>5825</v>
      </c>
      <c r="N526" s="2">
        <f t="shared" si="53"/>
        <v>266.98535965665229</v>
      </c>
      <c r="O526">
        <v>12</v>
      </c>
    </row>
    <row r="527" spans="1:15" x14ac:dyDescent="0.25">
      <c r="A527" t="s">
        <v>46</v>
      </c>
      <c r="B527" t="s">
        <v>14</v>
      </c>
      <c r="C527" t="s">
        <v>2</v>
      </c>
      <c r="D527" t="str">
        <f t="shared" si="49"/>
        <v>FAB1_Leche Clasica Deslactosada 1 L</v>
      </c>
      <c r="E527">
        <v>2025</v>
      </c>
      <c r="F527">
        <v>9</v>
      </c>
      <c r="G527">
        <f t="shared" si="50"/>
        <v>2</v>
      </c>
      <c r="H527" s="1">
        <f t="shared" si="51"/>
        <v>45712</v>
      </c>
      <c r="I527" s="1">
        <f t="shared" si="52"/>
        <v>45689</v>
      </c>
      <c r="J527">
        <v>1117549.1299999997</v>
      </c>
      <c r="K527">
        <v>47892</v>
      </c>
      <c r="L527">
        <f t="shared" si="48"/>
        <v>23.334776789442905</v>
      </c>
      <c r="M527">
        <v>3991</v>
      </c>
      <c r="N527" s="2">
        <f t="shared" si="53"/>
        <v>280.01732147331489</v>
      </c>
      <c r="O527">
        <v>12</v>
      </c>
    </row>
    <row r="528" spans="1:15" x14ac:dyDescent="0.25">
      <c r="A528" t="s">
        <v>46</v>
      </c>
      <c r="B528" t="s">
        <v>14</v>
      </c>
      <c r="C528" t="s">
        <v>2</v>
      </c>
      <c r="D528" t="str">
        <f t="shared" si="49"/>
        <v>FAB1_Leche Clasica Deslactosada 1 L</v>
      </c>
      <c r="E528">
        <v>2025</v>
      </c>
      <c r="F528">
        <v>10</v>
      </c>
      <c r="G528">
        <f t="shared" si="50"/>
        <v>3</v>
      </c>
      <c r="H528" s="1">
        <f t="shared" si="51"/>
        <v>45719</v>
      </c>
      <c r="I528" s="1">
        <f t="shared" si="52"/>
        <v>45717</v>
      </c>
      <c r="J528">
        <v>1711637.8099999991</v>
      </c>
      <c r="K528">
        <v>75432</v>
      </c>
      <c r="L528">
        <f t="shared" si="48"/>
        <v>22.691136520309673</v>
      </c>
      <c r="M528">
        <v>6286</v>
      </c>
      <c r="N528" s="2">
        <f t="shared" si="53"/>
        <v>272.29363824371603</v>
      </c>
      <c r="O528">
        <v>12</v>
      </c>
    </row>
    <row r="529" spans="1:15" x14ac:dyDescent="0.25">
      <c r="A529" t="s">
        <v>46</v>
      </c>
      <c r="B529" t="s">
        <v>14</v>
      </c>
      <c r="C529" t="s">
        <v>2</v>
      </c>
      <c r="D529" t="str">
        <f t="shared" si="49"/>
        <v>FAB1_Leche Clasica Deslactosada 1 L</v>
      </c>
      <c r="E529">
        <v>2025</v>
      </c>
      <c r="F529">
        <v>11</v>
      </c>
      <c r="G529">
        <f t="shared" si="50"/>
        <v>3</v>
      </c>
      <c r="H529" s="1">
        <f t="shared" si="51"/>
        <v>45726</v>
      </c>
      <c r="I529" s="1">
        <f t="shared" si="52"/>
        <v>45717</v>
      </c>
      <c r="J529">
        <v>1566569.2899999993</v>
      </c>
      <c r="K529">
        <v>71976</v>
      </c>
      <c r="L529">
        <f t="shared" si="48"/>
        <v>21.765161859508716</v>
      </c>
      <c r="M529">
        <v>5998</v>
      </c>
      <c r="N529" s="2">
        <f t="shared" si="53"/>
        <v>261.18194231410462</v>
      </c>
      <c r="O529">
        <v>12</v>
      </c>
    </row>
    <row r="530" spans="1:15" x14ac:dyDescent="0.25">
      <c r="A530" t="s">
        <v>46</v>
      </c>
      <c r="B530" t="s">
        <v>14</v>
      </c>
      <c r="C530" t="s">
        <v>2</v>
      </c>
      <c r="D530" t="str">
        <f t="shared" si="49"/>
        <v>FAB1_Leche Clasica Deslactosada 1 L</v>
      </c>
      <c r="E530">
        <v>2025</v>
      </c>
      <c r="F530">
        <v>12</v>
      </c>
      <c r="G530">
        <f t="shared" si="50"/>
        <v>3</v>
      </c>
      <c r="H530" s="1">
        <f t="shared" si="51"/>
        <v>45733</v>
      </c>
      <c r="I530" s="1">
        <f t="shared" si="52"/>
        <v>45717</v>
      </c>
      <c r="J530">
        <v>1600752.78</v>
      </c>
      <c r="K530">
        <v>72552</v>
      </c>
      <c r="L530">
        <f t="shared" si="48"/>
        <v>22.063523817399933</v>
      </c>
      <c r="M530">
        <v>6046</v>
      </c>
      <c r="N530" s="2">
        <f t="shared" si="53"/>
        <v>264.76228580879922</v>
      </c>
      <c r="O530">
        <v>12</v>
      </c>
    </row>
    <row r="531" spans="1:15" x14ac:dyDescent="0.25">
      <c r="A531" t="s">
        <v>46</v>
      </c>
      <c r="B531" t="s">
        <v>14</v>
      </c>
      <c r="C531" t="s">
        <v>2</v>
      </c>
      <c r="D531" t="str">
        <f t="shared" si="49"/>
        <v>FAB1_Leche Clasica Deslactosada 1 L</v>
      </c>
      <c r="E531">
        <v>2025</v>
      </c>
      <c r="F531">
        <v>13</v>
      </c>
      <c r="G531">
        <f t="shared" si="50"/>
        <v>3</v>
      </c>
      <c r="H531" s="1">
        <f t="shared" si="51"/>
        <v>45740</v>
      </c>
      <c r="I531" s="1">
        <f t="shared" si="52"/>
        <v>45717</v>
      </c>
      <c r="J531">
        <v>1477334.0799999989</v>
      </c>
      <c r="K531">
        <v>67356</v>
      </c>
      <c r="L531">
        <f t="shared" si="48"/>
        <v>21.933221687748663</v>
      </c>
      <c r="M531">
        <v>5613</v>
      </c>
      <c r="N531" s="2">
        <f t="shared" si="53"/>
        <v>263.19866025298393</v>
      </c>
      <c r="O531">
        <v>12</v>
      </c>
    </row>
    <row r="532" spans="1:15" x14ac:dyDescent="0.25">
      <c r="A532" t="s">
        <v>46</v>
      </c>
      <c r="B532" t="s">
        <v>14</v>
      </c>
      <c r="C532" t="s">
        <v>2</v>
      </c>
      <c r="D532" t="str">
        <f t="shared" si="49"/>
        <v>FAB1_Leche Clasica Deslactosada 1 L</v>
      </c>
      <c r="E532">
        <v>2025</v>
      </c>
      <c r="F532">
        <v>14</v>
      </c>
      <c r="G532">
        <f t="shared" si="50"/>
        <v>4</v>
      </c>
      <c r="H532" s="1">
        <f t="shared" si="51"/>
        <v>45747</v>
      </c>
      <c r="I532" s="1">
        <f t="shared" si="52"/>
        <v>45748</v>
      </c>
      <c r="J532">
        <v>1579471.9599999997</v>
      </c>
      <c r="K532">
        <v>69168</v>
      </c>
      <c r="L532">
        <f t="shared" si="48"/>
        <v>22.835298982188291</v>
      </c>
      <c r="M532">
        <v>5764</v>
      </c>
      <c r="N532" s="2">
        <f t="shared" si="53"/>
        <v>274.0235877862595</v>
      </c>
      <c r="O532">
        <v>12</v>
      </c>
    </row>
    <row r="533" spans="1:15" x14ac:dyDescent="0.25">
      <c r="A533" t="s">
        <v>46</v>
      </c>
      <c r="B533" t="s">
        <v>14</v>
      </c>
      <c r="C533" t="s">
        <v>2</v>
      </c>
      <c r="D533" t="str">
        <f t="shared" si="49"/>
        <v>FAB1_Leche Clasica Deslactosada 1 L</v>
      </c>
      <c r="E533">
        <v>2025</v>
      </c>
      <c r="F533">
        <v>15</v>
      </c>
      <c r="G533">
        <f t="shared" si="50"/>
        <v>4</v>
      </c>
      <c r="H533" s="1">
        <f t="shared" si="51"/>
        <v>45754</v>
      </c>
      <c r="I533" s="1">
        <f t="shared" si="52"/>
        <v>45748</v>
      </c>
      <c r="J533">
        <v>1107863.1699999995</v>
      </c>
      <c r="K533">
        <v>46812</v>
      </c>
      <c r="L533">
        <f t="shared" si="48"/>
        <v>23.666221695291792</v>
      </c>
      <c r="M533">
        <v>3901</v>
      </c>
      <c r="N533" s="2">
        <f t="shared" si="53"/>
        <v>283.99466034350155</v>
      </c>
      <c r="O533">
        <v>12</v>
      </c>
    </row>
    <row r="534" spans="1:15" x14ac:dyDescent="0.25">
      <c r="A534" t="s">
        <v>46</v>
      </c>
      <c r="B534" t="s">
        <v>14</v>
      </c>
      <c r="C534" t="s">
        <v>2</v>
      </c>
      <c r="D534" t="str">
        <f t="shared" si="49"/>
        <v>FAB1_Leche Clasica Deslactosada 1 L</v>
      </c>
      <c r="E534">
        <v>2025</v>
      </c>
      <c r="F534">
        <v>16</v>
      </c>
      <c r="G534">
        <f t="shared" si="50"/>
        <v>4</v>
      </c>
      <c r="H534" s="1">
        <f t="shared" si="51"/>
        <v>45761</v>
      </c>
      <c r="I534" s="1">
        <f t="shared" si="52"/>
        <v>45748</v>
      </c>
      <c r="J534">
        <v>1528410.4199999997</v>
      </c>
      <c r="K534">
        <v>65220</v>
      </c>
      <c r="L534">
        <f t="shared" si="48"/>
        <v>23.434689052437896</v>
      </c>
      <c r="M534">
        <v>5435</v>
      </c>
      <c r="N534" s="2">
        <f t="shared" si="53"/>
        <v>281.21626862925478</v>
      </c>
      <c r="O534">
        <v>12</v>
      </c>
    </row>
    <row r="535" spans="1:15" x14ac:dyDescent="0.25">
      <c r="A535" t="s">
        <v>46</v>
      </c>
      <c r="B535" t="s">
        <v>14</v>
      </c>
      <c r="C535" t="s">
        <v>2</v>
      </c>
      <c r="D535" t="str">
        <f t="shared" si="49"/>
        <v>FAB1_Leche Clasica Deslactosada 1 L</v>
      </c>
      <c r="E535">
        <v>2025</v>
      </c>
      <c r="F535">
        <v>17</v>
      </c>
      <c r="G535">
        <f t="shared" si="50"/>
        <v>4</v>
      </c>
      <c r="H535" s="1">
        <f t="shared" si="51"/>
        <v>45768</v>
      </c>
      <c r="I535" s="1">
        <f t="shared" si="52"/>
        <v>45748</v>
      </c>
      <c r="J535">
        <v>1289081.6200000001</v>
      </c>
      <c r="K535">
        <v>55788</v>
      </c>
      <c r="L535">
        <f t="shared" si="48"/>
        <v>23.106790349179036</v>
      </c>
      <c r="M535">
        <v>4649</v>
      </c>
      <c r="N535" s="2">
        <f t="shared" si="53"/>
        <v>277.28148419014843</v>
      </c>
      <c r="O535">
        <v>12</v>
      </c>
    </row>
    <row r="536" spans="1:15" x14ac:dyDescent="0.25">
      <c r="A536" t="s">
        <v>46</v>
      </c>
      <c r="B536" t="s">
        <v>14</v>
      </c>
      <c r="C536" t="s">
        <v>2</v>
      </c>
      <c r="D536" t="str">
        <f t="shared" si="49"/>
        <v>FAB1_Leche Clasica Deslactosada 1 L</v>
      </c>
      <c r="E536">
        <v>2025</v>
      </c>
      <c r="F536">
        <v>18</v>
      </c>
      <c r="G536">
        <f t="shared" si="50"/>
        <v>5</v>
      </c>
      <c r="H536" s="1">
        <f t="shared" si="51"/>
        <v>45775</v>
      </c>
      <c r="I536" s="1">
        <f t="shared" si="52"/>
        <v>45778</v>
      </c>
      <c r="J536">
        <v>2037162.2099999986</v>
      </c>
      <c r="K536">
        <v>93900</v>
      </c>
      <c r="L536">
        <f t="shared" si="48"/>
        <v>21.695018210862603</v>
      </c>
      <c r="M536">
        <v>7825</v>
      </c>
      <c r="N536" s="2">
        <f t="shared" si="53"/>
        <v>260.34021853035125</v>
      </c>
      <c r="O536">
        <v>12</v>
      </c>
    </row>
    <row r="537" spans="1:15" x14ac:dyDescent="0.25">
      <c r="A537" t="s">
        <v>46</v>
      </c>
      <c r="B537" t="s">
        <v>14</v>
      </c>
      <c r="C537" t="s">
        <v>2</v>
      </c>
      <c r="D537" t="str">
        <f t="shared" si="49"/>
        <v>FAB1_Leche Clasica Deslactosada 1 L</v>
      </c>
      <c r="E537">
        <v>2025</v>
      </c>
      <c r="F537">
        <v>19</v>
      </c>
      <c r="G537">
        <f t="shared" si="50"/>
        <v>5</v>
      </c>
      <c r="H537" s="1">
        <f t="shared" si="51"/>
        <v>45782</v>
      </c>
      <c r="I537" s="1">
        <f t="shared" si="52"/>
        <v>45778</v>
      </c>
      <c r="J537">
        <v>1896375.6399999992</v>
      </c>
      <c r="K537">
        <v>86352</v>
      </c>
      <c r="L537">
        <f t="shared" si="48"/>
        <v>21.96099268111913</v>
      </c>
      <c r="M537">
        <v>7196</v>
      </c>
      <c r="N537" s="2">
        <f t="shared" si="53"/>
        <v>263.53191217342959</v>
      </c>
      <c r="O537">
        <v>12</v>
      </c>
    </row>
    <row r="538" spans="1:15" x14ac:dyDescent="0.25">
      <c r="A538" t="s">
        <v>46</v>
      </c>
      <c r="B538" t="s">
        <v>14</v>
      </c>
      <c r="C538" t="s">
        <v>2</v>
      </c>
      <c r="D538" t="str">
        <f t="shared" si="49"/>
        <v>FAB1_Leche Clasica Deslactosada 1 L</v>
      </c>
      <c r="E538">
        <v>2025</v>
      </c>
      <c r="F538">
        <v>20</v>
      </c>
      <c r="G538">
        <f t="shared" si="50"/>
        <v>5</v>
      </c>
      <c r="H538" s="1">
        <f t="shared" si="51"/>
        <v>45789</v>
      </c>
      <c r="I538" s="1">
        <f t="shared" si="52"/>
        <v>45778</v>
      </c>
      <c r="J538">
        <v>1329467.1099999994</v>
      </c>
      <c r="K538">
        <v>59568</v>
      </c>
      <c r="L538">
        <f t="shared" si="48"/>
        <v>22.318478209777052</v>
      </c>
      <c r="M538">
        <v>4964</v>
      </c>
      <c r="N538" s="2">
        <f t="shared" si="53"/>
        <v>267.8217385173246</v>
      </c>
      <c r="O538">
        <v>12</v>
      </c>
    </row>
    <row r="539" spans="1:15" x14ac:dyDescent="0.25">
      <c r="A539" t="s">
        <v>46</v>
      </c>
      <c r="B539" t="s">
        <v>14</v>
      </c>
      <c r="C539" t="s">
        <v>2</v>
      </c>
      <c r="D539" t="str">
        <f t="shared" si="49"/>
        <v>FAB1_Leche Clasica Deslactosada 1 L</v>
      </c>
      <c r="E539">
        <v>2025</v>
      </c>
      <c r="F539">
        <v>21</v>
      </c>
      <c r="G539">
        <f t="shared" si="50"/>
        <v>5</v>
      </c>
      <c r="H539" s="1">
        <f t="shared" si="51"/>
        <v>45796</v>
      </c>
      <c r="I539" s="1">
        <f t="shared" si="52"/>
        <v>45778</v>
      </c>
      <c r="J539">
        <v>1353115.2199999993</v>
      </c>
      <c r="K539">
        <v>60828</v>
      </c>
      <c r="L539">
        <f t="shared" si="48"/>
        <v>22.244940159137226</v>
      </c>
      <c r="M539">
        <v>5069</v>
      </c>
      <c r="N539" s="2">
        <f t="shared" si="53"/>
        <v>266.93928190964675</v>
      </c>
      <c r="O539">
        <v>12</v>
      </c>
    </row>
    <row r="540" spans="1:15" x14ac:dyDescent="0.25">
      <c r="A540" t="s">
        <v>46</v>
      </c>
      <c r="B540" t="s">
        <v>14</v>
      </c>
      <c r="C540" t="s">
        <v>2</v>
      </c>
      <c r="D540" t="str">
        <f t="shared" si="49"/>
        <v>FAB1_Leche Clasica Deslactosada 1 L</v>
      </c>
      <c r="E540">
        <v>2025</v>
      </c>
      <c r="F540">
        <v>22</v>
      </c>
      <c r="G540">
        <f t="shared" si="50"/>
        <v>5</v>
      </c>
      <c r="H540" s="1">
        <f t="shared" si="51"/>
        <v>45803</v>
      </c>
      <c r="I540" s="1">
        <f t="shared" si="52"/>
        <v>45778</v>
      </c>
      <c r="J540">
        <v>1159790.2600000002</v>
      </c>
      <c r="K540">
        <v>50424</v>
      </c>
      <c r="L540">
        <f t="shared" si="48"/>
        <v>23.000758765667147</v>
      </c>
      <c r="M540">
        <v>4202</v>
      </c>
      <c r="N540" s="2">
        <f t="shared" si="53"/>
        <v>276.00910518800578</v>
      </c>
      <c r="O540">
        <v>12</v>
      </c>
    </row>
    <row r="541" spans="1:15" x14ac:dyDescent="0.25">
      <c r="A541" t="s">
        <v>46</v>
      </c>
      <c r="B541" t="s">
        <v>14</v>
      </c>
      <c r="C541" t="s">
        <v>2</v>
      </c>
      <c r="D541" t="str">
        <f t="shared" si="49"/>
        <v>FAB1_Leche Clasica Deslactosada 1 L</v>
      </c>
      <c r="E541">
        <v>2025</v>
      </c>
      <c r="F541">
        <v>23</v>
      </c>
      <c r="G541">
        <f t="shared" si="50"/>
        <v>6</v>
      </c>
      <c r="H541" s="1">
        <f t="shared" si="51"/>
        <v>45810</v>
      </c>
      <c r="I541" s="1">
        <f t="shared" si="52"/>
        <v>45809</v>
      </c>
      <c r="J541">
        <v>1569116.07</v>
      </c>
      <c r="K541">
        <v>66972</v>
      </c>
      <c r="L541">
        <f t="shared" si="48"/>
        <v>23.429434241175418</v>
      </c>
      <c r="M541">
        <v>5581</v>
      </c>
      <c r="N541" s="2">
        <f t="shared" si="53"/>
        <v>281.15321089410503</v>
      </c>
      <c r="O541">
        <v>12</v>
      </c>
    </row>
    <row r="542" spans="1:15" x14ac:dyDescent="0.25">
      <c r="A542" t="s">
        <v>46</v>
      </c>
      <c r="B542" t="s">
        <v>14</v>
      </c>
      <c r="C542" t="s">
        <v>2</v>
      </c>
      <c r="D542" t="str">
        <f t="shared" si="49"/>
        <v>FAB1_Leche Clasica Deslactosada 1 L</v>
      </c>
      <c r="E542">
        <v>2025</v>
      </c>
      <c r="F542">
        <v>24</v>
      </c>
      <c r="G542">
        <f t="shared" si="50"/>
        <v>6</v>
      </c>
      <c r="H542" s="1">
        <f t="shared" si="51"/>
        <v>45817</v>
      </c>
      <c r="I542" s="1">
        <f t="shared" si="52"/>
        <v>45809</v>
      </c>
      <c r="J542">
        <v>1372666.1800000004</v>
      </c>
      <c r="K542">
        <v>59520</v>
      </c>
      <c r="L542">
        <f t="shared" si="48"/>
        <v>23.06226780913979</v>
      </c>
      <c r="M542">
        <v>4960</v>
      </c>
      <c r="N542" s="2">
        <f t="shared" si="53"/>
        <v>276.74721370967751</v>
      </c>
      <c r="O542">
        <v>12</v>
      </c>
    </row>
    <row r="543" spans="1:15" x14ac:dyDescent="0.25">
      <c r="A543" t="s">
        <v>46</v>
      </c>
      <c r="B543" t="s">
        <v>14</v>
      </c>
      <c r="C543" t="s">
        <v>2</v>
      </c>
      <c r="D543" t="str">
        <f t="shared" si="49"/>
        <v>FAB1_Leche Clasica Deslactosada 1 L</v>
      </c>
      <c r="E543">
        <v>2025</v>
      </c>
      <c r="F543">
        <v>25</v>
      </c>
      <c r="G543">
        <f t="shared" si="50"/>
        <v>6</v>
      </c>
      <c r="H543" s="1">
        <f t="shared" si="51"/>
        <v>45824</v>
      </c>
      <c r="I543" s="1">
        <f t="shared" si="52"/>
        <v>45809</v>
      </c>
      <c r="J543">
        <v>1552405.8599999989</v>
      </c>
      <c r="K543">
        <v>71880</v>
      </c>
      <c r="L543">
        <f t="shared" si="48"/>
        <v>21.597187813021687</v>
      </c>
      <c r="M543">
        <v>5990</v>
      </c>
      <c r="N543" s="2">
        <f t="shared" si="53"/>
        <v>259.16625375626023</v>
      </c>
      <c r="O543">
        <v>12</v>
      </c>
    </row>
    <row r="544" spans="1:15" x14ac:dyDescent="0.25">
      <c r="A544" t="s">
        <v>46</v>
      </c>
      <c r="B544" t="s">
        <v>14</v>
      </c>
      <c r="C544" t="s">
        <v>2</v>
      </c>
      <c r="D544" t="str">
        <f t="shared" si="49"/>
        <v>FAB1_Leche Clasica Deslactosada 1 L</v>
      </c>
      <c r="E544">
        <v>2025</v>
      </c>
      <c r="F544">
        <v>26</v>
      </c>
      <c r="G544">
        <f t="shared" si="50"/>
        <v>6</v>
      </c>
      <c r="H544" s="1">
        <f t="shared" si="51"/>
        <v>45831</v>
      </c>
      <c r="I544" s="1">
        <f t="shared" si="52"/>
        <v>45809</v>
      </c>
      <c r="J544">
        <v>1365884.7600000002</v>
      </c>
      <c r="K544">
        <v>63204</v>
      </c>
      <c r="L544">
        <f t="shared" si="48"/>
        <v>21.610732865008547</v>
      </c>
      <c r="M544">
        <v>5267</v>
      </c>
      <c r="N544" s="2">
        <f t="shared" si="53"/>
        <v>259.32879438010258</v>
      </c>
      <c r="O544">
        <v>12</v>
      </c>
    </row>
    <row r="545" spans="1:15" x14ac:dyDescent="0.25">
      <c r="A545" t="s">
        <v>46</v>
      </c>
      <c r="B545" t="s">
        <v>14</v>
      </c>
      <c r="C545" t="s">
        <v>2</v>
      </c>
      <c r="D545" t="str">
        <f t="shared" si="49"/>
        <v>FAB1_Leche Clasica Deslactosada 1 L</v>
      </c>
      <c r="E545">
        <v>2025</v>
      </c>
      <c r="F545">
        <v>27</v>
      </c>
      <c r="G545">
        <f t="shared" si="50"/>
        <v>7</v>
      </c>
      <c r="H545" s="1">
        <f t="shared" si="51"/>
        <v>45838</v>
      </c>
      <c r="I545" s="1">
        <f t="shared" si="52"/>
        <v>45839</v>
      </c>
      <c r="J545">
        <v>1826237.4299999978</v>
      </c>
      <c r="K545">
        <v>84528</v>
      </c>
      <c r="L545">
        <f t="shared" si="48"/>
        <v>21.605118185689925</v>
      </c>
      <c r="M545">
        <v>7044</v>
      </c>
      <c r="N545" s="2">
        <f t="shared" si="53"/>
        <v>259.26141822827907</v>
      </c>
      <c r="O545">
        <v>12</v>
      </c>
    </row>
    <row r="546" spans="1:15" x14ac:dyDescent="0.25">
      <c r="A546" t="s">
        <v>46</v>
      </c>
      <c r="B546" t="s">
        <v>14</v>
      </c>
      <c r="C546" t="s">
        <v>2</v>
      </c>
      <c r="D546" t="str">
        <f t="shared" si="49"/>
        <v>FAB1_Leche Clasica Deslactosada 1 L</v>
      </c>
      <c r="E546">
        <v>2025</v>
      </c>
      <c r="F546">
        <v>28</v>
      </c>
      <c r="G546">
        <f t="shared" si="50"/>
        <v>7</v>
      </c>
      <c r="H546" s="1">
        <f t="shared" si="51"/>
        <v>45845</v>
      </c>
      <c r="I546" s="1">
        <f t="shared" si="52"/>
        <v>45839</v>
      </c>
      <c r="J546">
        <v>1792644.939999999</v>
      </c>
      <c r="K546">
        <v>83544</v>
      </c>
      <c r="L546">
        <f t="shared" si="48"/>
        <v>21.457494733314171</v>
      </c>
      <c r="M546">
        <v>6962</v>
      </c>
      <c r="N546" s="2">
        <f t="shared" si="53"/>
        <v>257.48993679977002</v>
      </c>
      <c r="O546">
        <v>12</v>
      </c>
    </row>
    <row r="547" spans="1:15" x14ac:dyDescent="0.25">
      <c r="A547" t="s">
        <v>46</v>
      </c>
      <c r="B547" t="s">
        <v>14</v>
      </c>
      <c r="C547" t="s">
        <v>2</v>
      </c>
      <c r="D547" t="str">
        <f t="shared" si="49"/>
        <v>FAB1_Leche Clasica Deslactosada 1 L</v>
      </c>
      <c r="E547">
        <v>2025</v>
      </c>
      <c r="F547">
        <v>29</v>
      </c>
      <c r="G547">
        <f t="shared" si="50"/>
        <v>7</v>
      </c>
      <c r="H547" s="1">
        <f t="shared" si="51"/>
        <v>45852</v>
      </c>
      <c r="I547" s="1">
        <f t="shared" si="52"/>
        <v>45839</v>
      </c>
      <c r="J547">
        <v>1803760.5399999996</v>
      </c>
      <c r="K547">
        <v>82476</v>
      </c>
      <c r="L547">
        <f t="shared" si="48"/>
        <v>21.870126339783688</v>
      </c>
      <c r="M547">
        <v>6873</v>
      </c>
      <c r="N547" s="2">
        <f t="shared" si="53"/>
        <v>262.44151607740429</v>
      </c>
      <c r="O547">
        <v>12</v>
      </c>
    </row>
    <row r="548" spans="1:15" x14ac:dyDescent="0.25">
      <c r="A548" t="s">
        <v>46</v>
      </c>
      <c r="B548" t="s">
        <v>14</v>
      </c>
      <c r="C548" t="s">
        <v>2</v>
      </c>
      <c r="D548" t="str">
        <f t="shared" si="49"/>
        <v>FAB1_Leche Clasica Deslactosada 1 L</v>
      </c>
      <c r="E548">
        <v>2025</v>
      </c>
      <c r="F548">
        <v>30</v>
      </c>
      <c r="G548">
        <f t="shared" si="50"/>
        <v>7</v>
      </c>
      <c r="H548" s="1">
        <f t="shared" si="51"/>
        <v>45859</v>
      </c>
      <c r="I548" s="1">
        <f t="shared" si="52"/>
        <v>45839</v>
      </c>
      <c r="J548">
        <v>1426636.0799999991</v>
      </c>
      <c r="K548">
        <v>63876</v>
      </c>
      <c r="L548">
        <f t="shared" si="48"/>
        <v>22.33446176967874</v>
      </c>
      <c r="M548">
        <v>5323</v>
      </c>
      <c r="N548" s="2">
        <f t="shared" si="53"/>
        <v>268.01354123614487</v>
      </c>
      <c r="O548">
        <v>12</v>
      </c>
    </row>
    <row r="549" spans="1:15" x14ac:dyDescent="0.25">
      <c r="A549" t="s">
        <v>46</v>
      </c>
      <c r="B549" t="s">
        <v>14</v>
      </c>
      <c r="C549" t="s">
        <v>2</v>
      </c>
      <c r="D549" t="str">
        <f t="shared" si="49"/>
        <v>FAB1_Leche Clasica Deslactosada 1 L</v>
      </c>
      <c r="E549">
        <v>2025</v>
      </c>
      <c r="F549">
        <v>31</v>
      </c>
      <c r="G549">
        <f t="shared" si="50"/>
        <v>7</v>
      </c>
      <c r="H549" s="1">
        <f t="shared" si="51"/>
        <v>45866</v>
      </c>
      <c r="I549" s="1">
        <f t="shared" si="52"/>
        <v>45839</v>
      </c>
      <c r="J549">
        <v>1911635.5799999996</v>
      </c>
      <c r="K549">
        <v>86616</v>
      </c>
      <c r="L549">
        <f t="shared" si="48"/>
        <v>22.070236215018006</v>
      </c>
      <c r="M549">
        <v>7218</v>
      </c>
      <c r="N549" s="2">
        <f t="shared" si="53"/>
        <v>264.84283458021605</v>
      </c>
      <c r="O549">
        <v>12</v>
      </c>
    </row>
    <row r="550" spans="1:15" x14ac:dyDescent="0.25">
      <c r="A550" t="s">
        <v>46</v>
      </c>
      <c r="B550" t="s">
        <v>14</v>
      </c>
      <c r="C550" t="s">
        <v>3</v>
      </c>
      <c r="D550" t="str">
        <f t="shared" si="49"/>
        <v>FAB1_Leche Clasica Deslactosada Light 1 L</v>
      </c>
      <c r="E550">
        <v>2022</v>
      </c>
      <c r="F550">
        <v>1</v>
      </c>
      <c r="G550">
        <f t="shared" si="50"/>
        <v>1</v>
      </c>
      <c r="H550" s="1">
        <f t="shared" si="51"/>
        <v>44564</v>
      </c>
      <c r="I550" s="1">
        <f t="shared" si="52"/>
        <v>44562</v>
      </c>
      <c r="J550">
        <v>873312.15</v>
      </c>
      <c r="K550">
        <v>45420</v>
      </c>
      <c r="L550">
        <f t="shared" si="48"/>
        <v>19.227480184940557</v>
      </c>
      <c r="M550">
        <v>3785</v>
      </c>
      <c r="N550" s="2">
        <f t="shared" si="53"/>
        <v>230.72976221928667</v>
      </c>
      <c r="O550">
        <v>12</v>
      </c>
    </row>
    <row r="551" spans="1:15" x14ac:dyDescent="0.25">
      <c r="A551" t="s">
        <v>46</v>
      </c>
      <c r="B551" t="s">
        <v>14</v>
      </c>
      <c r="C551" t="s">
        <v>3</v>
      </c>
      <c r="D551" t="str">
        <f t="shared" si="49"/>
        <v>FAB1_Leche Clasica Deslactosada Light 1 L</v>
      </c>
      <c r="E551">
        <v>2022</v>
      </c>
      <c r="F551">
        <v>2</v>
      </c>
      <c r="G551">
        <f t="shared" si="50"/>
        <v>1</v>
      </c>
      <c r="H551" s="1">
        <f t="shared" si="51"/>
        <v>44571</v>
      </c>
      <c r="I551" s="1">
        <f t="shared" si="52"/>
        <v>44562</v>
      </c>
      <c r="J551">
        <v>591463.57999999996</v>
      </c>
      <c r="K551">
        <v>30192</v>
      </c>
      <c r="L551">
        <f t="shared" si="48"/>
        <v>19.590076179120295</v>
      </c>
      <c r="M551">
        <v>2516</v>
      </c>
      <c r="N551" s="2">
        <f t="shared" si="53"/>
        <v>235.08091414944354</v>
      </c>
      <c r="O551">
        <v>12</v>
      </c>
    </row>
    <row r="552" spans="1:15" x14ac:dyDescent="0.25">
      <c r="A552" t="s">
        <v>46</v>
      </c>
      <c r="B552" t="s">
        <v>14</v>
      </c>
      <c r="C552" t="s">
        <v>3</v>
      </c>
      <c r="D552" t="str">
        <f t="shared" si="49"/>
        <v>FAB1_Leche Clasica Deslactosada Light 1 L</v>
      </c>
      <c r="E552">
        <v>2022</v>
      </c>
      <c r="F552">
        <v>3</v>
      </c>
      <c r="G552">
        <f t="shared" si="50"/>
        <v>1</v>
      </c>
      <c r="H552" s="1">
        <f t="shared" si="51"/>
        <v>44578</v>
      </c>
      <c r="I552" s="1">
        <f t="shared" si="52"/>
        <v>44562</v>
      </c>
      <c r="J552">
        <v>671016.79999999993</v>
      </c>
      <c r="K552">
        <v>34260</v>
      </c>
      <c r="L552">
        <f t="shared" si="48"/>
        <v>19.586012842965555</v>
      </c>
      <c r="M552">
        <v>2855</v>
      </c>
      <c r="N552" s="2">
        <f t="shared" si="53"/>
        <v>235.03215411558668</v>
      </c>
      <c r="O552">
        <v>12</v>
      </c>
    </row>
    <row r="553" spans="1:15" x14ac:dyDescent="0.25">
      <c r="A553" t="s">
        <v>46</v>
      </c>
      <c r="B553" t="s">
        <v>14</v>
      </c>
      <c r="C553" t="s">
        <v>3</v>
      </c>
      <c r="D553" t="str">
        <f t="shared" si="49"/>
        <v>FAB1_Leche Clasica Deslactosada Light 1 L</v>
      </c>
      <c r="E553">
        <v>2022</v>
      </c>
      <c r="F553">
        <v>4</v>
      </c>
      <c r="G553">
        <f t="shared" si="50"/>
        <v>1</v>
      </c>
      <c r="H553" s="1">
        <f t="shared" si="51"/>
        <v>44585</v>
      </c>
      <c r="I553" s="1">
        <f t="shared" si="52"/>
        <v>44562</v>
      </c>
      <c r="J553">
        <v>658986.94999999995</v>
      </c>
      <c r="K553">
        <v>33648</v>
      </c>
      <c r="L553">
        <f t="shared" si="48"/>
        <v>19.584728661436042</v>
      </c>
      <c r="M553">
        <v>2804</v>
      </c>
      <c r="N553" s="2">
        <f t="shared" si="53"/>
        <v>235.01674393723252</v>
      </c>
      <c r="O553">
        <v>12</v>
      </c>
    </row>
    <row r="554" spans="1:15" x14ac:dyDescent="0.25">
      <c r="A554" t="s">
        <v>46</v>
      </c>
      <c r="B554" t="s">
        <v>14</v>
      </c>
      <c r="C554" t="s">
        <v>3</v>
      </c>
      <c r="D554" t="str">
        <f t="shared" si="49"/>
        <v>FAB1_Leche Clasica Deslactosada Light 1 L</v>
      </c>
      <c r="E554">
        <v>2022</v>
      </c>
      <c r="F554">
        <v>5</v>
      </c>
      <c r="G554">
        <f t="shared" si="50"/>
        <v>2</v>
      </c>
      <c r="H554" s="1">
        <f t="shared" si="51"/>
        <v>44592</v>
      </c>
      <c r="I554" s="1">
        <f t="shared" si="52"/>
        <v>44593</v>
      </c>
      <c r="J554">
        <v>910481.00000000012</v>
      </c>
      <c r="K554">
        <v>47040</v>
      </c>
      <c r="L554">
        <f t="shared" si="48"/>
        <v>19.355463435374151</v>
      </c>
      <c r="M554">
        <v>3920</v>
      </c>
      <c r="N554" s="2">
        <f t="shared" si="53"/>
        <v>232.26556122448983</v>
      </c>
      <c r="O554">
        <v>12</v>
      </c>
    </row>
    <row r="555" spans="1:15" x14ac:dyDescent="0.25">
      <c r="A555" t="s">
        <v>46</v>
      </c>
      <c r="B555" t="s">
        <v>14</v>
      </c>
      <c r="C555" t="s">
        <v>3</v>
      </c>
      <c r="D555" t="str">
        <f t="shared" si="49"/>
        <v>FAB1_Leche Clasica Deslactosada Light 1 L</v>
      </c>
      <c r="E555">
        <v>2022</v>
      </c>
      <c r="F555">
        <v>6</v>
      </c>
      <c r="G555">
        <f t="shared" si="50"/>
        <v>2</v>
      </c>
      <c r="H555" s="1">
        <f t="shared" si="51"/>
        <v>44599</v>
      </c>
      <c r="I555" s="1">
        <f t="shared" si="52"/>
        <v>44593</v>
      </c>
      <c r="J555">
        <v>1268213.8899999999</v>
      </c>
      <c r="K555">
        <v>67968</v>
      </c>
      <c r="L555">
        <f t="shared" si="48"/>
        <v>18.658984963512239</v>
      </c>
      <c r="M555">
        <v>5664</v>
      </c>
      <c r="N555" s="2">
        <f t="shared" si="53"/>
        <v>223.90781956214687</v>
      </c>
      <c r="O555">
        <v>12</v>
      </c>
    </row>
    <row r="556" spans="1:15" x14ac:dyDescent="0.25">
      <c r="A556" t="s">
        <v>46</v>
      </c>
      <c r="B556" t="s">
        <v>14</v>
      </c>
      <c r="C556" t="s">
        <v>3</v>
      </c>
      <c r="D556" t="str">
        <f t="shared" si="49"/>
        <v>FAB1_Leche Clasica Deslactosada Light 1 L</v>
      </c>
      <c r="E556">
        <v>2022</v>
      </c>
      <c r="F556">
        <v>7</v>
      </c>
      <c r="G556">
        <f t="shared" si="50"/>
        <v>2</v>
      </c>
      <c r="H556" s="1">
        <f t="shared" si="51"/>
        <v>44606</v>
      </c>
      <c r="I556" s="1">
        <f t="shared" si="52"/>
        <v>44593</v>
      </c>
      <c r="J556">
        <v>2267269.7299999991</v>
      </c>
      <c r="K556">
        <v>122472</v>
      </c>
      <c r="L556">
        <f t="shared" si="48"/>
        <v>18.512555767848969</v>
      </c>
      <c r="M556">
        <v>10206</v>
      </c>
      <c r="N556" s="2">
        <f t="shared" si="53"/>
        <v>222.15066921418764</v>
      </c>
      <c r="O556">
        <v>12</v>
      </c>
    </row>
    <row r="557" spans="1:15" x14ac:dyDescent="0.25">
      <c r="A557" t="s">
        <v>46</v>
      </c>
      <c r="B557" t="s">
        <v>14</v>
      </c>
      <c r="C557" t="s">
        <v>3</v>
      </c>
      <c r="D557" t="str">
        <f t="shared" si="49"/>
        <v>FAB1_Leche Clasica Deslactosada Light 1 L</v>
      </c>
      <c r="E557">
        <v>2022</v>
      </c>
      <c r="F557">
        <v>8</v>
      </c>
      <c r="G557">
        <f t="shared" si="50"/>
        <v>2</v>
      </c>
      <c r="H557" s="1">
        <f t="shared" si="51"/>
        <v>44613</v>
      </c>
      <c r="I557" s="1">
        <f t="shared" si="52"/>
        <v>44593</v>
      </c>
      <c r="J557">
        <v>956227.77000000025</v>
      </c>
      <c r="K557">
        <v>49644</v>
      </c>
      <c r="L557">
        <f t="shared" si="48"/>
        <v>19.261698694706315</v>
      </c>
      <c r="M557">
        <v>4137</v>
      </c>
      <c r="N557" s="2">
        <f t="shared" si="53"/>
        <v>231.14038433647576</v>
      </c>
      <c r="O557">
        <v>12</v>
      </c>
    </row>
    <row r="558" spans="1:15" x14ac:dyDescent="0.25">
      <c r="A558" t="s">
        <v>46</v>
      </c>
      <c r="B558" t="s">
        <v>14</v>
      </c>
      <c r="C558" t="s">
        <v>3</v>
      </c>
      <c r="D558" t="str">
        <f t="shared" si="49"/>
        <v>FAB1_Leche Clasica Deslactosada Light 1 L</v>
      </c>
      <c r="E558">
        <v>2022</v>
      </c>
      <c r="F558">
        <v>9</v>
      </c>
      <c r="G558">
        <f t="shared" si="50"/>
        <v>3</v>
      </c>
      <c r="H558" s="1">
        <f t="shared" si="51"/>
        <v>44620</v>
      </c>
      <c r="I558" s="1">
        <f t="shared" si="52"/>
        <v>44621</v>
      </c>
      <c r="J558">
        <v>1102061.9100000001</v>
      </c>
      <c r="K558">
        <v>56628</v>
      </c>
      <c r="L558">
        <f t="shared" si="48"/>
        <v>19.461430917567284</v>
      </c>
      <c r="M558">
        <v>4719</v>
      </c>
      <c r="N558" s="2">
        <f t="shared" si="53"/>
        <v>233.53717101080741</v>
      </c>
      <c r="O558">
        <v>12</v>
      </c>
    </row>
    <row r="559" spans="1:15" x14ac:dyDescent="0.25">
      <c r="A559" t="s">
        <v>46</v>
      </c>
      <c r="B559" t="s">
        <v>14</v>
      </c>
      <c r="C559" t="s">
        <v>3</v>
      </c>
      <c r="D559" t="str">
        <f t="shared" si="49"/>
        <v>FAB1_Leche Clasica Deslactosada Light 1 L</v>
      </c>
      <c r="E559">
        <v>2022</v>
      </c>
      <c r="F559">
        <v>10</v>
      </c>
      <c r="G559">
        <f t="shared" si="50"/>
        <v>3</v>
      </c>
      <c r="H559" s="1">
        <f t="shared" si="51"/>
        <v>44627</v>
      </c>
      <c r="I559" s="1">
        <f t="shared" si="52"/>
        <v>44621</v>
      </c>
      <c r="J559">
        <v>774164.89000000013</v>
      </c>
      <c r="K559">
        <v>39576</v>
      </c>
      <c r="L559">
        <f t="shared" si="48"/>
        <v>19.561473873054378</v>
      </c>
      <c r="M559">
        <v>3298</v>
      </c>
      <c r="N559" s="2">
        <f t="shared" si="53"/>
        <v>234.73768647665256</v>
      </c>
      <c r="O559">
        <v>12</v>
      </c>
    </row>
    <row r="560" spans="1:15" x14ac:dyDescent="0.25">
      <c r="A560" t="s">
        <v>46</v>
      </c>
      <c r="B560" t="s">
        <v>14</v>
      </c>
      <c r="C560" t="s">
        <v>3</v>
      </c>
      <c r="D560" t="str">
        <f t="shared" si="49"/>
        <v>FAB1_Leche Clasica Deslactosada Light 1 L</v>
      </c>
      <c r="E560">
        <v>2022</v>
      </c>
      <c r="F560">
        <v>11</v>
      </c>
      <c r="G560">
        <f t="shared" si="50"/>
        <v>3</v>
      </c>
      <c r="H560" s="1">
        <f t="shared" si="51"/>
        <v>44634</v>
      </c>
      <c r="I560" s="1">
        <f t="shared" si="52"/>
        <v>44621</v>
      </c>
      <c r="J560">
        <v>820966.34000000055</v>
      </c>
      <c r="K560">
        <v>41952</v>
      </c>
      <c r="L560">
        <f t="shared" si="48"/>
        <v>19.569182398932124</v>
      </c>
      <c r="M560">
        <v>3496</v>
      </c>
      <c r="N560" s="2">
        <f t="shared" si="53"/>
        <v>234.83018878718551</v>
      </c>
      <c r="O560">
        <v>12</v>
      </c>
    </row>
    <row r="561" spans="1:15" x14ac:dyDescent="0.25">
      <c r="A561" t="s">
        <v>46</v>
      </c>
      <c r="B561" t="s">
        <v>14</v>
      </c>
      <c r="C561" t="s">
        <v>3</v>
      </c>
      <c r="D561" t="str">
        <f t="shared" si="49"/>
        <v>FAB1_Leche Clasica Deslactosada Light 1 L</v>
      </c>
      <c r="E561">
        <v>2022</v>
      </c>
      <c r="F561">
        <v>12</v>
      </c>
      <c r="G561">
        <f t="shared" si="50"/>
        <v>3</v>
      </c>
      <c r="H561" s="1">
        <f t="shared" si="51"/>
        <v>44641</v>
      </c>
      <c r="I561" s="1">
        <f t="shared" si="52"/>
        <v>44621</v>
      </c>
      <c r="J561">
        <v>799243.9600000002</v>
      </c>
      <c r="K561">
        <v>41160</v>
      </c>
      <c r="L561">
        <f t="shared" si="48"/>
        <v>19.417977648202143</v>
      </c>
      <c r="M561">
        <v>3430</v>
      </c>
      <c r="N561" s="2">
        <f t="shared" si="53"/>
        <v>233.0157317784257</v>
      </c>
      <c r="O561">
        <v>12</v>
      </c>
    </row>
    <row r="562" spans="1:15" x14ac:dyDescent="0.25">
      <c r="A562" t="s">
        <v>46</v>
      </c>
      <c r="B562" t="s">
        <v>14</v>
      </c>
      <c r="C562" t="s">
        <v>3</v>
      </c>
      <c r="D562" t="str">
        <f t="shared" si="49"/>
        <v>FAB1_Leche Clasica Deslactosada Light 1 L</v>
      </c>
      <c r="E562">
        <v>2022</v>
      </c>
      <c r="F562">
        <v>13</v>
      </c>
      <c r="G562">
        <f t="shared" si="50"/>
        <v>3</v>
      </c>
      <c r="H562" s="1">
        <f t="shared" si="51"/>
        <v>44648</v>
      </c>
      <c r="I562" s="1">
        <f t="shared" si="52"/>
        <v>44621</v>
      </c>
      <c r="J562">
        <v>882729.88000000012</v>
      </c>
      <c r="K562">
        <v>45840</v>
      </c>
      <c r="L562">
        <f t="shared" si="48"/>
        <v>19.256760034904016</v>
      </c>
      <c r="M562">
        <v>3820</v>
      </c>
      <c r="N562" s="2">
        <f t="shared" si="53"/>
        <v>231.0811204188482</v>
      </c>
      <c r="O562">
        <v>12</v>
      </c>
    </row>
    <row r="563" spans="1:15" x14ac:dyDescent="0.25">
      <c r="A563" t="s">
        <v>46</v>
      </c>
      <c r="B563" t="s">
        <v>14</v>
      </c>
      <c r="C563" t="s">
        <v>3</v>
      </c>
      <c r="D563" t="str">
        <f t="shared" si="49"/>
        <v>FAB1_Leche Clasica Deslactosada Light 1 L</v>
      </c>
      <c r="E563">
        <v>2022</v>
      </c>
      <c r="F563">
        <v>14</v>
      </c>
      <c r="G563">
        <f t="shared" si="50"/>
        <v>4</v>
      </c>
      <c r="H563" s="1">
        <f t="shared" si="51"/>
        <v>44655</v>
      </c>
      <c r="I563" s="1">
        <f t="shared" si="52"/>
        <v>44652</v>
      </c>
      <c r="J563">
        <v>881400.8</v>
      </c>
      <c r="K563">
        <v>45216</v>
      </c>
      <c r="L563">
        <f t="shared" si="48"/>
        <v>19.493117480537865</v>
      </c>
      <c r="M563">
        <v>3768</v>
      </c>
      <c r="N563" s="2">
        <f t="shared" si="53"/>
        <v>233.91740976645437</v>
      </c>
      <c r="O563">
        <v>12</v>
      </c>
    </row>
    <row r="564" spans="1:15" x14ac:dyDescent="0.25">
      <c r="A564" t="s">
        <v>46</v>
      </c>
      <c r="B564" t="s">
        <v>14</v>
      </c>
      <c r="C564" t="s">
        <v>3</v>
      </c>
      <c r="D564" t="str">
        <f t="shared" si="49"/>
        <v>FAB1_Leche Clasica Deslactosada Light 1 L</v>
      </c>
      <c r="E564">
        <v>2022</v>
      </c>
      <c r="F564">
        <v>15</v>
      </c>
      <c r="G564">
        <f t="shared" si="50"/>
        <v>4</v>
      </c>
      <c r="H564" s="1">
        <f t="shared" si="51"/>
        <v>44662</v>
      </c>
      <c r="I564" s="1">
        <f t="shared" si="52"/>
        <v>44652</v>
      </c>
      <c r="J564">
        <v>709658.27000000037</v>
      </c>
      <c r="K564">
        <v>36924</v>
      </c>
      <c r="L564">
        <f t="shared" si="48"/>
        <v>19.219430993391843</v>
      </c>
      <c r="M564">
        <v>3077</v>
      </c>
      <c r="N564" s="2">
        <f t="shared" si="53"/>
        <v>230.6331719207021</v>
      </c>
      <c r="O564">
        <v>12</v>
      </c>
    </row>
    <row r="565" spans="1:15" x14ac:dyDescent="0.25">
      <c r="A565" t="s">
        <v>46</v>
      </c>
      <c r="B565" t="s">
        <v>14</v>
      </c>
      <c r="C565" t="s">
        <v>3</v>
      </c>
      <c r="D565" t="str">
        <f t="shared" si="49"/>
        <v>FAB1_Leche Clasica Deslactosada Light 1 L</v>
      </c>
      <c r="E565">
        <v>2022</v>
      </c>
      <c r="F565">
        <v>16</v>
      </c>
      <c r="G565">
        <f t="shared" si="50"/>
        <v>4</v>
      </c>
      <c r="H565" s="1">
        <f t="shared" si="51"/>
        <v>44669</v>
      </c>
      <c r="I565" s="1">
        <f t="shared" si="52"/>
        <v>44652</v>
      </c>
      <c r="J565">
        <v>859033.02000000037</v>
      </c>
      <c r="K565">
        <v>44628</v>
      </c>
      <c r="L565">
        <f t="shared" si="48"/>
        <v>19.248745630545855</v>
      </c>
      <c r="M565">
        <v>3719</v>
      </c>
      <c r="N565" s="2">
        <f t="shared" si="53"/>
        <v>230.98494756655026</v>
      </c>
      <c r="O565">
        <v>12</v>
      </c>
    </row>
    <row r="566" spans="1:15" x14ac:dyDescent="0.25">
      <c r="A566" t="s">
        <v>46</v>
      </c>
      <c r="B566" t="s">
        <v>14</v>
      </c>
      <c r="C566" t="s">
        <v>3</v>
      </c>
      <c r="D566" t="str">
        <f t="shared" si="49"/>
        <v>FAB1_Leche Clasica Deslactosada Light 1 L</v>
      </c>
      <c r="E566">
        <v>2022</v>
      </c>
      <c r="F566">
        <v>17</v>
      </c>
      <c r="G566">
        <f t="shared" si="50"/>
        <v>4</v>
      </c>
      <c r="H566" s="1">
        <f t="shared" si="51"/>
        <v>44676</v>
      </c>
      <c r="I566" s="1">
        <f t="shared" si="52"/>
        <v>44652</v>
      </c>
      <c r="J566">
        <v>879660.01000000059</v>
      </c>
      <c r="K566">
        <v>45228</v>
      </c>
      <c r="L566">
        <f t="shared" si="48"/>
        <v>19.449456310250302</v>
      </c>
      <c r="M566">
        <v>3769</v>
      </c>
      <c r="N566" s="2">
        <f t="shared" si="53"/>
        <v>233.3934757230036</v>
      </c>
      <c r="O566">
        <v>12</v>
      </c>
    </row>
    <row r="567" spans="1:15" x14ac:dyDescent="0.25">
      <c r="A567" t="s">
        <v>46</v>
      </c>
      <c r="B567" t="s">
        <v>14</v>
      </c>
      <c r="C567" t="s">
        <v>3</v>
      </c>
      <c r="D567" t="str">
        <f t="shared" si="49"/>
        <v>FAB1_Leche Clasica Deslactosada Light 1 L</v>
      </c>
      <c r="E567">
        <v>2022</v>
      </c>
      <c r="F567">
        <v>18</v>
      </c>
      <c r="G567">
        <f t="shared" si="50"/>
        <v>5</v>
      </c>
      <c r="H567" s="1">
        <f t="shared" si="51"/>
        <v>44683</v>
      </c>
      <c r="I567" s="1">
        <f t="shared" si="52"/>
        <v>44682</v>
      </c>
      <c r="J567">
        <v>964971.50000000058</v>
      </c>
      <c r="K567">
        <v>49248</v>
      </c>
      <c r="L567">
        <f t="shared" si="48"/>
        <v>19.594125649772593</v>
      </c>
      <c r="M567">
        <v>4104</v>
      </c>
      <c r="N567" s="2">
        <f t="shared" si="53"/>
        <v>235.12950779727109</v>
      </c>
      <c r="O567">
        <v>12</v>
      </c>
    </row>
    <row r="568" spans="1:15" x14ac:dyDescent="0.25">
      <c r="A568" t="s">
        <v>46</v>
      </c>
      <c r="B568" t="s">
        <v>14</v>
      </c>
      <c r="C568" t="s">
        <v>3</v>
      </c>
      <c r="D568" t="str">
        <f t="shared" si="49"/>
        <v>FAB1_Leche Clasica Deslactosada Light 1 L</v>
      </c>
      <c r="E568">
        <v>2022</v>
      </c>
      <c r="F568">
        <v>19</v>
      </c>
      <c r="G568">
        <f t="shared" si="50"/>
        <v>5</v>
      </c>
      <c r="H568" s="1">
        <f t="shared" si="51"/>
        <v>44690</v>
      </c>
      <c r="I568" s="1">
        <f t="shared" si="52"/>
        <v>44682</v>
      </c>
      <c r="J568">
        <v>792140.33000000031</v>
      </c>
      <c r="K568">
        <v>40812</v>
      </c>
      <c r="L568">
        <f t="shared" si="48"/>
        <v>19.409495491522108</v>
      </c>
      <c r="M568">
        <v>3401</v>
      </c>
      <c r="N568" s="2">
        <f t="shared" si="53"/>
        <v>232.9139458982653</v>
      </c>
      <c r="O568">
        <v>12</v>
      </c>
    </row>
    <row r="569" spans="1:15" x14ac:dyDescent="0.25">
      <c r="A569" t="s">
        <v>46</v>
      </c>
      <c r="B569" t="s">
        <v>14</v>
      </c>
      <c r="C569" t="s">
        <v>3</v>
      </c>
      <c r="D569" t="str">
        <f t="shared" si="49"/>
        <v>FAB1_Leche Clasica Deslactosada Light 1 L</v>
      </c>
      <c r="E569">
        <v>2022</v>
      </c>
      <c r="F569">
        <v>20</v>
      </c>
      <c r="G569">
        <f t="shared" si="50"/>
        <v>5</v>
      </c>
      <c r="H569" s="1">
        <f t="shared" si="51"/>
        <v>44697</v>
      </c>
      <c r="I569" s="1">
        <f t="shared" si="52"/>
        <v>44682</v>
      </c>
      <c r="J569">
        <v>857592.37000000058</v>
      </c>
      <c r="K569">
        <v>44844</v>
      </c>
      <c r="L569">
        <f t="shared" si="48"/>
        <v>19.123904424226218</v>
      </c>
      <c r="M569">
        <v>3737</v>
      </c>
      <c r="N569" s="2">
        <f t="shared" si="53"/>
        <v>229.48685309071462</v>
      </c>
      <c r="O569">
        <v>12</v>
      </c>
    </row>
    <row r="570" spans="1:15" x14ac:dyDescent="0.25">
      <c r="A570" t="s">
        <v>46</v>
      </c>
      <c r="B570" t="s">
        <v>14</v>
      </c>
      <c r="C570" t="s">
        <v>3</v>
      </c>
      <c r="D570" t="str">
        <f t="shared" si="49"/>
        <v>FAB1_Leche Clasica Deslactosada Light 1 L</v>
      </c>
      <c r="E570">
        <v>2022</v>
      </c>
      <c r="F570">
        <v>21</v>
      </c>
      <c r="G570">
        <f t="shared" si="50"/>
        <v>5</v>
      </c>
      <c r="H570" s="1">
        <f t="shared" si="51"/>
        <v>44704</v>
      </c>
      <c r="I570" s="1">
        <f t="shared" si="52"/>
        <v>44682</v>
      </c>
      <c r="J570">
        <v>754934.7000000003</v>
      </c>
      <c r="K570">
        <v>40068</v>
      </c>
      <c r="L570">
        <f t="shared" si="48"/>
        <v>18.841337226714593</v>
      </c>
      <c r="M570">
        <v>3339</v>
      </c>
      <c r="N570" s="2">
        <f t="shared" si="53"/>
        <v>226.09604672057512</v>
      </c>
      <c r="O570">
        <v>12</v>
      </c>
    </row>
    <row r="571" spans="1:15" x14ac:dyDescent="0.25">
      <c r="A571" t="s">
        <v>46</v>
      </c>
      <c r="B571" t="s">
        <v>14</v>
      </c>
      <c r="C571" t="s">
        <v>3</v>
      </c>
      <c r="D571" t="str">
        <f t="shared" si="49"/>
        <v>FAB1_Leche Clasica Deslactosada Light 1 L</v>
      </c>
      <c r="E571">
        <v>2022</v>
      </c>
      <c r="F571">
        <v>22</v>
      </c>
      <c r="G571">
        <f t="shared" si="50"/>
        <v>6</v>
      </c>
      <c r="H571" s="1">
        <f t="shared" si="51"/>
        <v>44711</v>
      </c>
      <c r="I571" s="1">
        <f t="shared" si="52"/>
        <v>44713</v>
      </c>
      <c r="J571">
        <v>985050.3000000004</v>
      </c>
      <c r="K571">
        <v>52284</v>
      </c>
      <c r="L571">
        <f t="shared" si="48"/>
        <v>18.840377553362412</v>
      </c>
      <c r="M571">
        <v>4357</v>
      </c>
      <c r="N571" s="2">
        <f t="shared" si="53"/>
        <v>226.08453064034896</v>
      </c>
      <c r="O571">
        <v>12</v>
      </c>
    </row>
    <row r="572" spans="1:15" x14ac:dyDescent="0.25">
      <c r="A572" t="s">
        <v>46</v>
      </c>
      <c r="B572" t="s">
        <v>14</v>
      </c>
      <c r="C572" t="s">
        <v>3</v>
      </c>
      <c r="D572" t="str">
        <f t="shared" si="49"/>
        <v>FAB1_Leche Clasica Deslactosada Light 1 L</v>
      </c>
      <c r="E572">
        <v>2022</v>
      </c>
      <c r="F572">
        <v>23</v>
      </c>
      <c r="G572">
        <f t="shared" si="50"/>
        <v>6</v>
      </c>
      <c r="H572" s="1">
        <f t="shared" si="51"/>
        <v>44718</v>
      </c>
      <c r="I572" s="1">
        <f t="shared" si="52"/>
        <v>44713</v>
      </c>
      <c r="J572">
        <v>786587.26000000071</v>
      </c>
      <c r="K572">
        <v>40896</v>
      </c>
      <c r="L572">
        <f t="shared" si="48"/>
        <v>19.23384340766825</v>
      </c>
      <c r="M572">
        <v>3408</v>
      </c>
      <c r="N572" s="2">
        <f t="shared" si="53"/>
        <v>230.80612089201898</v>
      </c>
      <c r="O572">
        <v>12</v>
      </c>
    </row>
    <row r="573" spans="1:15" x14ac:dyDescent="0.25">
      <c r="A573" t="s">
        <v>46</v>
      </c>
      <c r="B573" t="s">
        <v>14</v>
      </c>
      <c r="C573" t="s">
        <v>3</v>
      </c>
      <c r="D573" t="str">
        <f t="shared" si="49"/>
        <v>FAB1_Leche Clasica Deslactosada Light 1 L</v>
      </c>
      <c r="E573">
        <v>2022</v>
      </c>
      <c r="F573">
        <v>24</v>
      </c>
      <c r="G573">
        <f t="shared" si="50"/>
        <v>6</v>
      </c>
      <c r="H573" s="1">
        <f t="shared" si="51"/>
        <v>44725</v>
      </c>
      <c r="I573" s="1">
        <f t="shared" si="52"/>
        <v>44713</v>
      </c>
      <c r="J573">
        <v>789939.44000000076</v>
      </c>
      <c r="K573">
        <v>40764</v>
      </c>
      <c r="L573">
        <f t="shared" si="48"/>
        <v>19.378359336669629</v>
      </c>
      <c r="M573">
        <v>3397</v>
      </c>
      <c r="N573" s="2">
        <f t="shared" si="53"/>
        <v>232.54031204003556</v>
      </c>
      <c r="O573">
        <v>12</v>
      </c>
    </row>
    <row r="574" spans="1:15" x14ac:dyDescent="0.25">
      <c r="A574" t="s">
        <v>46</v>
      </c>
      <c r="B574" t="s">
        <v>14</v>
      </c>
      <c r="C574" t="s">
        <v>3</v>
      </c>
      <c r="D574" t="str">
        <f t="shared" si="49"/>
        <v>FAB1_Leche Clasica Deslactosada Light 1 L</v>
      </c>
      <c r="E574">
        <v>2022</v>
      </c>
      <c r="F574">
        <v>25</v>
      </c>
      <c r="G574">
        <f t="shared" si="50"/>
        <v>6</v>
      </c>
      <c r="H574" s="1">
        <f t="shared" si="51"/>
        <v>44732</v>
      </c>
      <c r="I574" s="1">
        <f t="shared" si="52"/>
        <v>44713</v>
      </c>
      <c r="J574">
        <v>736969.28000000038</v>
      </c>
      <c r="K574">
        <v>39504</v>
      </c>
      <c r="L574">
        <f t="shared" si="48"/>
        <v>18.655560955852582</v>
      </c>
      <c r="M574">
        <v>3292</v>
      </c>
      <c r="N574" s="2">
        <f t="shared" si="53"/>
        <v>223.86673147023097</v>
      </c>
      <c r="O574">
        <v>12</v>
      </c>
    </row>
    <row r="575" spans="1:15" x14ac:dyDescent="0.25">
      <c r="A575" t="s">
        <v>46</v>
      </c>
      <c r="B575" t="s">
        <v>14</v>
      </c>
      <c r="C575" t="s">
        <v>3</v>
      </c>
      <c r="D575" t="str">
        <f t="shared" si="49"/>
        <v>FAB1_Leche Clasica Deslactosada Light 1 L</v>
      </c>
      <c r="E575">
        <v>2022</v>
      </c>
      <c r="F575">
        <v>26</v>
      </c>
      <c r="G575">
        <f t="shared" si="50"/>
        <v>6</v>
      </c>
      <c r="H575" s="1">
        <f t="shared" si="51"/>
        <v>44739</v>
      </c>
      <c r="I575" s="1">
        <f t="shared" si="52"/>
        <v>44713</v>
      </c>
      <c r="J575">
        <v>670464.77999999991</v>
      </c>
      <c r="K575">
        <v>35940</v>
      </c>
      <c r="L575">
        <f t="shared" si="48"/>
        <v>18.655113522537562</v>
      </c>
      <c r="M575">
        <v>2995</v>
      </c>
      <c r="N575" s="2">
        <f t="shared" si="53"/>
        <v>223.86136227045071</v>
      </c>
      <c r="O575">
        <v>12</v>
      </c>
    </row>
    <row r="576" spans="1:15" x14ac:dyDescent="0.25">
      <c r="A576" t="s">
        <v>46</v>
      </c>
      <c r="B576" t="s">
        <v>14</v>
      </c>
      <c r="C576" t="s">
        <v>3</v>
      </c>
      <c r="D576" t="str">
        <f t="shared" si="49"/>
        <v>FAB1_Leche Clasica Deslactosada Light 1 L</v>
      </c>
      <c r="E576">
        <v>2022</v>
      </c>
      <c r="F576">
        <v>27</v>
      </c>
      <c r="G576">
        <f t="shared" si="50"/>
        <v>7</v>
      </c>
      <c r="H576" s="1">
        <f t="shared" si="51"/>
        <v>44746</v>
      </c>
      <c r="I576" s="1">
        <f t="shared" si="52"/>
        <v>44743</v>
      </c>
      <c r="J576">
        <v>864128.2500000007</v>
      </c>
      <c r="K576">
        <v>45828</v>
      </c>
      <c r="L576">
        <f t="shared" si="48"/>
        <v>18.855901413982732</v>
      </c>
      <c r="M576">
        <v>3819</v>
      </c>
      <c r="N576" s="2">
        <f t="shared" si="53"/>
        <v>226.2708169677928</v>
      </c>
      <c r="O576">
        <v>12</v>
      </c>
    </row>
    <row r="577" spans="1:15" x14ac:dyDescent="0.25">
      <c r="A577" t="s">
        <v>46</v>
      </c>
      <c r="B577" t="s">
        <v>14</v>
      </c>
      <c r="C577" t="s">
        <v>3</v>
      </c>
      <c r="D577" t="str">
        <f t="shared" si="49"/>
        <v>FAB1_Leche Clasica Deslactosada Light 1 L</v>
      </c>
      <c r="E577">
        <v>2022</v>
      </c>
      <c r="F577">
        <v>28</v>
      </c>
      <c r="G577">
        <f t="shared" si="50"/>
        <v>7</v>
      </c>
      <c r="H577" s="1">
        <f t="shared" si="51"/>
        <v>44753</v>
      </c>
      <c r="I577" s="1">
        <f t="shared" si="52"/>
        <v>44743</v>
      </c>
      <c r="J577">
        <v>728120.0400000005</v>
      </c>
      <c r="K577">
        <v>38940</v>
      </c>
      <c r="L577">
        <f t="shared" si="48"/>
        <v>18.698511556240383</v>
      </c>
      <c r="M577">
        <v>3245</v>
      </c>
      <c r="N577" s="2">
        <f t="shared" si="53"/>
        <v>224.3821386748846</v>
      </c>
      <c r="O577">
        <v>12</v>
      </c>
    </row>
    <row r="578" spans="1:15" x14ac:dyDescent="0.25">
      <c r="A578" t="s">
        <v>46</v>
      </c>
      <c r="B578" t="s">
        <v>14</v>
      </c>
      <c r="C578" t="s">
        <v>3</v>
      </c>
      <c r="D578" t="str">
        <f t="shared" si="49"/>
        <v>FAB1_Leche Clasica Deslactosada Light 1 L</v>
      </c>
      <c r="E578">
        <v>2022</v>
      </c>
      <c r="F578">
        <v>29</v>
      </c>
      <c r="G578">
        <f t="shared" si="50"/>
        <v>7</v>
      </c>
      <c r="H578" s="1">
        <f t="shared" si="51"/>
        <v>44760</v>
      </c>
      <c r="I578" s="1">
        <f t="shared" si="52"/>
        <v>44743</v>
      </c>
      <c r="J578">
        <v>878938.05000000028</v>
      </c>
      <c r="K578">
        <v>45720</v>
      </c>
      <c r="L578">
        <f t="shared" ref="L578:L641" si="54">J578/K578</f>
        <v>19.22436679790027</v>
      </c>
      <c r="M578">
        <v>3810</v>
      </c>
      <c r="N578" s="2">
        <f t="shared" si="53"/>
        <v>230.69240157480323</v>
      </c>
      <c r="O578">
        <v>12</v>
      </c>
    </row>
    <row r="579" spans="1:15" x14ac:dyDescent="0.25">
      <c r="A579" t="s">
        <v>46</v>
      </c>
      <c r="B579" t="s">
        <v>14</v>
      </c>
      <c r="C579" t="s">
        <v>3</v>
      </c>
      <c r="D579" t="str">
        <f t="shared" ref="D579:D642" si="55">B579&amp;"_"&amp;C579</f>
        <v>FAB1_Leche Clasica Deslactosada Light 1 L</v>
      </c>
      <c r="E579">
        <v>2022</v>
      </c>
      <c r="F579">
        <v>30</v>
      </c>
      <c r="G579">
        <f t="shared" ref="G579:G642" si="56">MONTH(DATE(E579,1,4)+(F579-1)*7-WEEKDAY(DATE(E579,1,4),2)+4)</f>
        <v>7</v>
      </c>
      <c r="H579" s="1">
        <f t="shared" ref="H579:H642" si="57">DATE(E579,1,-2)-WEEKDAY(DATE(E579,1,3))+F579*7</f>
        <v>44767</v>
      </c>
      <c r="I579" s="1">
        <f t="shared" ref="I579:I642" si="58">DATE(E579,G579,1)</f>
        <v>44743</v>
      </c>
      <c r="J579">
        <v>674313.77000000025</v>
      </c>
      <c r="K579">
        <v>34512</v>
      </c>
      <c r="L579">
        <f t="shared" si="54"/>
        <v>19.538530656003715</v>
      </c>
      <c r="M579">
        <v>2876</v>
      </c>
      <c r="N579" s="2">
        <f t="shared" ref="N579:N642" si="59">J579/M579</f>
        <v>234.46236787204458</v>
      </c>
      <c r="O579">
        <v>12</v>
      </c>
    </row>
    <row r="580" spans="1:15" x14ac:dyDescent="0.25">
      <c r="A580" t="s">
        <v>46</v>
      </c>
      <c r="B580" t="s">
        <v>14</v>
      </c>
      <c r="C580" t="s">
        <v>3</v>
      </c>
      <c r="D580" t="str">
        <f t="shared" si="55"/>
        <v>FAB1_Leche Clasica Deslactosada Light 1 L</v>
      </c>
      <c r="E580">
        <v>2022</v>
      </c>
      <c r="F580">
        <v>31</v>
      </c>
      <c r="G580">
        <f t="shared" si="56"/>
        <v>8</v>
      </c>
      <c r="H580" s="1">
        <f t="shared" si="57"/>
        <v>44774</v>
      </c>
      <c r="I580" s="1">
        <f t="shared" si="58"/>
        <v>44774</v>
      </c>
      <c r="J580">
        <v>891500.79000000062</v>
      </c>
      <c r="K580">
        <v>45588</v>
      </c>
      <c r="L580">
        <f t="shared" si="54"/>
        <v>19.555602132140052</v>
      </c>
      <c r="M580">
        <v>3799</v>
      </c>
      <c r="N580" s="2">
        <f t="shared" si="59"/>
        <v>234.6672255856806</v>
      </c>
      <c r="O580">
        <v>12</v>
      </c>
    </row>
    <row r="581" spans="1:15" x14ac:dyDescent="0.25">
      <c r="A581" t="s">
        <v>46</v>
      </c>
      <c r="B581" t="s">
        <v>14</v>
      </c>
      <c r="C581" t="s">
        <v>3</v>
      </c>
      <c r="D581" t="str">
        <f t="shared" si="55"/>
        <v>FAB1_Leche Clasica Deslactosada Light 1 L</v>
      </c>
      <c r="E581">
        <v>2022</v>
      </c>
      <c r="F581">
        <v>32</v>
      </c>
      <c r="G581">
        <f t="shared" si="56"/>
        <v>8</v>
      </c>
      <c r="H581" s="1">
        <f t="shared" si="57"/>
        <v>44781</v>
      </c>
      <c r="I581" s="1">
        <f t="shared" si="58"/>
        <v>44774</v>
      </c>
      <c r="J581">
        <v>736292.67000000027</v>
      </c>
      <c r="K581">
        <v>38352</v>
      </c>
      <c r="L581">
        <f t="shared" si="54"/>
        <v>19.198286138923663</v>
      </c>
      <c r="M581">
        <v>3196</v>
      </c>
      <c r="N581" s="2">
        <f t="shared" si="59"/>
        <v>230.37943366708393</v>
      </c>
      <c r="O581">
        <v>12</v>
      </c>
    </row>
    <row r="582" spans="1:15" x14ac:dyDescent="0.25">
      <c r="A582" t="s">
        <v>46</v>
      </c>
      <c r="B582" t="s">
        <v>14</v>
      </c>
      <c r="C582" t="s">
        <v>3</v>
      </c>
      <c r="D582" t="str">
        <f t="shared" si="55"/>
        <v>FAB1_Leche Clasica Deslactosada Light 1 L</v>
      </c>
      <c r="E582">
        <v>2022</v>
      </c>
      <c r="F582">
        <v>33</v>
      </c>
      <c r="G582">
        <f t="shared" si="56"/>
        <v>8</v>
      </c>
      <c r="H582" s="1">
        <f t="shared" si="57"/>
        <v>44788</v>
      </c>
      <c r="I582" s="1">
        <f t="shared" si="58"/>
        <v>44774</v>
      </c>
      <c r="J582">
        <v>957647.99000000011</v>
      </c>
      <c r="K582">
        <v>52248</v>
      </c>
      <c r="L582">
        <f t="shared" si="54"/>
        <v>18.328892780584905</v>
      </c>
      <c r="M582">
        <v>4354</v>
      </c>
      <c r="N582" s="2">
        <f t="shared" si="59"/>
        <v>219.94671336701884</v>
      </c>
      <c r="O582">
        <v>12</v>
      </c>
    </row>
    <row r="583" spans="1:15" x14ac:dyDescent="0.25">
      <c r="A583" t="s">
        <v>46</v>
      </c>
      <c r="B583" t="s">
        <v>14</v>
      </c>
      <c r="C583" t="s">
        <v>3</v>
      </c>
      <c r="D583" t="str">
        <f t="shared" si="55"/>
        <v>FAB1_Leche Clasica Deslactosada Light 1 L</v>
      </c>
      <c r="E583">
        <v>2022</v>
      </c>
      <c r="F583">
        <v>34</v>
      </c>
      <c r="G583">
        <f t="shared" si="56"/>
        <v>8</v>
      </c>
      <c r="H583" s="1">
        <f t="shared" si="57"/>
        <v>44795</v>
      </c>
      <c r="I583" s="1">
        <f t="shared" si="58"/>
        <v>44774</v>
      </c>
      <c r="J583">
        <v>684157.05999999994</v>
      </c>
      <c r="K583">
        <v>34596</v>
      </c>
      <c r="L583">
        <f t="shared" si="54"/>
        <v>19.775611631402473</v>
      </c>
      <c r="M583">
        <v>2883</v>
      </c>
      <c r="N583" s="2">
        <f t="shared" si="59"/>
        <v>237.30733957682966</v>
      </c>
      <c r="O583">
        <v>12</v>
      </c>
    </row>
    <row r="584" spans="1:15" x14ac:dyDescent="0.25">
      <c r="A584" t="s">
        <v>46</v>
      </c>
      <c r="B584" t="s">
        <v>14</v>
      </c>
      <c r="C584" t="s">
        <v>3</v>
      </c>
      <c r="D584" t="str">
        <f t="shared" si="55"/>
        <v>FAB1_Leche Clasica Deslactosada Light 1 L</v>
      </c>
      <c r="E584">
        <v>2022</v>
      </c>
      <c r="F584">
        <v>35</v>
      </c>
      <c r="G584">
        <f t="shared" si="56"/>
        <v>9</v>
      </c>
      <c r="H584" s="1">
        <f t="shared" si="57"/>
        <v>44802</v>
      </c>
      <c r="I584" s="1">
        <f t="shared" si="58"/>
        <v>44805</v>
      </c>
      <c r="J584">
        <v>829471.0299999998</v>
      </c>
      <c r="K584">
        <v>40932</v>
      </c>
      <c r="L584">
        <f t="shared" si="54"/>
        <v>20.264610329326683</v>
      </c>
      <c r="M584">
        <v>3411</v>
      </c>
      <c r="N584" s="2">
        <f t="shared" si="59"/>
        <v>243.17532395192021</v>
      </c>
      <c r="O584">
        <v>12</v>
      </c>
    </row>
    <row r="585" spans="1:15" x14ac:dyDescent="0.25">
      <c r="A585" t="s">
        <v>46</v>
      </c>
      <c r="B585" t="s">
        <v>14</v>
      </c>
      <c r="C585" t="s">
        <v>3</v>
      </c>
      <c r="D585" t="str">
        <f t="shared" si="55"/>
        <v>FAB1_Leche Clasica Deslactosada Light 1 L</v>
      </c>
      <c r="E585">
        <v>2022</v>
      </c>
      <c r="F585">
        <v>36</v>
      </c>
      <c r="G585">
        <f t="shared" si="56"/>
        <v>9</v>
      </c>
      <c r="H585" s="1">
        <f t="shared" si="57"/>
        <v>44809</v>
      </c>
      <c r="I585" s="1">
        <f t="shared" si="58"/>
        <v>44805</v>
      </c>
      <c r="J585">
        <v>837759.41999999946</v>
      </c>
      <c r="K585">
        <v>41316</v>
      </c>
      <c r="L585">
        <f t="shared" si="54"/>
        <v>20.276876270694149</v>
      </c>
      <c r="M585">
        <v>3443</v>
      </c>
      <c r="N585" s="2">
        <f t="shared" si="59"/>
        <v>243.32251524832978</v>
      </c>
      <c r="O585">
        <v>12</v>
      </c>
    </row>
    <row r="586" spans="1:15" x14ac:dyDescent="0.25">
      <c r="A586" t="s">
        <v>46</v>
      </c>
      <c r="B586" t="s">
        <v>14</v>
      </c>
      <c r="C586" t="s">
        <v>3</v>
      </c>
      <c r="D586" t="str">
        <f t="shared" si="55"/>
        <v>FAB1_Leche Clasica Deslactosada Light 1 L</v>
      </c>
      <c r="E586">
        <v>2022</v>
      </c>
      <c r="F586">
        <v>37</v>
      </c>
      <c r="G586">
        <f t="shared" si="56"/>
        <v>9</v>
      </c>
      <c r="H586" s="1">
        <f t="shared" si="57"/>
        <v>44816</v>
      </c>
      <c r="I586" s="1">
        <f t="shared" si="58"/>
        <v>44805</v>
      </c>
      <c r="J586">
        <v>747801.04999999912</v>
      </c>
      <c r="K586">
        <v>37248</v>
      </c>
      <c r="L586">
        <f t="shared" si="54"/>
        <v>20.076273893900321</v>
      </c>
      <c r="M586">
        <v>3104</v>
      </c>
      <c r="N586" s="2">
        <f t="shared" si="59"/>
        <v>240.91528672680383</v>
      </c>
      <c r="O586">
        <v>12</v>
      </c>
    </row>
    <row r="587" spans="1:15" x14ac:dyDescent="0.25">
      <c r="A587" t="s">
        <v>46</v>
      </c>
      <c r="B587" t="s">
        <v>14</v>
      </c>
      <c r="C587" t="s">
        <v>3</v>
      </c>
      <c r="D587" t="str">
        <f t="shared" si="55"/>
        <v>FAB1_Leche Clasica Deslactosada Light 1 L</v>
      </c>
      <c r="E587">
        <v>2022</v>
      </c>
      <c r="F587">
        <v>38</v>
      </c>
      <c r="G587">
        <f t="shared" si="56"/>
        <v>9</v>
      </c>
      <c r="H587" s="1">
        <f t="shared" si="57"/>
        <v>44823</v>
      </c>
      <c r="I587" s="1">
        <f t="shared" si="58"/>
        <v>44805</v>
      </c>
      <c r="J587">
        <v>737043.91999999946</v>
      </c>
      <c r="K587">
        <v>36300</v>
      </c>
      <c r="L587">
        <f t="shared" si="54"/>
        <v>20.304240220385662</v>
      </c>
      <c r="M587">
        <v>3025</v>
      </c>
      <c r="N587" s="2">
        <f t="shared" si="59"/>
        <v>243.65088264462793</v>
      </c>
      <c r="O587">
        <v>12</v>
      </c>
    </row>
    <row r="588" spans="1:15" x14ac:dyDescent="0.25">
      <c r="A588" t="s">
        <v>46</v>
      </c>
      <c r="B588" t="s">
        <v>14</v>
      </c>
      <c r="C588" t="s">
        <v>3</v>
      </c>
      <c r="D588" t="str">
        <f t="shared" si="55"/>
        <v>FAB1_Leche Clasica Deslactosada Light 1 L</v>
      </c>
      <c r="E588">
        <v>2022</v>
      </c>
      <c r="F588">
        <v>39</v>
      </c>
      <c r="G588">
        <f t="shared" si="56"/>
        <v>9</v>
      </c>
      <c r="H588" s="1">
        <f t="shared" si="57"/>
        <v>44830</v>
      </c>
      <c r="I588" s="1">
        <f t="shared" si="58"/>
        <v>44805</v>
      </c>
      <c r="J588">
        <v>614898.4499999996</v>
      </c>
      <c r="K588">
        <v>29616</v>
      </c>
      <c r="L588">
        <f t="shared" si="54"/>
        <v>20.762373379254445</v>
      </c>
      <c r="M588">
        <v>2468</v>
      </c>
      <c r="N588" s="2">
        <f t="shared" si="59"/>
        <v>249.14848055105332</v>
      </c>
      <c r="O588">
        <v>12</v>
      </c>
    </row>
    <row r="589" spans="1:15" x14ac:dyDescent="0.25">
      <c r="A589" t="s">
        <v>46</v>
      </c>
      <c r="B589" t="s">
        <v>14</v>
      </c>
      <c r="C589" t="s">
        <v>3</v>
      </c>
      <c r="D589" t="str">
        <f t="shared" si="55"/>
        <v>FAB1_Leche Clasica Deslactosada Light 1 L</v>
      </c>
      <c r="E589">
        <v>2022</v>
      </c>
      <c r="F589">
        <v>40</v>
      </c>
      <c r="G589">
        <f t="shared" si="56"/>
        <v>10</v>
      </c>
      <c r="H589" s="1">
        <f t="shared" si="57"/>
        <v>44837</v>
      </c>
      <c r="I589" s="1">
        <f t="shared" si="58"/>
        <v>44835</v>
      </c>
      <c r="J589">
        <v>809669.88999999908</v>
      </c>
      <c r="K589">
        <v>40056</v>
      </c>
      <c r="L589">
        <f t="shared" si="54"/>
        <v>20.213448422208884</v>
      </c>
      <c r="M589">
        <v>3338</v>
      </c>
      <c r="N589" s="2">
        <f t="shared" si="59"/>
        <v>242.56138106650661</v>
      </c>
      <c r="O589">
        <v>12</v>
      </c>
    </row>
    <row r="590" spans="1:15" x14ac:dyDescent="0.25">
      <c r="A590" t="s">
        <v>46</v>
      </c>
      <c r="B590" t="s">
        <v>14</v>
      </c>
      <c r="C590" t="s">
        <v>3</v>
      </c>
      <c r="D590" t="str">
        <f t="shared" si="55"/>
        <v>FAB1_Leche Clasica Deslactosada Light 1 L</v>
      </c>
      <c r="E590">
        <v>2022</v>
      </c>
      <c r="F590">
        <v>41</v>
      </c>
      <c r="G590">
        <f t="shared" si="56"/>
        <v>10</v>
      </c>
      <c r="H590" s="1">
        <f t="shared" si="57"/>
        <v>44844</v>
      </c>
      <c r="I590" s="1">
        <f t="shared" si="58"/>
        <v>44835</v>
      </c>
      <c r="J590">
        <v>877669.25999999978</v>
      </c>
      <c r="K590">
        <v>45576</v>
      </c>
      <c r="L590">
        <f t="shared" si="54"/>
        <v>19.257268299104787</v>
      </c>
      <c r="M590">
        <v>3798</v>
      </c>
      <c r="N590" s="2">
        <f t="shared" si="59"/>
        <v>231.08721958925744</v>
      </c>
      <c r="O590">
        <v>12</v>
      </c>
    </row>
    <row r="591" spans="1:15" x14ac:dyDescent="0.25">
      <c r="A591" t="s">
        <v>46</v>
      </c>
      <c r="B591" t="s">
        <v>14</v>
      </c>
      <c r="C591" t="s">
        <v>3</v>
      </c>
      <c r="D591" t="str">
        <f t="shared" si="55"/>
        <v>FAB1_Leche Clasica Deslactosada Light 1 L</v>
      </c>
      <c r="E591">
        <v>2022</v>
      </c>
      <c r="F591">
        <v>42</v>
      </c>
      <c r="G591">
        <f t="shared" si="56"/>
        <v>10</v>
      </c>
      <c r="H591" s="1">
        <f t="shared" si="57"/>
        <v>44851</v>
      </c>
      <c r="I591" s="1">
        <f t="shared" si="58"/>
        <v>44835</v>
      </c>
      <c r="J591">
        <v>861547.49999999988</v>
      </c>
      <c r="K591">
        <v>43872</v>
      </c>
      <c r="L591">
        <f t="shared" si="54"/>
        <v>19.637753008752732</v>
      </c>
      <c r="M591">
        <v>3656</v>
      </c>
      <c r="N591" s="2">
        <f t="shared" si="59"/>
        <v>235.65303610503278</v>
      </c>
      <c r="O591">
        <v>12</v>
      </c>
    </row>
    <row r="592" spans="1:15" x14ac:dyDescent="0.25">
      <c r="A592" t="s">
        <v>46</v>
      </c>
      <c r="B592" t="s">
        <v>14</v>
      </c>
      <c r="C592" t="s">
        <v>3</v>
      </c>
      <c r="D592" t="str">
        <f t="shared" si="55"/>
        <v>FAB1_Leche Clasica Deslactosada Light 1 L</v>
      </c>
      <c r="E592">
        <v>2022</v>
      </c>
      <c r="F592">
        <v>43</v>
      </c>
      <c r="G592">
        <f t="shared" si="56"/>
        <v>10</v>
      </c>
      <c r="H592" s="1">
        <f t="shared" si="57"/>
        <v>44858</v>
      </c>
      <c r="I592" s="1">
        <f t="shared" si="58"/>
        <v>44835</v>
      </c>
      <c r="J592">
        <v>533193.87999999966</v>
      </c>
      <c r="K592">
        <v>25668</v>
      </c>
      <c r="L592">
        <f t="shared" si="54"/>
        <v>20.772708430730859</v>
      </c>
      <c r="M592">
        <v>2139</v>
      </c>
      <c r="N592" s="2">
        <f t="shared" si="59"/>
        <v>249.2725011687703</v>
      </c>
      <c r="O592">
        <v>12</v>
      </c>
    </row>
    <row r="593" spans="1:15" x14ac:dyDescent="0.25">
      <c r="A593" t="s">
        <v>46</v>
      </c>
      <c r="B593" t="s">
        <v>14</v>
      </c>
      <c r="C593" t="s">
        <v>3</v>
      </c>
      <c r="D593" t="str">
        <f t="shared" si="55"/>
        <v>FAB1_Leche Clasica Deslactosada Light 1 L</v>
      </c>
      <c r="E593">
        <v>2022</v>
      </c>
      <c r="F593">
        <v>44</v>
      </c>
      <c r="G593">
        <f t="shared" si="56"/>
        <v>11</v>
      </c>
      <c r="H593" s="1">
        <f t="shared" si="57"/>
        <v>44865</v>
      </c>
      <c r="I593" s="1">
        <f t="shared" si="58"/>
        <v>44866</v>
      </c>
      <c r="J593">
        <v>730258.32999999961</v>
      </c>
      <c r="K593">
        <v>35424</v>
      </c>
      <c r="L593">
        <f t="shared" si="54"/>
        <v>20.614790255194208</v>
      </c>
      <c r="M593">
        <v>2952</v>
      </c>
      <c r="N593" s="2">
        <f t="shared" si="59"/>
        <v>247.3774830623305</v>
      </c>
      <c r="O593">
        <v>12</v>
      </c>
    </row>
    <row r="594" spans="1:15" x14ac:dyDescent="0.25">
      <c r="A594" t="s">
        <v>46</v>
      </c>
      <c r="B594" t="s">
        <v>14</v>
      </c>
      <c r="C594" t="s">
        <v>3</v>
      </c>
      <c r="D594" t="str">
        <f t="shared" si="55"/>
        <v>FAB1_Leche Clasica Deslactosada Light 1 L</v>
      </c>
      <c r="E594">
        <v>2022</v>
      </c>
      <c r="F594">
        <v>45</v>
      </c>
      <c r="G594">
        <f t="shared" si="56"/>
        <v>11</v>
      </c>
      <c r="H594" s="1">
        <f t="shared" si="57"/>
        <v>44872</v>
      </c>
      <c r="I594" s="1">
        <f t="shared" si="58"/>
        <v>44866</v>
      </c>
      <c r="J594">
        <v>754774.69</v>
      </c>
      <c r="K594">
        <v>38760</v>
      </c>
      <c r="L594">
        <f t="shared" si="54"/>
        <v>19.473031217750258</v>
      </c>
      <c r="M594">
        <v>3230</v>
      </c>
      <c r="N594" s="2">
        <f t="shared" si="59"/>
        <v>233.67637461300308</v>
      </c>
      <c r="O594">
        <v>12</v>
      </c>
    </row>
    <row r="595" spans="1:15" x14ac:dyDescent="0.25">
      <c r="A595" t="s">
        <v>46</v>
      </c>
      <c r="B595" t="s">
        <v>14</v>
      </c>
      <c r="C595" t="s">
        <v>3</v>
      </c>
      <c r="D595" t="str">
        <f t="shared" si="55"/>
        <v>FAB1_Leche Clasica Deslactosada Light 1 L</v>
      </c>
      <c r="E595">
        <v>2022</v>
      </c>
      <c r="F595">
        <v>46</v>
      </c>
      <c r="G595">
        <f t="shared" si="56"/>
        <v>11</v>
      </c>
      <c r="H595" s="1">
        <f t="shared" si="57"/>
        <v>44879</v>
      </c>
      <c r="I595" s="1">
        <f t="shared" si="58"/>
        <v>44866</v>
      </c>
      <c r="J595">
        <v>817079.3599999994</v>
      </c>
      <c r="K595">
        <v>40200</v>
      </c>
      <c r="L595">
        <f t="shared" si="54"/>
        <v>20.325357213930335</v>
      </c>
      <c r="M595">
        <v>3350</v>
      </c>
      <c r="N595" s="2">
        <f t="shared" si="59"/>
        <v>243.90428656716401</v>
      </c>
      <c r="O595">
        <v>12</v>
      </c>
    </row>
    <row r="596" spans="1:15" x14ac:dyDescent="0.25">
      <c r="A596" t="s">
        <v>46</v>
      </c>
      <c r="B596" t="s">
        <v>14</v>
      </c>
      <c r="C596" t="s">
        <v>3</v>
      </c>
      <c r="D596" t="str">
        <f t="shared" si="55"/>
        <v>FAB1_Leche Clasica Deslactosada Light 1 L</v>
      </c>
      <c r="E596">
        <v>2022</v>
      </c>
      <c r="F596">
        <v>47</v>
      </c>
      <c r="G596">
        <f t="shared" si="56"/>
        <v>11</v>
      </c>
      <c r="H596" s="1">
        <f t="shared" si="57"/>
        <v>44886</v>
      </c>
      <c r="I596" s="1">
        <f t="shared" si="58"/>
        <v>44866</v>
      </c>
      <c r="J596">
        <v>768915.0199999992</v>
      </c>
      <c r="K596">
        <v>37176</v>
      </c>
      <c r="L596">
        <f t="shared" si="54"/>
        <v>20.683102539272628</v>
      </c>
      <c r="M596">
        <v>3098</v>
      </c>
      <c r="N596" s="2">
        <f t="shared" si="59"/>
        <v>248.19723047127152</v>
      </c>
      <c r="O596">
        <v>12</v>
      </c>
    </row>
    <row r="597" spans="1:15" x14ac:dyDescent="0.25">
      <c r="A597" t="s">
        <v>46</v>
      </c>
      <c r="B597" t="s">
        <v>14</v>
      </c>
      <c r="C597" t="s">
        <v>3</v>
      </c>
      <c r="D597" t="str">
        <f t="shared" si="55"/>
        <v>FAB1_Leche Clasica Deslactosada Light 1 L</v>
      </c>
      <c r="E597">
        <v>2022</v>
      </c>
      <c r="F597">
        <v>48</v>
      </c>
      <c r="G597">
        <f t="shared" si="56"/>
        <v>12</v>
      </c>
      <c r="H597" s="1">
        <f t="shared" si="57"/>
        <v>44893</v>
      </c>
      <c r="I597" s="1">
        <f t="shared" si="58"/>
        <v>44896</v>
      </c>
      <c r="J597">
        <v>610430.09999999951</v>
      </c>
      <c r="K597">
        <v>30240</v>
      </c>
      <c r="L597">
        <f t="shared" si="54"/>
        <v>20.186180555555538</v>
      </c>
      <c r="M597">
        <v>2520</v>
      </c>
      <c r="N597" s="2">
        <f t="shared" si="59"/>
        <v>242.23416666666648</v>
      </c>
      <c r="O597">
        <v>12</v>
      </c>
    </row>
    <row r="598" spans="1:15" x14ac:dyDescent="0.25">
      <c r="A598" t="s">
        <v>46</v>
      </c>
      <c r="B598" t="s">
        <v>14</v>
      </c>
      <c r="C598" t="s">
        <v>3</v>
      </c>
      <c r="D598" t="str">
        <f t="shared" si="55"/>
        <v>FAB1_Leche Clasica Deslactosada Light 1 L</v>
      </c>
      <c r="E598">
        <v>2022</v>
      </c>
      <c r="F598">
        <v>49</v>
      </c>
      <c r="G598">
        <f t="shared" si="56"/>
        <v>12</v>
      </c>
      <c r="H598" s="1">
        <f t="shared" si="57"/>
        <v>44900</v>
      </c>
      <c r="I598" s="1">
        <f t="shared" si="58"/>
        <v>44896</v>
      </c>
      <c r="J598">
        <v>722206.80999999936</v>
      </c>
      <c r="K598">
        <v>35496</v>
      </c>
      <c r="L598">
        <f t="shared" si="54"/>
        <v>20.346146326346613</v>
      </c>
      <c r="M598">
        <v>2958</v>
      </c>
      <c r="N598" s="2">
        <f t="shared" si="59"/>
        <v>244.15375591615935</v>
      </c>
      <c r="O598">
        <v>12</v>
      </c>
    </row>
    <row r="599" spans="1:15" x14ac:dyDescent="0.25">
      <c r="A599" t="s">
        <v>46</v>
      </c>
      <c r="B599" t="s">
        <v>14</v>
      </c>
      <c r="C599" t="s">
        <v>3</v>
      </c>
      <c r="D599" t="str">
        <f t="shared" si="55"/>
        <v>FAB1_Leche Clasica Deslactosada Light 1 L</v>
      </c>
      <c r="E599">
        <v>2022</v>
      </c>
      <c r="F599">
        <v>50</v>
      </c>
      <c r="G599">
        <f t="shared" si="56"/>
        <v>12</v>
      </c>
      <c r="H599" s="1">
        <f t="shared" si="57"/>
        <v>44907</v>
      </c>
      <c r="I599" s="1">
        <f t="shared" si="58"/>
        <v>44896</v>
      </c>
      <c r="J599">
        <v>743327.21999999927</v>
      </c>
      <c r="K599">
        <v>36768</v>
      </c>
      <c r="L599">
        <f t="shared" si="54"/>
        <v>20.216688968668386</v>
      </c>
      <c r="M599">
        <v>3064</v>
      </c>
      <c r="N599" s="2">
        <f t="shared" si="59"/>
        <v>242.60026762402066</v>
      </c>
      <c r="O599">
        <v>12</v>
      </c>
    </row>
    <row r="600" spans="1:15" x14ac:dyDescent="0.25">
      <c r="A600" t="s">
        <v>46</v>
      </c>
      <c r="B600" t="s">
        <v>14</v>
      </c>
      <c r="C600" t="s">
        <v>3</v>
      </c>
      <c r="D600" t="str">
        <f t="shared" si="55"/>
        <v>FAB1_Leche Clasica Deslactosada Light 1 L</v>
      </c>
      <c r="E600">
        <v>2022</v>
      </c>
      <c r="F600">
        <v>51</v>
      </c>
      <c r="G600">
        <f t="shared" si="56"/>
        <v>12</v>
      </c>
      <c r="H600" s="1">
        <f t="shared" si="57"/>
        <v>44914</v>
      </c>
      <c r="I600" s="1">
        <f t="shared" si="58"/>
        <v>44896</v>
      </c>
      <c r="J600">
        <v>722561.35999999952</v>
      </c>
      <c r="K600">
        <v>35808</v>
      </c>
      <c r="L600">
        <f t="shared" si="54"/>
        <v>20.178768990169782</v>
      </c>
      <c r="M600">
        <v>2984</v>
      </c>
      <c r="N600" s="2">
        <f t="shared" si="59"/>
        <v>242.14522788203737</v>
      </c>
      <c r="O600">
        <v>12</v>
      </c>
    </row>
    <row r="601" spans="1:15" x14ac:dyDescent="0.25">
      <c r="A601" t="s">
        <v>46</v>
      </c>
      <c r="B601" t="s">
        <v>14</v>
      </c>
      <c r="C601" t="s">
        <v>3</v>
      </c>
      <c r="D601" t="str">
        <f t="shared" si="55"/>
        <v>FAB1_Leche Clasica Deslactosada Light 1 L</v>
      </c>
      <c r="E601">
        <v>2022</v>
      </c>
      <c r="F601">
        <v>52</v>
      </c>
      <c r="G601">
        <f t="shared" si="56"/>
        <v>12</v>
      </c>
      <c r="H601" s="1">
        <f t="shared" si="57"/>
        <v>44921</v>
      </c>
      <c r="I601" s="1">
        <f t="shared" si="58"/>
        <v>44896</v>
      </c>
      <c r="J601">
        <v>696505.77999999968</v>
      </c>
      <c r="K601">
        <v>34800</v>
      </c>
      <c r="L601">
        <f t="shared" si="54"/>
        <v>20.014533908045969</v>
      </c>
      <c r="M601">
        <v>2900</v>
      </c>
      <c r="N601" s="2">
        <f t="shared" si="59"/>
        <v>240.1744068965516</v>
      </c>
      <c r="O601">
        <v>12</v>
      </c>
    </row>
    <row r="602" spans="1:15" x14ac:dyDescent="0.25">
      <c r="A602" t="s">
        <v>46</v>
      </c>
      <c r="B602" t="s">
        <v>14</v>
      </c>
      <c r="C602" t="s">
        <v>3</v>
      </c>
      <c r="D602" t="str">
        <f t="shared" si="55"/>
        <v>FAB1_Leche Clasica Deslactosada Light 1 L</v>
      </c>
      <c r="E602">
        <v>2023</v>
      </c>
      <c r="F602">
        <v>1</v>
      </c>
      <c r="G602">
        <f t="shared" si="56"/>
        <v>1</v>
      </c>
      <c r="H602" s="1">
        <f t="shared" si="57"/>
        <v>44928</v>
      </c>
      <c r="I602" s="1">
        <f t="shared" si="58"/>
        <v>44927</v>
      </c>
      <c r="J602">
        <v>785852.62999999954</v>
      </c>
      <c r="K602">
        <v>38544</v>
      </c>
      <c r="L602">
        <f t="shared" si="54"/>
        <v>20.388455531340792</v>
      </c>
      <c r="M602">
        <v>3212</v>
      </c>
      <c r="N602" s="2">
        <f t="shared" si="59"/>
        <v>244.66146637608952</v>
      </c>
      <c r="O602">
        <v>12</v>
      </c>
    </row>
    <row r="603" spans="1:15" x14ac:dyDescent="0.25">
      <c r="A603" t="s">
        <v>46</v>
      </c>
      <c r="B603" t="s">
        <v>14</v>
      </c>
      <c r="C603" t="s">
        <v>3</v>
      </c>
      <c r="D603" t="str">
        <f t="shared" si="55"/>
        <v>FAB1_Leche Clasica Deslactosada Light 1 L</v>
      </c>
      <c r="E603">
        <v>2023</v>
      </c>
      <c r="F603">
        <v>2</v>
      </c>
      <c r="G603">
        <f t="shared" si="56"/>
        <v>1</v>
      </c>
      <c r="H603" s="1">
        <f t="shared" si="57"/>
        <v>44935</v>
      </c>
      <c r="I603" s="1">
        <f t="shared" si="58"/>
        <v>44927</v>
      </c>
      <c r="J603">
        <v>652724.59999999963</v>
      </c>
      <c r="K603">
        <v>32700</v>
      </c>
      <c r="L603">
        <f t="shared" si="54"/>
        <v>19.960996941896013</v>
      </c>
      <c r="M603">
        <v>2725</v>
      </c>
      <c r="N603" s="2">
        <f t="shared" si="59"/>
        <v>239.53196330275216</v>
      </c>
      <c r="O603">
        <v>12</v>
      </c>
    </row>
    <row r="604" spans="1:15" x14ac:dyDescent="0.25">
      <c r="A604" t="s">
        <v>46</v>
      </c>
      <c r="B604" t="s">
        <v>14</v>
      </c>
      <c r="C604" t="s">
        <v>3</v>
      </c>
      <c r="D604" t="str">
        <f t="shared" si="55"/>
        <v>FAB1_Leche Clasica Deslactosada Light 1 L</v>
      </c>
      <c r="E604">
        <v>2023</v>
      </c>
      <c r="F604">
        <v>3</v>
      </c>
      <c r="G604">
        <f t="shared" si="56"/>
        <v>1</v>
      </c>
      <c r="H604" s="1">
        <f t="shared" si="57"/>
        <v>44942</v>
      </c>
      <c r="I604" s="1">
        <f t="shared" si="58"/>
        <v>44927</v>
      </c>
      <c r="J604">
        <v>641585.60000000009</v>
      </c>
      <c r="K604">
        <v>32148</v>
      </c>
      <c r="L604">
        <f t="shared" si="54"/>
        <v>19.957247729252213</v>
      </c>
      <c r="M604">
        <v>2679</v>
      </c>
      <c r="N604" s="2">
        <f t="shared" si="59"/>
        <v>239.48697275102654</v>
      </c>
      <c r="O604">
        <v>12</v>
      </c>
    </row>
    <row r="605" spans="1:15" x14ac:dyDescent="0.25">
      <c r="A605" t="s">
        <v>46</v>
      </c>
      <c r="B605" t="s">
        <v>14</v>
      </c>
      <c r="C605" t="s">
        <v>3</v>
      </c>
      <c r="D605" t="str">
        <f t="shared" si="55"/>
        <v>FAB1_Leche Clasica Deslactosada Light 1 L</v>
      </c>
      <c r="E605">
        <v>2023</v>
      </c>
      <c r="F605">
        <v>4</v>
      </c>
      <c r="G605">
        <f t="shared" si="56"/>
        <v>1</v>
      </c>
      <c r="H605" s="1">
        <f t="shared" si="57"/>
        <v>44949</v>
      </c>
      <c r="I605" s="1">
        <f t="shared" si="58"/>
        <v>44927</v>
      </c>
      <c r="J605">
        <v>580282.10999999975</v>
      </c>
      <c r="K605">
        <v>28632</v>
      </c>
      <c r="L605">
        <f t="shared" si="54"/>
        <v>20.266908005029329</v>
      </c>
      <c r="M605">
        <v>2386</v>
      </c>
      <c r="N605" s="2">
        <f t="shared" si="59"/>
        <v>243.20289606035195</v>
      </c>
      <c r="O605">
        <v>12</v>
      </c>
    </row>
    <row r="606" spans="1:15" x14ac:dyDescent="0.25">
      <c r="A606" t="s">
        <v>46</v>
      </c>
      <c r="B606" t="s">
        <v>14</v>
      </c>
      <c r="C606" t="s">
        <v>3</v>
      </c>
      <c r="D606" t="str">
        <f t="shared" si="55"/>
        <v>FAB1_Leche Clasica Deslactosada Light 1 L</v>
      </c>
      <c r="E606">
        <v>2023</v>
      </c>
      <c r="F606">
        <v>5</v>
      </c>
      <c r="G606">
        <f t="shared" si="56"/>
        <v>2</v>
      </c>
      <c r="H606" s="1">
        <f t="shared" si="57"/>
        <v>44956</v>
      </c>
      <c r="I606" s="1">
        <f t="shared" si="58"/>
        <v>44958</v>
      </c>
      <c r="J606">
        <v>751839.13999999908</v>
      </c>
      <c r="K606">
        <v>36984</v>
      </c>
      <c r="L606">
        <f t="shared" si="54"/>
        <v>20.328767575167614</v>
      </c>
      <c r="M606">
        <v>3082</v>
      </c>
      <c r="N606" s="2">
        <f t="shared" si="59"/>
        <v>243.94521090201138</v>
      </c>
      <c r="O606">
        <v>12</v>
      </c>
    </row>
    <row r="607" spans="1:15" x14ac:dyDescent="0.25">
      <c r="A607" t="s">
        <v>46</v>
      </c>
      <c r="B607" t="s">
        <v>14</v>
      </c>
      <c r="C607" t="s">
        <v>3</v>
      </c>
      <c r="D607" t="str">
        <f t="shared" si="55"/>
        <v>FAB1_Leche Clasica Deslactosada Light 1 L</v>
      </c>
      <c r="E607">
        <v>2023</v>
      </c>
      <c r="F607">
        <v>6</v>
      </c>
      <c r="G607">
        <f t="shared" si="56"/>
        <v>2</v>
      </c>
      <c r="H607" s="1">
        <f t="shared" si="57"/>
        <v>44963</v>
      </c>
      <c r="I607" s="1">
        <f t="shared" si="58"/>
        <v>44958</v>
      </c>
      <c r="J607">
        <v>653643.4099999998</v>
      </c>
      <c r="K607">
        <v>32556</v>
      </c>
      <c r="L607">
        <f t="shared" si="54"/>
        <v>20.077509829217341</v>
      </c>
      <c r="M607">
        <v>2713</v>
      </c>
      <c r="N607" s="2">
        <f t="shared" si="59"/>
        <v>240.93011795060812</v>
      </c>
      <c r="O607">
        <v>12</v>
      </c>
    </row>
    <row r="608" spans="1:15" x14ac:dyDescent="0.25">
      <c r="A608" t="s">
        <v>46</v>
      </c>
      <c r="B608" t="s">
        <v>14</v>
      </c>
      <c r="C608" t="s">
        <v>3</v>
      </c>
      <c r="D608" t="str">
        <f t="shared" si="55"/>
        <v>FAB1_Leche Clasica Deslactosada Light 1 L</v>
      </c>
      <c r="E608">
        <v>2023</v>
      </c>
      <c r="F608">
        <v>7</v>
      </c>
      <c r="G608">
        <f t="shared" si="56"/>
        <v>2</v>
      </c>
      <c r="H608" s="1">
        <f t="shared" si="57"/>
        <v>44970</v>
      </c>
      <c r="I608" s="1">
        <f t="shared" si="58"/>
        <v>44958</v>
      </c>
      <c r="J608">
        <v>921997.99999999965</v>
      </c>
      <c r="K608">
        <v>49020</v>
      </c>
      <c r="L608">
        <f t="shared" si="54"/>
        <v>18.808608731130143</v>
      </c>
      <c r="M608">
        <v>4085</v>
      </c>
      <c r="N608" s="2">
        <f t="shared" si="59"/>
        <v>225.70330477356174</v>
      </c>
      <c r="O608">
        <v>12</v>
      </c>
    </row>
    <row r="609" spans="1:15" x14ac:dyDescent="0.25">
      <c r="A609" t="s">
        <v>46</v>
      </c>
      <c r="B609" t="s">
        <v>14</v>
      </c>
      <c r="C609" t="s">
        <v>3</v>
      </c>
      <c r="D609" t="str">
        <f t="shared" si="55"/>
        <v>FAB1_Leche Clasica Deslactosada Light 1 L</v>
      </c>
      <c r="E609">
        <v>2023</v>
      </c>
      <c r="F609">
        <v>8</v>
      </c>
      <c r="G609">
        <f t="shared" si="56"/>
        <v>2</v>
      </c>
      <c r="H609" s="1">
        <f t="shared" si="57"/>
        <v>44977</v>
      </c>
      <c r="I609" s="1">
        <f t="shared" si="58"/>
        <v>44958</v>
      </c>
      <c r="J609">
        <v>540422</v>
      </c>
      <c r="K609">
        <v>27204</v>
      </c>
      <c r="L609">
        <f t="shared" si="54"/>
        <v>19.865534480223495</v>
      </c>
      <c r="M609">
        <v>2267</v>
      </c>
      <c r="N609" s="2">
        <f t="shared" si="59"/>
        <v>238.38641376268197</v>
      </c>
      <c r="O609">
        <v>12</v>
      </c>
    </row>
    <row r="610" spans="1:15" x14ac:dyDescent="0.25">
      <c r="A610" t="s">
        <v>46</v>
      </c>
      <c r="B610" t="s">
        <v>14</v>
      </c>
      <c r="C610" t="s">
        <v>3</v>
      </c>
      <c r="D610" t="str">
        <f t="shared" si="55"/>
        <v>FAB1_Leche Clasica Deslactosada Light 1 L</v>
      </c>
      <c r="E610">
        <v>2023</v>
      </c>
      <c r="F610">
        <v>9</v>
      </c>
      <c r="G610">
        <f t="shared" si="56"/>
        <v>3</v>
      </c>
      <c r="H610" s="1">
        <f t="shared" si="57"/>
        <v>44984</v>
      </c>
      <c r="I610" s="1">
        <f t="shared" si="58"/>
        <v>44986</v>
      </c>
      <c r="J610">
        <v>689108.90999999992</v>
      </c>
      <c r="K610">
        <v>36000</v>
      </c>
      <c r="L610">
        <f t="shared" si="54"/>
        <v>19.141914166666663</v>
      </c>
      <c r="M610">
        <v>3000</v>
      </c>
      <c r="N610" s="2">
        <f t="shared" si="59"/>
        <v>229.70296999999997</v>
      </c>
      <c r="O610">
        <v>12</v>
      </c>
    </row>
    <row r="611" spans="1:15" x14ac:dyDescent="0.25">
      <c r="A611" t="s">
        <v>46</v>
      </c>
      <c r="B611" t="s">
        <v>14</v>
      </c>
      <c r="C611" t="s">
        <v>3</v>
      </c>
      <c r="D611" t="str">
        <f t="shared" si="55"/>
        <v>FAB1_Leche Clasica Deslactosada Light 1 L</v>
      </c>
      <c r="E611">
        <v>2023</v>
      </c>
      <c r="F611">
        <v>10</v>
      </c>
      <c r="G611">
        <f t="shared" si="56"/>
        <v>3</v>
      </c>
      <c r="H611" s="1">
        <f t="shared" si="57"/>
        <v>44991</v>
      </c>
      <c r="I611" s="1">
        <f t="shared" si="58"/>
        <v>44986</v>
      </c>
      <c r="J611">
        <v>593980.41999999946</v>
      </c>
      <c r="K611">
        <v>31068</v>
      </c>
      <c r="L611">
        <f t="shared" si="54"/>
        <v>19.118720870348895</v>
      </c>
      <c r="M611">
        <v>2589</v>
      </c>
      <c r="N611" s="2">
        <f t="shared" si="59"/>
        <v>229.42465044418674</v>
      </c>
      <c r="O611">
        <v>12</v>
      </c>
    </row>
    <row r="612" spans="1:15" x14ac:dyDescent="0.25">
      <c r="A612" t="s">
        <v>46</v>
      </c>
      <c r="B612" t="s">
        <v>14</v>
      </c>
      <c r="C612" t="s">
        <v>3</v>
      </c>
      <c r="D612" t="str">
        <f t="shared" si="55"/>
        <v>FAB1_Leche Clasica Deslactosada Light 1 L</v>
      </c>
      <c r="E612">
        <v>2023</v>
      </c>
      <c r="F612">
        <v>11</v>
      </c>
      <c r="G612">
        <f t="shared" si="56"/>
        <v>3</v>
      </c>
      <c r="H612" s="1">
        <f t="shared" si="57"/>
        <v>44998</v>
      </c>
      <c r="I612" s="1">
        <f t="shared" si="58"/>
        <v>44986</v>
      </c>
      <c r="J612">
        <v>641638.55000000016</v>
      </c>
      <c r="K612">
        <v>32760</v>
      </c>
      <c r="L612">
        <f t="shared" si="54"/>
        <v>19.586036324786331</v>
      </c>
      <c r="M612">
        <v>2730</v>
      </c>
      <c r="N612" s="2">
        <f t="shared" si="59"/>
        <v>235.03243589743596</v>
      </c>
      <c r="O612">
        <v>12</v>
      </c>
    </row>
    <row r="613" spans="1:15" x14ac:dyDescent="0.25">
      <c r="A613" t="s">
        <v>46</v>
      </c>
      <c r="B613" t="s">
        <v>14</v>
      </c>
      <c r="C613" t="s">
        <v>3</v>
      </c>
      <c r="D613" t="str">
        <f t="shared" si="55"/>
        <v>FAB1_Leche Clasica Deslactosada Light 1 L</v>
      </c>
      <c r="E613">
        <v>2023</v>
      </c>
      <c r="F613">
        <v>12</v>
      </c>
      <c r="G613">
        <f t="shared" si="56"/>
        <v>3</v>
      </c>
      <c r="H613" s="1">
        <f t="shared" si="57"/>
        <v>45005</v>
      </c>
      <c r="I613" s="1">
        <f t="shared" si="58"/>
        <v>44986</v>
      </c>
      <c r="J613">
        <v>595209.62000000034</v>
      </c>
      <c r="K613">
        <v>29868</v>
      </c>
      <c r="L613">
        <f t="shared" si="54"/>
        <v>19.928003883755203</v>
      </c>
      <c r="M613">
        <v>2489</v>
      </c>
      <c r="N613" s="2">
        <f t="shared" si="59"/>
        <v>239.1360466050624</v>
      </c>
      <c r="O613">
        <v>12</v>
      </c>
    </row>
    <row r="614" spans="1:15" x14ac:dyDescent="0.25">
      <c r="A614" t="s">
        <v>46</v>
      </c>
      <c r="B614" t="s">
        <v>14</v>
      </c>
      <c r="C614" t="s">
        <v>3</v>
      </c>
      <c r="D614" t="str">
        <f t="shared" si="55"/>
        <v>FAB1_Leche Clasica Deslactosada Light 1 L</v>
      </c>
      <c r="E614">
        <v>2023</v>
      </c>
      <c r="F614">
        <v>13</v>
      </c>
      <c r="G614">
        <f t="shared" si="56"/>
        <v>3</v>
      </c>
      <c r="H614" s="1">
        <f t="shared" si="57"/>
        <v>45012</v>
      </c>
      <c r="I614" s="1">
        <f t="shared" si="58"/>
        <v>44986</v>
      </c>
      <c r="J614">
        <v>547404.64</v>
      </c>
      <c r="K614">
        <v>27720</v>
      </c>
      <c r="L614">
        <f t="shared" si="54"/>
        <v>19.747642135642135</v>
      </c>
      <c r="M614">
        <v>2310</v>
      </c>
      <c r="N614" s="2">
        <f t="shared" si="59"/>
        <v>236.97170562770563</v>
      </c>
      <c r="O614">
        <v>12</v>
      </c>
    </row>
    <row r="615" spans="1:15" x14ac:dyDescent="0.25">
      <c r="A615" t="s">
        <v>46</v>
      </c>
      <c r="B615" t="s">
        <v>14</v>
      </c>
      <c r="C615" t="s">
        <v>3</v>
      </c>
      <c r="D615" t="str">
        <f t="shared" si="55"/>
        <v>FAB1_Leche Clasica Deslactosada Light 1 L</v>
      </c>
      <c r="E615">
        <v>2023</v>
      </c>
      <c r="F615">
        <v>14</v>
      </c>
      <c r="G615">
        <f t="shared" si="56"/>
        <v>4</v>
      </c>
      <c r="H615" s="1">
        <f t="shared" si="57"/>
        <v>45019</v>
      </c>
      <c r="I615" s="1">
        <f t="shared" si="58"/>
        <v>45017</v>
      </c>
      <c r="J615">
        <v>736542.44</v>
      </c>
      <c r="K615">
        <v>38232</v>
      </c>
      <c r="L615">
        <f t="shared" si="54"/>
        <v>19.265077422054823</v>
      </c>
      <c r="M615">
        <v>3186</v>
      </c>
      <c r="N615" s="2">
        <f t="shared" si="59"/>
        <v>231.18092906465787</v>
      </c>
      <c r="O615">
        <v>12</v>
      </c>
    </row>
    <row r="616" spans="1:15" x14ac:dyDescent="0.25">
      <c r="A616" t="s">
        <v>46</v>
      </c>
      <c r="B616" t="s">
        <v>14</v>
      </c>
      <c r="C616" t="s">
        <v>3</v>
      </c>
      <c r="D616" t="str">
        <f t="shared" si="55"/>
        <v>FAB1_Leche Clasica Deslactosada Light 1 L</v>
      </c>
      <c r="E616">
        <v>2023</v>
      </c>
      <c r="F616">
        <v>15</v>
      </c>
      <c r="G616">
        <f t="shared" si="56"/>
        <v>4</v>
      </c>
      <c r="H616" s="1">
        <f t="shared" si="57"/>
        <v>45026</v>
      </c>
      <c r="I616" s="1">
        <f t="shared" si="58"/>
        <v>45017</v>
      </c>
      <c r="J616">
        <v>578905.83000000031</v>
      </c>
      <c r="K616">
        <v>29940</v>
      </c>
      <c r="L616">
        <f t="shared" si="54"/>
        <v>19.335532064128266</v>
      </c>
      <c r="M616">
        <v>2495</v>
      </c>
      <c r="N616" s="2">
        <f t="shared" si="59"/>
        <v>232.02638476953919</v>
      </c>
      <c r="O616">
        <v>12</v>
      </c>
    </row>
    <row r="617" spans="1:15" x14ac:dyDescent="0.25">
      <c r="A617" t="s">
        <v>46</v>
      </c>
      <c r="B617" t="s">
        <v>14</v>
      </c>
      <c r="C617" t="s">
        <v>3</v>
      </c>
      <c r="D617" t="str">
        <f t="shared" si="55"/>
        <v>FAB1_Leche Clasica Deslactosada Light 1 L</v>
      </c>
      <c r="E617">
        <v>2023</v>
      </c>
      <c r="F617">
        <v>16</v>
      </c>
      <c r="G617">
        <f t="shared" si="56"/>
        <v>4</v>
      </c>
      <c r="H617" s="1">
        <f t="shared" si="57"/>
        <v>45033</v>
      </c>
      <c r="I617" s="1">
        <f t="shared" si="58"/>
        <v>45017</v>
      </c>
      <c r="J617">
        <v>673499.26999999979</v>
      </c>
      <c r="K617">
        <v>35604</v>
      </c>
      <c r="L617">
        <f t="shared" si="54"/>
        <v>18.916393382765975</v>
      </c>
      <c r="M617">
        <v>2967</v>
      </c>
      <c r="N617" s="2">
        <f t="shared" si="59"/>
        <v>226.9967205931917</v>
      </c>
      <c r="O617">
        <v>12</v>
      </c>
    </row>
    <row r="618" spans="1:15" x14ac:dyDescent="0.25">
      <c r="A618" t="s">
        <v>46</v>
      </c>
      <c r="B618" t="s">
        <v>14</v>
      </c>
      <c r="C618" t="s">
        <v>3</v>
      </c>
      <c r="D618" t="str">
        <f t="shared" si="55"/>
        <v>FAB1_Leche Clasica Deslactosada Light 1 L</v>
      </c>
      <c r="E618">
        <v>2023</v>
      </c>
      <c r="F618">
        <v>17</v>
      </c>
      <c r="G618">
        <f t="shared" si="56"/>
        <v>4</v>
      </c>
      <c r="H618" s="1">
        <f t="shared" si="57"/>
        <v>45040</v>
      </c>
      <c r="I618" s="1">
        <f t="shared" si="58"/>
        <v>45017</v>
      </c>
      <c r="J618">
        <v>741398.73999999953</v>
      </c>
      <c r="K618">
        <v>39864</v>
      </c>
      <c r="L618">
        <f t="shared" si="54"/>
        <v>18.598202388119596</v>
      </c>
      <c r="M618">
        <v>3322</v>
      </c>
      <c r="N618" s="2">
        <f t="shared" si="59"/>
        <v>223.17842865743515</v>
      </c>
      <c r="O618">
        <v>12</v>
      </c>
    </row>
    <row r="619" spans="1:15" x14ac:dyDescent="0.25">
      <c r="A619" t="s">
        <v>46</v>
      </c>
      <c r="B619" t="s">
        <v>14</v>
      </c>
      <c r="C619" t="s">
        <v>3</v>
      </c>
      <c r="D619" t="str">
        <f t="shared" si="55"/>
        <v>FAB1_Leche Clasica Deslactosada Light 1 L</v>
      </c>
      <c r="E619">
        <v>2023</v>
      </c>
      <c r="F619">
        <v>18</v>
      </c>
      <c r="G619">
        <f t="shared" si="56"/>
        <v>5</v>
      </c>
      <c r="H619" s="1">
        <f t="shared" si="57"/>
        <v>45047</v>
      </c>
      <c r="I619" s="1">
        <f t="shared" si="58"/>
        <v>45047</v>
      </c>
      <c r="J619">
        <v>749910.46000000008</v>
      </c>
      <c r="K619">
        <v>39240</v>
      </c>
      <c r="L619">
        <f t="shared" si="54"/>
        <v>19.110867991845058</v>
      </c>
      <c r="M619">
        <v>3270</v>
      </c>
      <c r="N619" s="2">
        <f t="shared" si="59"/>
        <v>229.33041590214069</v>
      </c>
      <c r="O619">
        <v>12</v>
      </c>
    </row>
    <row r="620" spans="1:15" x14ac:dyDescent="0.25">
      <c r="A620" t="s">
        <v>46</v>
      </c>
      <c r="B620" t="s">
        <v>14</v>
      </c>
      <c r="C620" t="s">
        <v>3</v>
      </c>
      <c r="D620" t="str">
        <f t="shared" si="55"/>
        <v>FAB1_Leche Clasica Deslactosada Light 1 L</v>
      </c>
      <c r="E620">
        <v>2023</v>
      </c>
      <c r="F620">
        <v>19</v>
      </c>
      <c r="G620">
        <f t="shared" si="56"/>
        <v>5</v>
      </c>
      <c r="H620" s="1">
        <f t="shared" si="57"/>
        <v>45054</v>
      </c>
      <c r="I620" s="1">
        <f t="shared" si="58"/>
        <v>45047</v>
      </c>
      <c r="J620">
        <v>572232.94999999995</v>
      </c>
      <c r="K620">
        <v>30528</v>
      </c>
      <c r="L620">
        <f t="shared" si="54"/>
        <v>18.744527974318657</v>
      </c>
      <c r="M620">
        <v>2544</v>
      </c>
      <c r="N620" s="2">
        <f t="shared" si="59"/>
        <v>224.93433569182389</v>
      </c>
      <c r="O620">
        <v>12</v>
      </c>
    </row>
    <row r="621" spans="1:15" x14ac:dyDescent="0.25">
      <c r="A621" t="s">
        <v>46</v>
      </c>
      <c r="B621" t="s">
        <v>14</v>
      </c>
      <c r="C621" t="s">
        <v>3</v>
      </c>
      <c r="D621" t="str">
        <f t="shared" si="55"/>
        <v>FAB1_Leche Clasica Deslactosada Light 1 L</v>
      </c>
      <c r="E621">
        <v>2023</v>
      </c>
      <c r="F621">
        <v>20</v>
      </c>
      <c r="G621">
        <f t="shared" si="56"/>
        <v>5</v>
      </c>
      <c r="H621" s="1">
        <f t="shared" si="57"/>
        <v>45061</v>
      </c>
      <c r="I621" s="1">
        <f t="shared" si="58"/>
        <v>45047</v>
      </c>
      <c r="J621">
        <v>638608.79000000039</v>
      </c>
      <c r="K621">
        <v>35304</v>
      </c>
      <c r="L621">
        <f t="shared" si="54"/>
        <v>18.088850838431917</v>
      </c>
      <c r="M621">
        <v>2942</v>
      </c>
      <c r="N621" s="2">
        <f t="shared" si="59"/>
        <v>217.066210061183</v>
      </c>
      <c r="O621">
        <v>12</v>
      </c>
    </row>
    <row r="622" spans="1:15" x14ac:dyDescent="0.25">
      <c r="A622" t="s">
        <v>46</v>
      </c>
      <c r="B622" t="s">
        <v>14</v>
      </c>
      <c r="C622" t="s">
        <v>3</v>
      </c>
      <c r="D622" t="str">
        <f t="shared" si="55"/>
        <v>FAB1_Leche Clasica Deslactosada Light 1 L</v>
      </c>
      <c r="E622">
        <v>2023</v>
      </c>
      <c r="F622">
        <v>21</v>
      </c>
      <c r="G622">
        <f t="shared" si="56"/>
        <v>5</v>
      </c>
      <c r="H622" s="1">
        <f t="shared" si="57"/>
        <v>45068</v>
      </c>
      <c r="I622" s="1">
        <f t="shared" si="58"/>
        <v>45047</v>
      </c>
      <c r="J622">
        <v>690811.28999999992</v>
      </c>
      <c r="K622">
        <v>38616</v>
      </c>
      <c r="L622">
        <f t="shared" si="54"/>
        <v>17.889250310752018</v>
      </c>
      <c r="M622">
        <v>3218</v>
      </c>
      <c r="N622" s="2">
        <f t="shared" si="59"/>
        <v>214.67100372902422</v>
      </c>
      <c r="O622">
        <v>12</v>
      </c>
    </row>
    <row r="623" spans="1:15" x14ac:dyDescent="0.25">
      <c r="A623" t="s">
        <v>46</v>
      </c>
      <c r="B623" t="s">
        <v>14</v>
      </c>
      <c r="C623" t="s">
        <v>3</v>
      </c>
      <c r="D623" t="str">
        <f t="shared" si="55"/>
        <v>FAB1_Leche Clasica Deslactosada Light 1 L</v>
      </c>
      <c r="E623">
        <v>2023</v>
      </c>
      <c r="F623">
        <v>22</v>
      </c>
      <c r="G623">
        <f t="shared" si="56"/>
        <v>6</v>
      </c>
      <c r="H623" s="1">
        <f t="shared" si="57"/>
        <v>45075</v>
      </c>
      <c r="I623" s="1">
        <f t="shared" si="58"/>
        <v>45078</v>
      </c>
      <c r="J623">
        <v>708161.04000000027</v>
      </c>
      <c r="K623">
        <v>37440</v>
      </c>
      <c r="L623">
        <f t="shared" si="54"/>
        <v>18.914557692307699</v>
      </c>
      <c r="M623">
        <v>3120</v>
      </c>
      <c r="N623" s="2">
        <f t="shared" si="59"/>
        <v>226.97469230769241</v>
      </c>
      <c r="O623">
        <v>12</v>
      </c>
    </row>
    <row r="624" spans="1:15" x14ac:dyDescent="0.25">
      <c r="A624" t="s">
        <v>46</v>
      </c>
      <c r="B624" t="s">
        <v>14</v>
      </c>
      <c r="C624" t="s">
        <v>3</v>
      </c>
      <c r="D624" t="str">
        <f t="shared" si="55"/>
        <v>FAB1_Leche Clasica Deslactosada Light 1 L</v>
      </c>
      <c r="E624">
        <v>2023</v>
      </c>
      <c r="F624">
        <v>23</v>
      </c>
      <c r="G624">
        <f t="shared" si="56"/>
        <v>6</v>
      </c>
      <c r="H624" s="1">
        <f t="shared" si="57"/>
        <v>45082</v>
      </c>
      <c r="I624" s="1">
        <f t="shared" si="58"/>
        <v>45078</v>
      </c>
      <c r="J624">
        <v>701384.6</v>
      </c>
      <c r="K624">
        <v>36732</v>
      </c>
      <c r="L624">
        <f t="shared" si="54"/>
        <v>19.094647718610474</v>
      </c>
      <c r="M624">
        <v>3061</v>
      </c>
      <c r="N624" s="2">
        <f t="shared" si="59"/>
        <v>229.13577262332569</v>
      </c>
      <c r="O624">
        <v>12</v>
      </c>
    </row>
    <row r="625" spans="1:15" x14ac:dyDescent="0.25">
      <c r="A625" t="s">
        <v>46</v>
      </c>
      <c r="B625" t="s">
        <v>14</v>
      </c>
      <c r="C625" t="s">
        <v>3</v>
      </c>
      <c r="D625" t="str">
        <f t="shared" si="55"/>
        <v>FAB1_Leche Clasica Deslactosada Light 1 L</v>
      </c>
      <c r="E625">
        <v>2023</v>
      </c>
      <c r="F625">
        <v>24</v>
      </c>
      <c r="G625">
        <f t="shared" si="56"/>
        <v>6</v>
      </c>
      <c r="H625" s="1">
        <f t="shared" si="57"/>
        <v>45089</v>
      </c>
      <c r="I625" s="1">
        <f t="shared" si="58"/>
        <v>45078</v>
      </c>
      <c r="J625">
        <v>647443.19000000041</v>
      </c>
      <c r="K625">
        <v>33924</v>
      </c>
      <c r="L625">
        <f t="shared" si="54"/>
        <v>19.085107593444182</v>
      </c>
      <c r="M625">
        <v>2827</v>
      </c>
      <c r="N625" s="2">
        <f t="shared" si="59"/>
        <v>229.02129112133017</v>
      </c>
      <c r="O625">
        <v>12</v>
      </c>
    </row>
    <row r="626" spans="1:15" x14ac:dyDescent="0.25">
      <c r="A626" t="s">
        <v>46</v>
      </c>
      <c r="B626" t="s">
        <v>14</v>
      </c>
      <c r="C626" t="s">
        <v>3</v>
      </c>
      <c r="D626" t="str">
        <f t="shared" si="55"/>
        <v>FAB1_Leche Clasica Deslactosada Light 1 L</v>
      </c>
      <c r="E626">
        <v>2023</v>
      </c>
      <c r="F626">
        <v>25</v>
      </c>
      <c r="G626">
        <f t="shared" si="56"/>
        <v>6</v>
      </c>
      <c r="H626" s="1">
        <f t="shared" si="57"/>
        <v>45096</v>
      </c>
      <c r="I626" s="1">
        <f t="shared" si="58"/>
        <v>45078</v>
      </c>
      <c r="J626">
        <v>659222.73000000033</v>
      </c>
      <c r="K626">
        <v>34908</v>
      </c>
      <c r="L626">
        <f t="shared" si="54"/>
        <v>18.884574596081137</v>
      </c>
      <c r="M626">
        <v>2909</v>
      </c>
      <c r="N626" s="2">
        <f t="shared" si="59"/>
        <v>226.61489515297365</v>
      </c>
      <c r="O626">
        <v>12</v>
      </c>
    </row>
    <row r="627" spans="1:15" x14ac:dyDescent="0.25">
      <c r="A627" t="s">
        <v>46</v>
      </c>
      <c r="B627" t="s">
        <v>14</v>
      </c>
      <c r="C627" t="s">
        <v>3</v>
      </c>
      <c r="D627" t="str">
        <f t="shared" si="55"/>
        <v>FAB1_Leche Clasica Deslactosada Light 1 L</v>
      </c>
      <c r="E627">
        <v>2023</v>
      </c>
      <c r="F627">
        <v>26</v>
      </c>
      <c r="G627">
        <f t="shared" si="56"/>
        <v>6</v>
      </c>
      <c r="H627" s="1">
        <f t="shared" si="57"/>
        <v>45103</v>
      </c>
      <c r="I627" s="1">
        <f t="shared" si="58"/>
        <v>45078</v>
      </c>
      <c r="J627">
        <v>579384.37000000034</v>
      </c>
      <c r="K627">
        <v>30708</v>
      </c>
      <c r="L627">
        <f t="shared" si="54"/>
        <v>18.867538426468684</v>
      </c>
      <c r="M627">
        <v>2559</v>
      </c>
      <c r="N627" s="2">
        <f t="shared" si="59"/>
        <v>226.41046111762421</v>
      </c>
      <c r="O627">
        <v>12</v>
      </c>
    </row>
    <row r="628" spans="1:15" x14ac:dyDescent="0.25">
      <c r="A628" t="s">
        <v>46</v>
      </c>
      <c r="B628" t="s">
        <v>14</v>
      </c>
      <c r="C628" t="s">
        <v>3</v>
      </c>
      <c r="D628" t="str">
        <f t="shared" si="55"/>
        <v>FAB1_Leche Clasica Deslactosada Light 1 L</v>
      </c>
      <c r="E628">
        <v>2023</v>
      </c>
      <c r="F628">
        <v>27</v>
      </c>
      <c r="G628">
        <f t="shared" si="56"/>
        <v>7</v>
      </c>
      <c r="H628" s="1">
        <f t="shared" si="57"/>
        <v>45110</v>
      </c>
      <c r="I628" s="1">
        <f t="shared" si="58"/>
        <v>45108</v>
      </c>
      <c r="J628">
        <v>762793.01000000013</v>
      </c>
      <c r="K628">
        <v>39708</v>
      </c>
      <c r="L628">
        <f t="shared" si="54"/>
        <v>19.210058678351974</v>
      </c>
      <c r="M628">
        <v>3309</v>
      </c>
      <c r="N628" s="2">
        <f t="shared" si="59"/>
        <v>230.52070414022367</v>
      </c>
      <c r="O628">
        <v>12</v>
      </c>
    </row>
    <row r="629" spans="1:15" x14ac:dyDescent="0.25">
      <c r="A629" t="s">
        <v>46</v>
      </c>
      <c r="B629" t="s">
        <v>14</v>
      </c>
      <c r="C629" t="s">
        <v>3</v>
      </c>
      <c r="D629" t="str">
        <f t="shared" si="55"/>
        <v>FAB1_Leche Clasica Deslactosada Light 1 L</v>
      </c>
      <c r="E629">
        <v>2023</v>
      </c>
      <c r="F629">
        <v>28</v>
      </c>
      <c r="G629">
        <f t="shared" si="56"/>
        <v>7</v>
      </c>
      <c r="H629" s="1">
        <f t="shared" si="57"/>
        <v>45117</v>
      </c>
      <c r="I629" s="1">
        <f t="shared" si="58"/>
        <v>45108</v>
      </c>
      <c r="J629">
        <v>718287.16000000061</v>
      </c>
      <c r="K629">
        <v>37104</v>
      </c>
      <c r="L629">
        <f t="shared" si="54"/>
        <v>19.358752695127226</v>
      </c>
      <c r="M629">
        <v>3092</v>
      </c>
      <c r="N629" s="2">
        <f t="shared" si="59"/>
        <v>232.30503234152673</v>
      </c>
      <c r="O629">
        <v>12</v>
      </c>
    </row>
    <row r="630" spans="1:15" x14ac:dyDescent="0.25">
      <c r="A630" t="s">
        <v>46</v>
      </c>
      <c r="B630" t="s">
        <v>14</v>
      </c>
      <c r="C630" t="s">
        <v>3</v>
      </c>
      <c r="D630" t="str">
        <f t="shared" si="55"/>
        <v>FAB1_Leche Clasica Deslactosada Light 1 L</v>
      </c>
      <c r="E630">
        <v>2023</v>
      </c>
      <c r="F630">
        <v>29</v>
      </c>
      <c r="G630">
        <f t="shared" si="56"/>
        <v>7</v>
      </c>
      <c r="H630" s="1">
        <f t="shared" si="57"/>
        <v>45124</v>
      </c>
      <c r="I630" s="1">
        <f t="shared" si="58"/>
        <v>45108</v>
      </c>
      <c r="J630">
        <v>804086.61999999976</v>
      </c>
      <c r="K630">
        <v>42624</v>
      </c>
      <c r="L630">
        <f t="shared" si="54"/>
        <v>18.864644801051046</v>
      </c>
      <c r="M630">
        <v>3552</v>
      </c>
      <c r="N630" s="2">
        <f t="shared" si="59"/>
        <v>226.37573761261254</v>
      </c>
      <c r="O630">
        <v>12</v>
      </c>
    </row>
    <row r="631" spans="1:15" x14ac:dyDescent="0.25">
      <c r="A631" t="s">
        <v>46</v>
      </c>
      <c r="B631" t="s">
        <v>14</v>
      </c>
      <c r="C631" t="s">
        <v>3</v>
      </c>
      <c r="D631" t="str">
        <f t="shared" si="55"/>
        <v>FAB1_Leche Clasica Deslactosada Light 1 L</v>
      </c>
      <c r="E631">
        <v>2023</v>
      </c>
      <c r="F631">
        <v>30</v>
      </c>
      <c r="G631">
        <f t="shared" si="56"/>
        <v>7</v>
      </c>
      <c r="H631" s="1">
        <f t="shared" si="57"/>
        <v>45131</v>
      </c>
      <c r="I631" s="1">
        <f t="shared" si="58"/>
        <v>45108</v>
      </c>
      <c r="J631">
        <v>745000.31</v>
      </c>
      <c r="K631">
        <v>39540</v>
      </c>
      <c r="L631">
        <f t="shared" si="54"/>
        <v>18.841687152250888</v>
      </c>
      <c r="M631">
        <v>3295</v>
      </c>
      <c r="N631" s="2">
        <f t="shared" si="59"/>
        <v>226.10024582701064</v>
      </c>
      <c r="O631">
        <v>12</v>
      </c>
    </row>
    <row r="632" spans="1:15" x14ac:dyDescent="0.25">
      <c r="A632" t="s">
        <v>46</v>
      </c>
      <c r="B632" t="s">
        <v>14</v>
      </c>
      <c r="C632" t="s">
        <v>3</v>
      </c>
      <c r="D632" t="str">
        <f t="shared" si="55"/>
        <v>FAB1_Leche Clasica Deslactosada Light 1 L</v>
      </c>
      <c r="E632">
        <v>2023</v>
      </c>
      <c r="F632">
        <v>31</v>
      </c>
      <c r="G632">
        <f t="shared" si="56"/>
        <v>8</v>
      </c>
      <c r="H632" s="1">
        <f t="shared" si="57"/>
        <v>45138</v>
      </c>
      <c r="I632" s="1">
        <f t="shared" si="58"/>
        <v>45139</v>
      </c>
      <c r="J632">
        <v>869404.56000000017</v>
      </c>
      <c r="K632">
        <v>44172</v>
      </c>
      <c r="L632">
        <f t="shared" si="54"/>
        <v>19.682254822059228</v>
      </c>
      <c r="M632">
        <v>3681</v>
      </c>
      <c r="N632" s="2">
        <f t="shared" si="59"/>
        <v>236.18705786471071</v>
      </c>
      <c r="O632">
        <v>12</v>
      </c>
    </row>
    <row r="633" spans="1:15" x14ac:dyDescent="0.25">
      <c r="A633" t="s">
        <v>46</v>
      </c>
      <c r="B633" t="s">
        <v>14</v>
      </c>
      <c r="C633" t="s">
        <v>3</v>
      </c>
      <c r="D633" t="str">
        <f t="shared" si="55"/>
        <v>FAB1_Leche Clasica Deslactosada Light 1 L</v>
      </c>
      <c r="E633">
        <v>2023</v>
      </c>
      <c r="F633">
        <v>32</v>
      </c>
      <c r="G633">
        <f t="shared" si="56"/>
        <v>8</v>
      </c>
      <c r="H633" s="1">
        <f t="shared" si="57"/>
        <v>45145</v>
      </c>
      <c r="I633" s="1">
        <f t="shared" si="58"/>
        <v>45139</v>
      </c>
      <c r="J633">
        <v>723505.37000000034</v>
      </c>
      <c r="K633">
        <v>34332</v>
      </c>
      <c r="L633">
        <f t="shared" si="54"/>
        <v>21.07379034137249</v>
      </c>
      <c r="M633">
        <v>2861</v>
      </c>
      <c r="N633" s="2">
        <f t="shared" si="59"/>
        <v>252.8854840964699</v>
      </c>
      <c r="O633">
        <v>12</v>
      </c>
    </row>
    <row r="634" spans="1:15" x14ac:dyDescent="0.25">
      <c r="A634" t="s">
        <v>46</v>
      </c>
      <c r="B634" t="s">
        <v>14</v>
      </c>
      <c r="C634" t="s">
        <v>3</v>
      </c>
      <c r="D634" t="str">
        <f t="shared" si="55"/>
        <v>FAB1_Leche Clasica Deslactosada Light 1 L</v>
      </c>
      <c r="E634">
        <v>2023</v>
      </c>
      <c r="F634">
        <v>33</v>
      </c>
      <c r="G634">
        <f t="shared" si="56"/>
        <v>8</v>
      </c>
      <c r="H634" s="1">
        <f t="shared" si="57"/>
        <v>45152</v>
      </c>
      <c r="I634" s="1">
        <f t="shared" si="58"/>
        <v>45139</v>
      </c>
      <c r="J634">
        <v>857299.25000000058</v>
      </c>
      <c r="K634">
        <v>41580</v>
      </c>
      <c r="L634">
        <f t="shared" si="54"/>
        <v>20.618067580567594</v>
      </c>
      <c r="M634">
        <v>3465</v>
      </c>
      <c r="N634" s="2">
        <f t="shared" si="59"/>
        <v>247.41681096681114</v>
      </c>
      <c r="O634">
        <v>12</v>
      </c>
    </row>
    <row r="635" spans="1:15" x14ac:dyDescent="0.25">
      <c r="A635" t="s">
        <v>46</v>
      </c>
      <c r="B635" t="s">
        <v>14</v>
      </c>
      <c r="C635" t="s">
        <v>3</v>
      </c>
      <c r="D635" t="str">
        <f t="shared" si="55"/>
        <v>FAB1_Leche Clasica Deslactosada Light 1 L</v>
      </c>
      <c r="E635">
        <v>2023</v>
      </c>
      <c r="F635">
        <v>34</v>
      </c>
      <c r="G635">
        <f t="shared" si="56"/>
        <v>8</v>
      </c>
      <c r="H635" s="1">
        <f t="shared" si="57"/>
        <v>45159</v>
      </c>
      <c r="I635" s="1">
        <f t="shared" si="58"/>
        <v>45139</v>
      </c>
      <c r="J635">
        <v>814226.99999999988</v>
      </c>
      <c r="K635">
        <v>39624</v>
      </c>
      <c r="L635">
        <f t="shared" si="54"/>
        <v>20.54883403997577</v>
      </c>
      <c r="M635">
        <v>3302</v>
      </c>
      <c r="N635" s="2">
        <f t="shared" si="59"/>
        <v>246.58600847970922</v>
      </c>
      <c r="O635">
        <v>12</v>
      </c>
    </row>
    <row r="636" spans="1:15" x14ac:dyDescent="0.25">
      <c r="A636" t="s">
        <v>46</v>
      </c>
      <c r="B636" t="s">
        <v>14</v>
      </c>
      <c r="C636" t="s">
        <v>3</v>
      </c>
      <c r="D636" t="str">
        <f t="shared" si="55"/>
        <v>FAB1_Leche Clasica Deslactosada Light 1 L</v>
      </c>
      <c r="E636">
        <v>2023</v>
      </c>
      <c r="F636">
        <v>35</v>
      </c>
      <c r="G636">
        <f t="shared" si="56"/>
        <v>8</v>
      </c>
      <c r="H636" s="1">
        <f t="shared" si="57"/>
        <v>45166</v>
      </c>
      <c r="I636" s="1">
        <f t="shared" si="58"/>
        <v>45139</v>
      </c>
      <c r="J636">
        <v>751317.14999999979</v>
      </c>
      <c r="K636">
        <v>35964</v>
      </c>
      <c r="L636">
        <f t="shared" si="54"/>
        <v>20.890811644978307</v>
      </c>
      <c r="M636">
        <v>2997</v>
      </c>
      <c r="N636" s="2">
        <f t="shared" si="59"/>
        <v>250.68973973973968</v>
      </c>
      <c r="O636">
        <v>12</v>
      </c>
    </row>
    <row r="637" spans="1:15" x14ac:dyDescent="0.25">
      <c r="A637" t="s">
        <v>46</v>
      </c>
      <c r="B637" t="s">
        <v>14</v>
      </c>
      <c r="C637" t="s">
        <v>3</v>
      </c>
      <c r="D637" t="str">
        <f t="shared" si="55"/>
        <v>FAB1_Leche Clasica Deslactosada Light 1 L</v>
      </c>
      <c r="E637">
        <v>2023</v>
      </c>
      <c r="F637">
        <v>36</v>
      </c>
      <c r="G637">
        <f t="shared" si="56"/>
        <v>9</v>
      </c>
      <c r="H637" s="1">
        <f t="shared" si="57"/>
        <v>45173</v>
      </c>
      <c r="I637" s="1">
        <f t="shared" si="58"/>
        <v>45170</v>
      </c>
      <c r="J637">
        <v>832112.19999999984</v>
      </c>
      <c r="K637">
        <v>39780</v>
      </c>
      <c r="L637">
        <f t="shared" si="54"/>
        <v>20.917853192559072</v>
      </c>
      <c r="M637">
        <v>3315</v>
      </c>
      <c r="N637" s="2">
        <f t="shared" si="59"/>
        <v>251.01423831070886</v>
      </c>
      <c r="O637">
        <v>12</v>
      </c>
    </row>
    <row r="638" spans="1:15" x14ac:dyDescent="0.25">
      <c r="A638" t="s">
        <v>46</v>
      </c>
      <c r="B638" t="s">
        <v>14</v>
      </c>
      <c r="C638" t="s">
        <v>3</v>
      </c>
      <c r="D638" t="str">
        <f t="shared" si="55"/>
        <v>FAB1_Leche Clasica Deslactosada Light 1 L</v>
      </c>
      <c r="E638">
        <v>2023</v>
      </c>
      <c r="F638">
        <v>37</v>
      </c>
      <c r="G638">
        <f t="shared" si="56"/>
        <v>9</v>
      </c>
      <c r="H638" s="1">
        <f t="shared" si="57"/>
        <v>45180</v>
      </c>
      <c r="I638" s="1">
        <f t="shared" si="58"/>
        <v>45170</v>
      </c>
      <c r="J638">
        <v>824745.60000000033</v>
      </c>
      <c r="K638">
        <v>39228</v>
      </c>
      <c r="L638">
        <f t="shared" si="54"/>
        <v>21.024411134903648</v>
      </c>
      <c r="M638">
        <v>3269</v>
      </c>
      <c r="N638" s="2">
        <f t="shared" si="59"/>
        <v>252.29293361884379</v>
      </c>
      <c r="O638">
        <v>12</v>
      </c>
    </row>
    <row r="639" spans="1:15" x14ac:dyDescent="0.25">
      <c r="A639" t="s">
        <v>46</v>
      </c>
      <c r="B639" t="s">
        <v>14</v>
      </c>
      <c r="C639" t="s">
        <v>3</v>
      </c>
      <c r="D639" t="str">
        <f t="shared" si="55"/>
        <v>FAB1_Leche Clasica Deslactosada Light 1 L</v>
      </c>
      <c r="E639">
        <v>2023</v>
      </c>
      <c r="F639">
        <v>38</v>
      </c>
      <c r="G639">
        <f t="shared" si="56"/>
        <v>9</v>
      </c>
      <c r="H639" s="1">
        <f t="shared" si="57"/>
        <v>45187</v>
      </c>
      <c r="I639" s="1">
        <f t="shared" si="58"/>
        <v>45170</v>
      </c>
      <c r="J639">
        <v>722053.05000000016</v>
      </c>
      <c r="K639">
        <v>33564</v>
      </c>
      <c r="L639">
        <f t="shared" si="54"/>
        <v>21.512723453700399</v>
      </c>
      <c r="M639">
        <v>2797</v>
      </c>
      <c r="N639" s="2">
        <f t="shared" si="59"/>
        <v>258.15268144440478</v>
      </c>
      <c r="O639">
        <v>12</v>
      </c>
    </row>
    <row r="640" spans="1:15" x14ac:dyDescent="0.25">
      <c r="A640" t="s">
        <v>46</v>
      </c>
      <c r="B640" t="s">
        <v>14</v>
      </c>
      <c r="C640" t="s">
        <v>3</v>
      </c>
      <c r="D640" t="str">
        <f t="shared" si="55"/>
        <v>FAB1_Leche Clasica Deslactosada Light 1 L</v>
      </c>
      <c r="E640">
        <v>2023</v>
      </c>
      <c r="F640">
        <v>39</v>
      </c>
      <c r="G640">
        <f t="shared" si="56"/>
        <v>9</v>
      </c>
      <c r="H640" s="1">
        <f t="shared" si="57"/>
        <v>45194</v>
      </c>
      <c r="I640" s="1">
        <f t="shared" si="58"/>
        <v>45170</v>
      </c>
      <c r="J640">
        <v>713436.95</v>
      </c>
      <c r="K640">
        <v>33288</v>
      </c>
      <c r="L640">
        <f t="shared" si="54"/>
        <v>21.432256368661378</v>
      </c>
      <c r="M640">
        <v>2774</v>
      </c>
      <c r="N640" s="2">
        <f t="shared" si="59"/>
        <v>257.18707642393656</v>
      </c>
      <c r="O640">
        <v>12</v>
      </c>
    </row>
    <row r="641" spans="1:15" x14ac:dyDescent="0.25">
      <c r="A641" t="s">
        <v>46</v>
      </c>
      <c r="B641" t="s">
        <v>14</v>
      </c>
      <c r="C641" t="s">
        <v>3</v>
      </c>
      <c r="D641" t="str">
        <f t="shared" si="55"/>
        <v>FAB1_Leche Clasica Deslactosada Light 1 L</v>
      </c>
      <c r="E641">
        <v>2023</v>
      </c>
      <c r="F641">
        <v>40</v>
      </c>
      <c r="G641">
        <f t="shared" si="56"/>
        <v>10</v>
      </c>
      <c r="H641" s="1">
        <f t="shared" si="57"/>
        <v>45201</v>
      </c>
      <c r="I641" s="1">
        <f t="shared" si="58"/>
        <v>45200</v>
      </c>
      <c r="J641">
        <v>853058.35000000033</v>
      </c>
      <c r="K641">
        <v>39876</v>
      </c>
      <c r="L641">
        <f t="shared" si="54"/>
        <v>21.392776356705795</v>
      </c>
      <c r="M641">
        <v>3323</v>
      </c>
      <c r="N641" s="2">
        <f t="shared" si="59"/>
        <v>256.71331628046954</v>
      </c>
      <c r="O641">
        <v>12</v>
      </c>
    </row>
    <row r="642" spans="1:15" x14ac:dyDescent="0.25">
      <c r="A642" t="s">
        <v>46</v>
      </c>
      <c r="B642" t="s">
        <v>14</v>
      </c>
      <c r="C642" t="s">
        <v>3</v>
      </c>
      <c r="D642" t="str">
        <f t="shared" si="55"/>
        <v>FAB1_Leche Clasica Deslactosada Light 1 L</v>
      </c>
      <c r="E642">
        <v>2023</v>
      </c>
      <c r="F642">
        <v>41</v>
      </c>
      <c r="G642">
        <f t="shared" si="56"/>
        <v>10</v>
      </c>
      <c r="H642" s="1">
        <f t="shared" si="57"/>
        <v>45208</v>
      </c>
      <c r="I642" s="1">
        <f t="shared" si="58"/>
        <v>45200</v>
      </c>
      <c r="J642">
        <v>869204.38000000012</v>
      </c>
      <c r="K642">
        <v>41952</v>
      </c>
      <c r="L642">
        <f t="shared" ref="L642:L705" si="60">J642/K642</f>
        <v>20.71902126239512</v>
      </c>
      <c r="M642">
        <v>3496</v>
      </c>
      <c r="N642" s="2">
        <f t="shared" si="59"/>
        <v>248.62825514874146</v>
      </c>
      <c r="O642">
        <v>12</v>
      </c>
    </row>
    <row r="643" spans="1:15" x14ac:dyDescent="0.25">
      <c r="A643" t="s">
        <v>46</v>
      </c>
      <c r="B643" t="s">
        <v>14</v>
      </c>
      <c r="C643" t="s">
        <v>3</v>
      </c>
      <c r="D643" t="str">
        <f t="shared" ref="D643:D706" si="61">B643&amp;"_"&amp;C643</f>
        <v>FAB1_Leche Clasica Deslactosada Light 1 L</v>
      </c>
      <c r="E643">
        <v>2023</v>
      </c>
      <c r="F643">
        <v>42</v>
      </c>
      <c r="G643">
        <f t="shared" ref="G643:G706" si="62">MONTH(DATE(E643,1,4)+(F643-1)*7-WEEKDAY(DATE(E643,1,4),2)+4)</f>
        <v>10</v>
      </c>
      <c r="H643" s="1">
        <f t="shared" ref="H643:H706" si="63">DATE(E643,1,-2)-WEEKDAY(DATE(E643,1,3))+F643*7</f>
        <v>45215</v>
      </c>
      <c r="I643" s="1">
        <f t="shared" ref="I643:I706" si="64">DATE(E643,G643,1)</f>
        <v>45200</v>
      </c>
      <c r="J643">
        <v>1021402.8500000008</v>
      </c>
      <c r="K643">
        <v>50640</v>
      </c>
      <c r="L643">
        <f t="shared" si="60"/>
        <v>20.169882503949463</v>
      </c>
      <c r="M643">
        <v>4220</v>
      </c>
      <c r="N643" s="2">
        <f t="shared" ref="N643:N706" si="65">J643/M643</f>
        <v>242.03859004739354</v>
      </c>
      <c r="O643">
        <v>12</v>
      </c>
    </row>
    <row r="644" spans="1:15" x14ac:dyDescent="0.25">
      <c r="A644" t="s">
        <v>46</v>
      </c>
      <c r="B644" t="s">
        <v>14</v>
      </c>
      <c r="C644" t="s">
        <v>3</v>
      </c>
      <c r="D644" t="str">
        <f t="shared" si="61"/>
        <v>FAB1_Leche Clasica Deslactosada Light 1 L</v>
      </c>
      <c r="E644">
        <v>2023</v>
      </c>
      <c r="F644">
        <v>43</v>
      </c>
      <c r="G644">
        <f t="shared" si="62"/>
        <v>10</v>
      </c>
      <c r="H644" s="1">
        <f t="shared" si="63"/>
        <v>45222</v>
      </c>
      <c r="I644" s="1">
        <f t="shared" si="64"/>
        <v>45200</v>
      </c>
      <c r="J644">
        <v>719679.34999999986</v>
      </c>
      <c r="K644">
        <v>34212</v>
      </c>
      <c r="L644">
        <f t="shared" si="60"/>
        <v>21.035874839237689</v>
      </c>
      <c r="M644">
        <v>2851</v>
      </c>
      <c r="N644" s="2">
        <f t="shared" si="65"/>
        <v>252.43049807085228</v>
      </c>
      <c r="O644">
        <v>12</v>
      </c>
    </row>
    <row r="645" spans="1:15" x14ac:dyDescent="0.25">
      <c r="A645" t="s">
        <v>46</v>
      </c>
      <c r="B645" t="s">
        <v>14</v>
      </c>
      <c r="C645" t="s">
        <v>3</v>
      </c>
      <c r="D645" t="str">
        <f t="shared" si="61"/>
        <v>FAB1_Leche Clasica Deslactosada Light 1 L</v>
      </c>
      <c r="E645">
        <v>2023</v>
      </c>
      <c r="F645">
        <v>44</v>
      </c>
      <c r="G645">
        <f t="shared" si="62"/>
        <v>11</v>
      </c>
      <c r="H645" s="1">
        <f t="shared" si="63"/>
        <v>45229</v>
      </c>
      <c r="I645" s="1">
        <f t="shared" si="64"/>
        <v>45231</v>
      </c>
      <c r="J645">
        <v>745421.6599999998</v>
      </c>
      <c r="K645">
        <v>34776</v>
      </c>
      <c r="L645">
        <f t="shared" si="60"/>
        <v>21.434945364619271</v>
      </c>
      <c r="M645">
        <v>2898</v>
      </c>
      <c r="N645" s="2">
        <f t="shared" si="65"/>
        <v>257.21934437543126</v>
      </c>
      <c r="O645">
        <v>12</v>
      </c>
    </row>
    <row r="646" spans="1:15" x14ac:dyDescent="0.25">
      <c r="A646" t="s">
        <v>46</v>
      </c>
      <c r="B646" t="s">
        <v>14</v>
      </c>
      <c r="C646" t="s">
        <v>3</v>
      </c>
      <c r="D646" t="str">
        <f t="shared" si="61"/>
        <v>FAB1_Leche Clasica Deslactosada Light 1 L</v>
      </c>
      <c r="E646">
        <v>2023</v>
      </c>
      <c r="F646">
        <v>45</v>
      </c>
      <c r="G646">
        <f t="shared" si="62"/>
        <v>11</v>
      </c>
      <c r="H646" s="1">
        <f t="shared" si="63"/>
        <v>45236</v>
      </c>
      <c r="I646" s="1">
        <f t="shared" si="64"/>
        <v>45231</v>
      </c>
      <c r="J646">
        <v>696321.21000000008</v>
      </c>
      <c r="K646">
        <v>32460</v>
      </c>
      <c r="L646">
        <f t="shared" si="60"/>
        <v>21.451670055452869</v>
      </c>
      <c r="M646">
        <v>2705</v>
      </c>
      <c r="N646" s="2">
        <f t="shared" si="65"/>
        <v>257.42004066543439</v>
      </c>
      <c r="O646">
        <v>12</v>
      </c>
    </row>
    <row r="647" spans="1:15" x14ac:dyDescent="0.25">
      <c r="A647" t="s">
        <v>46</v>
      </c>
      <c r="B647" t="s">
        <v>14</v>
      </c>
      <c r="C647" t="s">
        <v>3</v>
      </c>
      <c r="D647" t="str">
        <f t="shared" si="61"/>
        <v>FAB1_Leche Clasica Deslactosada Light 1 L</v>
      </c>
      <c r="E647">
        <v>2023</v>
      </c>
      <c r="F647">
        <v>46</v>
      </c>
      <c r="G647">
        <f t="shared" si="62"/>
        <v>11</v>
      </c>
      <c r="H647" s="1">
        <f t="shared" si="63"/>
        <v>45243</v>
      </c>
      <c r="I647" s="1">
        <f t="shared" si="64"/>
        <v>45231</v>
      </c>
      <c r="J647">
        <v>719823.26000000036</v>
      </c>
      <c r="K647">
        <v>33636</v>
      </c>
      <c r="L647">
        <f t="shared" si="60"/>
        <v>21.400382328457617</v>
      </c>
      <c r="M647">
        <v>2803</v>
      </c>
      <c r="N647" s="2">
        <f t="shared" si="65"/>
        <v>256.80458794149138</v>
      </c>
      <c r="O647">
        <v>12</v>
      </c>
    </row>
    <row r="648" spans="1:15" x14ac:dyDescent="0.25">
      <c r="A648" t="s">
        <v>46</v>
      </c>
      <c r="B648" t="s">
        <v>14</v>
      </c>
      <c r="C648" t="s">
        <v>3</v>
      </c>
      <c r="D648" t="str">
        <f t="shared" si="61"/>
        <v>FAB1_Leche Clasica Deslactosada Light 1 L</v>
      </c>
      <c r="E648">
        <v>2023</v>
      </c>
      <c r="F648">
        <v>47</v>
      </c>
      <c r="G648">
        <f t="shared" si="62"/>
        <v>11</v>
      </c>
      <c r="H648" s="1">
        <f t="shared" si="63"/>
        <v>45250</v>
      </c>
      <c r="I648" s="1">
        <f t="shared" si="64"/>
        <v>45231</v>
      </c>
      <c r="J648">
        <v>846101.10000000044</v>
      </c>
      <c r="K648">
        <v>39684</v>
      </c>
      <c r="L648">
        <f t="shared" si="60"/>
        <v>21.320963108557617</v>
      </c>
      <c r="M648">
        <v>3307</v>
      </c>
      <c r="N648" s="2">
        <f t="shared" si="65"/>
        <v>255.85155730269139</v>
      </c>
      <c r="O648">
        <v>12</v>
      </c>
    </row>
    <row r="649" spans="1:15" x14ac:dyDescent="0.25">
      <c r="A649" t="s">
        <v>46</v>
      </c>
      <c r="B649" t="s">
        <v>14</v>
      </c>
      <c r="C649" t="s">
        <v>3</v>
      </c>
      <c r="D649" t="str">
        <f t="shared" si="61"/>
        <v>FAB1_Leche Clasica Deslactosada Light 1 L</v>
      </c>
      <c r="E649">
        <v>2023</v>
      </c>
      <c r="F649">
        <v>48</v>
      </c>
      <c r="G649">
        <f t="shared" si="62"/>
        <v>11</v>
      </c>
      <c r="H649" s="1">
        <f t="shared" si="63"/>
        <v>45257</v>
      </c>
      <c r="I649" s="1">
        <f t="shared" si="64"/>
        <v>45231</v>
      </c>
      <c r="J649">
        <v>625739.42000000004</v>
      </c>
      <c r="K649">
        <v>29388</v>
      </c>
      <c r="L649">
        <f t="shared" si="60"/>
        <v>21.292344494351436</v>
      </c>
      <c r="M649">
        <v>2449</v>
      </c>
      <c r="N649" s="2">
        <f t="shared" si="65"/>
        <v>255.50813393221725</v>
      </c>
      <c r="O649">
        <v>12</v>
      </c>
    </row>
    <row r="650" spans="1:15" x14ac:dyDescent="0.25">
      <c r="A650" t="s">
        <v>46</v>
      </c>
      <c r="B650" t="s">
        <v>14</v>
      </c>
      <c r="C650" t="s">
        <v>3</v>
      </c>
      <c r="D650" t="str">
        <f t="shared" si="61"/>
        <v>FAB1_Leche Clasica Deslactosada Light 1 L</v>
      </c>
      <c r="E650">
        <v>2023</v>
      </c>
      <c r="F650">
        <v>49</v>
      </c>
      <c r="G650">
        <f t="shared" si="62"/>
        <v>12</v>
      </c>
      <c r="H650" s="1">
        <f t="shared" si="63"/>
        <v>45264</v>
      </c>
      <c r="I650" s="1">
        <f t="shared" si="64"/>
        <v>45261</v>
      </c>
      <c r="J650">
        <v>715544.9700000002</v>
      </c>
      <c r="K650">
        <v>33816</v>
      </c>
      <c r="L650">
        <f t="shared" si="60"/>
        <v>21.159952980837481</v>
      </c>
      <c r="M650">
        <v>2818</v>
      </c>
      <c r="N650" s="2">
        <f t="shared" si="65"/>
        <v>253.91943577004974</v>
      </c>
      <c r="O650">
        <v>12</v>
      </c>
    </row>
    <row r="651" spans="1:15" x14ac:dyDescent="0.25">
      <c r="A651" t="s">
        <v>46</v>
      </c>
      <c r="B651" t="s">
        <v>14</v>
      </c>
      <c r="C651" t="s">
        <v>3</v>
      </c>
      <c r="D651" t="str">
        <f t="shared" si="61"/>
        <v>FAB1_Leche Clasica Deslactosada Light 1 L</v>
      </c>
      <c r="E651">
        <v>2023</v>
      </c>
      <c r="F651">
        <v>50</v>
      </c>
      <c r="G651">
        <f t="shared" si="62"/>
        <v>12</v>
      </c>
      <c r="H651" s="1">
        <f t="shared" si="63"/>
        <v>45271</v>
      </c>
      <c r="I651" s="1">
        <f t="shared" si="64"/>
        <v>45261</v>
      </c>
      <c r="J651">
        <v>824181.48000000045</v>
      </c>
      <c r="K651">
        <v>38532</v>
      </c>
      <c r="L651">
        <f t="shared" si="60"/>
        <v>21.38953285580817</v>
      </c>
      <c r="M651">
        <v>3211</v>
      </c>
      <c r="N651" s="2">
        <f t="shared" si="65"/>
        <v>256.67439426969804</v>
      </c>
      <c r="O651">
        <v>12</v>
      </c>
    </row>
    <row r="652" spans="1:15" x14ac:dyDescent="0.25">
      <c r="A652" t="s">
        <v>46</v>
      </c>
      <c r="B652" t="s">
        <v>14</v>
      </c>
      <c r="C652" t="s">
        <v>3</v>
      </c>
      <c r="D652" t="str">
        <f t="shared" si="61"/>
        <v>FAB1_Leche Clasica Deslactosada Light 1 L</v>
      </c>
      <c r="E652">
        <v>2023</v>
      </c>
      <c r="F652">
        <v>51</v>
      </c>
      <c r="G652">
        <f t="shared" si="62"/>
        <v>12</v>
      </c>
      <c r="H652" s="1">
        <f t="shared" si="63"/>
        <v>45278</v>
      </c>
      <c r="I652" s="1">
        <f t="shared" si="64"/>
        <v>45261</v>
      </c>
      <c r="J652">
        <v>757667.49000000034</v>
      </c>
      <c r="K652">
        <v>35532</v>
      </c>
      <c r="L652">
        <f t="shared" si="60"/>
        <v>21.323524991556916</v>
      </c>
      <c r="M652">
        <v>2961</v>
      </c>
      <c r="N652" s="2">
        <f t="shared" si="65"/>
        <v>255.88229989868299</v>
      </c>
      <c r="O652">
        <v>12</v>
      </c>
    </row>
    <row r="653" spans="1:15" x14ac:dyDescent="0.25">
      <c r="A653" t="s">
        <v>46</v>
      </c>
      <c r="B653" t="s">
        <v>14</v>
      </c>
      <c r="C653" t="s">
        <v>3</v>
      </c>
      <c r="D653" t="str">
        <f t="shared" si="61"/>
        <v>FAB1_Leche Clasica Deslactosada Light 1 L</v>
      </c>
      <c r="E653">
        <v>2023</v>
      </c>
      <c r="F653">
        <v>52</v>
      </c>
      <c r="G653">
        <f t="shared" si="62"/>
        <v>12</v>
      </c>
      <c r="H653" s="1">
        <f t="shared" si="63"/>
        <v>45285</v>
      </c>
      <c r="I653" s="1">
        <f t="shared" si="64"/>
        <v>45261</v>
      </c>
      <c r="J653">
        <v>628261.79000000027</v>
      </c>
      <c r="K653">
        <v>29472</v>
      </c>
      <c r="L653">
        <f t="shared" si="60"/>
        <v>21.317243146036926</v>
      </c>
      <c r="M653">
        <v>2456</v>
      </c>
      <c r="N653" s="2">
        <f t="shared" si="65"/>
        <v>255.8069177524431</v>
      </c>
      <c r="O653">
        <v>12</v>
      </c>
    </row>
    <row r="654" spans="1:15" x14ac:dyDescent="0.25">
      <c r="A654" t="s">
        <v>46</v>
      </c>
      <c r="B654" t="s">
        <v>14</v>
      </c>
      <c r="C654" t="s">
        <v>3</v>
      </c>
      <c r="D654" t="str">
        <f t="shared" si="61"/>
        <v>FAB1_Leche Clasica Deslactosada Light 1 L</v>
      </c>
      <c r="E654">
        <v>2024</v>
      </c>
      <c r="F654">
        <v>1</v>
      </c>
      <c r="G654">
        <f t="shared" si="62"/>
        <v>1</v>
      </c>
      <c r="H654" s="1">
        <f t="shared" si="63"/>
        <v>45292</v>
      </c>
      <c r="I654" s="1">
        <f t="shared" si="64"/>
        <v>45292</v>
      </c>
      <c r="J654">
        <v>795888.69000000053</v>
      </c>
      <c r="K654">
        <v>37740</v>
      </c>
      <c r="L654">
        <f t="shared" si="60"/>
        <v>21.088730524642305</v>
      </c>
      <c r="M654">
        <v>3145</v>
      </c>
      <c r="N654" s="2">
        <f t="shared" si="65"/>
        <v>253.06476629570764</v>
      </c>
      <c r="O654">
        <v>12</v>
      </c>
    </row>
    <row r="655" spans="1:15" x14ac:dyDescent="0.25">
      <c r="A655" t="s">
        <v>46</v>
      </c>
      <c r="B655" t="s">
        <v>14</v>
      </c>
      <c r="C655" t="s">
        <v>3</v>
      </c>
      <c r="D655" t="str">
        <f t="shared" si="61"/>
        <v>FAB1_Leche Clasica Deslactosada Light 1 L</v>
      </c>
      <c r="E655">
        <v>2024</v>
      </c>
      <c r="F655">
        <v>2</v>
      </c>
      <c r="G655">
        <f t="shared" si="62"/>
        <v>1</v>
      </c>
      <c r="H655" s="1">
        <f t="shared" si="63"/>
        <v>45299</v>
      </c>
      <c r="I655" s="1">
        <f t="shared" si="64"/>
        <v>45292</v>
      </c>
      <c r="J655">
        <v>788650.82000000088</v>
      </c>
      <c r="K655">
        <v>37560</v>
      </c>
      <c r="L655">
        <f t="shared" si="60"/>
        <v>20.997093184238576</v>
      </c>
      <c r="M655">
        <v>3130</v>
      </c>
      <c r="N655" s="2">
        <f t="shared" si="65"/>
        <v>251.9651182108629</v>
      </c>
      <c r="O655">
        <v>12</v>
      </c>
    </row>
    <row r="656" spans="1:15" x14ac:dyDescent="0.25">
      <c r="A656" t="s">
        <v>46</v>
      </c>
      <c r="B656" t="s">
        <v>14</v>
      </c>
      <c r="C656" t="s">
        <v>3</v>
      </c>
      <c r="D656" t="str">
        <f t="shared" si="61"/>
        <v>FAB1_Leche Clasica Deslactosada Light 1 L</v>
      </c>
      <c r="E656">
        <v>2024</v>
      </c>
      <c r="F656">
        <v>3</v>
      </c>
      <c r="G656">
        <f t="shared" si="62"/>
        <v>1</v>
      </c>
      <c r="H656" s="1">
        <f t="shared" si="63"/>
        <v>45306</v>
      </c>
      <c r="I656" s="1">
        <f t="shared" si="64"/>
        <v>45292</v>
      </c>
      <c r="J656">
        <v>763601.7500000007</v>
      </c>
      <c r="K656">
        <v>36036</v>
      </c>
      <c r="L656">
        <f t="shared" si="60"/>
        <v>21.189969752469771</v>
      </c>
      <c r="M656">
        <v>3003</v>
      </c>
      <c r="N656" s="2">
        <f t="shared" si="65"/>
        <v>254.27963702963726</v>
      </c>
      <c r="O656">
        <v>12</v>
      </c>
    </row>
    <row r="657" spans="1:15" x14ac:dyDescent="0.25">
      <c r="A657" t="s">
        <v>46</v>
      </c>
      <c r="B657" t="s">
        <v>14</v>
      </c>
      <c r="C657" t="s">
        <v>3</v>
      </c>
      <c r="D657" t="str">
        <f t="shared" si="61"/>
        <v>FAB1_Leche Clasica Deslactosada Light 1 L</v>
      </c>
      <c r="E657">
        <v>2024</v>
      </c>
      <c r="F657">
        <v>4</v>
      </c>
      <c r="G657">
        <f t="shared" si="62"/>
        <v>1</v>
      </c>
      <c r="H657" s="1">
        <f t="shared" si="63"/>
        <v>45313</v>
      </c>
      <c r="I657" s="1">
        <f t="shared" si="64"/>
        <v>45292</v>
      </c>
      <c r="J657">
        <v>723511.15000000049</v>
      </c>
      <c r="K657">
        <v>33936</v>
      </c>
      <c r="L657">
        <f t="shared" si="60"/>
        <v>21.319871228194263</v>
      </c>
      <c r="M657">
        <v>2828</v>
      </c>
      <c r="N657" s="2">
        <f t="shared" si="65"/>
        <v>255.83845473833114</v>
      </c>
      <c r="O657">
        <v>12</v>
      </c>
    </row>
    <row r="658" spans="1:15" x14ac:dyDescent="0.25">
      <c r="A658" t="s">
        <v>46</v>
      </c>
      <c r="B658" t="s">
        <v>14</v>
      </c>
      <c r="C658" t="s">
        <v>3</v>
      </c>
      <c r="D658" t="str">
        <f t="shared" si="61"/>
        <v>FAB1_Leche Clasica Deslactosada Light 1 L</v>
      </c>
      <c r="E658">
        <v>2024</v>
      </c>
      <c r="F658">
        <v>5</v>
      </c>
      <c r="G658">
        <f t="shared" si="62"/>
        <v>2</v>
      </c>
      <c r="H658" s="1">
        <f t="shared" si="63"/>
        <v>45320</v>
      </c>
      <c r="I658" s="1">
        <f t="shared" si="64"/>
        <v>45323</v>
      </c>
      <c r="J658">
        <v>931207.40000000072</v>
      </c>
      <c r="K658">
        <v>43740</v>
      </c>
      <c r="L658">
        <f t="shared" si="60"/>
        <v>21.289606767261105</v>
      </c>
      <c r="M658">
        <v>3645</v>
      </c>
      <c r="N658" s="2">
        <f t="shared" si="65"/>
        <v>255.47528120713326</v>
      </c>
      <c r="O658">
        <v>12</v>
      </c>
    </row>
    <row r="659" spans="1:15" x14ac:dyDescent="0.25">
      <c r="A659" t="s">
        <v>46</v>
      </c>
      <c r="B659" t="s">
        <v>14</v>
      </c>
      <c r="C659" t="s">
        <v>3</v>
      </c>
      <c r="D659" t="str">
        <f t="shared" si="61"/>
        <v>FAB1_Leche Clasica Deslactosada Light 1 L</v>
      </c>
      <c r="E659">
        <v>2024</v>
      </c>
      <c r="F659">
        <v>6</v>
      </c>
      <c r="G659">
        <f t="shared" si="62"/>
        <v>2</v>
      </c>
      <c r="H659" s="1">
        <f t="shared" si="63"/>
        <v>45327</v>
      </c>
      <c r="I659" s="1">
        <f t="shared" si="64"/>
        <v>45323</v>
      </c>
      <c r="J659">
        <v>806421.15000000049</v>
      </c>
      <c r="K659">
        <v>37956</v>
      </c>
      <c r="L659">
        <f t="shared" si="60"/>
        <v>21.246210085362012</v>
      </c>
      <c r="M659">
        <v>3163</v>
      </c>
      <c r="N659" s="2">
        <f t="shared" si="65"/>
        <v>254.95452102434413</v>
      </c>
      <c r="O659">
        <v>12</v>
      </c>
    </row>
    <row r="660" spans="1:15" x14ac:dyDescent="0.25">
      <c r="A660" t="s">
        <v>46</v>
      </c>
      <c r="B660" t="s">
        <v>14</v>
      </c>
      <c r="C660" t="s">
        <v>3</v>
      </c>
      <c r="D660" t="str">
        <f t="shared" si="61"/>
        <v>FAB1_Leche Clasica Deslactosada Light 1 L</v>
      </c>
      <c r="E660">
        <v>2024</v>
      </c>
      <c r="F660">
        <v>7</v>
      </c>
      <c r="G660">
        <f t="shared" si="62"/>
        <v>2</v>
      </c>
      <c r="H660" s="1">
        <f t="shared" si="63"/>
        <v>45334</v>
      </c>
      <c r="I660" s="1">
        <f t="shared" si="64"/>
        <v>45323</v>
      </c>
      <c r="J660">
        <v>1006259.9199999997</v>
      </c>
      <c r="K660">
        <v>48384</v>
      </c>
      <c r="L660">
        <f t="shared" si="60"/>
        <v>20.797369378306872</v>
      </c>
      <c r="M660">
        <v>4032</v>
      </c>
      <c r="N660" s="2">
        <f t="shared" si="65"/>
        <v>249.56843253968248</v>
      </c>
      <c r="O660">
        <v>12</v>
      </c>
    </row>
    <row r="661" spans="1:15" x14ac:dyDescent="0.25">
      <c r="A661" t="s">
        <v>46</v>
      </c>
      <c r="B661" t="s">
        <v>14</v>
      </c>
      <c r="C661" t="s">
        <v>3</v>
      </c>
      <c r="D661" t="str">
        <f t="shared" si="61"/>
        <v>FAB1_Leche Clasica Deslactosada Light 1 L</v>
      </c>
      <c r="E661">
        <v>2024</v>
      </c>
      <c r="F661">
        <v>8</v>
      </c>
      <c r="G661">
        <f t="shared" si="62"/>
        <v>2</v>
      </c>
      <c r="H661" s="1">
        <f t="shared" si="63"/>
        <v>45341</v>
      </c>
      <c r="I661" s="1">
        <f t="shared" si="64"/>
        <v>45323</v>
      </c>
      <c r="J661">
        <v>953531.94000000018</v>
      </c>
      <c r="K661">
        <v>45900</v>
      </c>
      <c r="L661">
        <f t="shared" si="60"/>
        <v>20.774116339869284</v>
      </c>
      <c r="M661">
        <v>3825</v>
      </c>
      <c r="N661" s="2">
        <f t="shared" si="65"/>
        <v>249.28939607843142</v>
      </c>
      <c r="O661">
        <v>12</v>
      </c>
    </row>
    <row r="662" spans="1:15" x14ac:dyDescent="0.25">
      <c r="A662" t="s">
        <v>46</v>
      </c>
      <c r="B662" t="s">
        <v>14</v>
      </c>
      <c r="C662" t="s">
        <v>3</v>
      </c>
      <c r="D662" t="str">
        <f t="shared" si="61"/>
        <v>FAB1_Leche Clasica Deslactosada Light 1 L</v>
      </c>
      <c r="E662">
        <v>2024</v>
      </c>
      <c r="F662">
        <v>9</v>
      </c>
      <c r="G662">
        <f t="shared" si="62"/>
        <v>2</v>
      </c>
      <c r="H662" s="1">
        <f t="shared" si="63"/>
        <v>45348</v>
      </c>
      <c r="I662" s="1">
        <f t="shared" si="64"/>
        <v>45323</v>
      </c>
      <c r="J662">
        <v>684263.84999999974</v>
      </c>
      <c r="K662">
        <v>30636</v>
      </c>
      <c r="L662">
        <f t="shared" si="60"/>
        <v>22.335286917352125</v>
      </c>
      <c r="M662">
        <v>2553</v>
      </c>
      <c r="N662" s="2">
        <f t="shared" si="65"/>
        <v>268.02344300822551</v>
      </c>
      <c r="O662">
        <v>12</v>
      </c>
    </row>
    <row r="663" spans="1:15" x14ac:dyDescent="0.25">
      <c r="A663" t="s">
        <v>46</v>
      </c>
      <c r="B663" t="s">
        <v>14</v>
      </c>
      <c r="C663" t="s">
        <v>3</v>
      </c>
      <c r="D663" t="str">
        <f t="shared" si="61"/>
        <v>FAB1_Leche Clasica Deslactosada Light 1 L</v>
      </c>
      <c r="E663">
        <v>2024</v>
      </c>
      <c r="F663">
        <v>10</v>
      </c>
      <c r="G663">
        <f t="shared" si="62"/>
        <v>3</v>
      </c>
      <c r="H663" s="1">
        <f t="shared" si="63"/>
        <v>45355</v>
      </c>
      <c r="I663" s="1">
        <f t="shared" si="64"/>
        <v>45352</v>
      </c>
      <c r="J663">
        <v>770364.03</v>
      </c>
      <c r="K663">
        <v>34536</v>
      </c>
      <c r="L663">
        <f t="shared" si="60"/>
        <v>22.306116226546212</v>
      </c>
      <c r="M663">
        <v>2878</v>
      </c>
      <c r="N663" s="2">
        <f t="shared" si="65"/>
        <v>267.67339471855456</v>
      </c>
      <c r="O663">
        <v>12</v>
      </c>
    </row>
    <row r="664" spans="1:15" x14ac:dyDescent="0.25">
      <c r="A664" t="s">
        <v>46</v>
      </c>
      <c r="B664" t="s">
        <v>14</v>
      </c>
      <c r="C664" t="s">
        <v>3</v>
      </c>
      <c r="D664" t="str">
        <f t="shared" si="61"/>
        <v>FAB1_Leche Clasica Deslactosada Light 1 L</v>
      </c>
      <c r="E664">
        <v>2024</v>
      </c>
      <c r="F664">
        <v>11</v>
      </c>
      <c r="G664">
        <f t="shared" si="62"/>
        <v>3</v>
      </c>
      <c r="H664" s="1">
        <f t="shared" si="63"/>
        <v>45362</v>
      </c>
      <c r="I664" s="1">
        <f t="shared" si="64"/>
        <v>45352</v>
      </c>
      <c r="J664">
        <v>670500.69999999995</v>
      </c>
      <c r="K664">
        <v>29952</v>
      </c>
      <c r="L664">
        <f t="shared" si="60"/>
        <v>22.385840678418802</v>
      </c>
      <c r="M664">
        <v>2496</v>
      </c>
      <c r="N664" s="2">
        <f t="shared" si="65"/>
        <v>268.63008814102562</v>
      </c>
      <c r="O664">
        <v>12</v>
      </c>
    </row>
    <row r="665" spans="1:15" x14ac:dyDescent="0.25">
      <c r="A665" t="s">
        <v>46</v>
      </c>
      <c r="B665" t="s">
        <v>14</v>
      </c>
      <c r="C665" t="s">
        <v>3</v>
      </c>
      <c r="D665" t="str">
        <f t="shared" si="61"/>
        <v>FAB1_Leche Clasica Deslactosada Light 1 L</v>
      </c>
      <c r="E665">
        <v>2024</v>
      </c>
      <c r="F665">
        <v>12</v>
      </c>
      <c r="G665">
        <f t="shared" si="62"/>
        <v>3</v>
      </c>
      <c r="H665" s="1">
        <f t="shared" si="63"/>
        <v>45369</v>
      </c>
      <c r="I665" s="1">
        <f t="shared" si="64"/>
        <v>45352</v>
      </c>
      <c r="J665">
        <v>786103.72000000009</v>
      </c>
      <c r="K665">
        <v>36816</v>
      </c>
      <c r="L665">
        <f t="shared" si="60"/>
        <v>21.352230551933943</v>
      </c>
      <c r="M665">
        <v>3068</v>
      </c>
      <c r="N665" s="2">
        <f t="shared" si="65"/>
        <v>256.22676662320731</v>
      </c>
      <c r="O665">
        <v>12</v>
      </c>
    </row>
    <row r="666" spans="1:15" x14ac:dyDescent="0.25">
      <c r="A666" t="s">
        <v>46</v>
      </c>
      <c r="B666" t="s">
        <v>14</v>
      </c>
      <c r="C666" t="s">
        <v>3</v>
      </c>
      <c r="D666" t="str">
        <f t="shared" si="61"/>
        <v>FAB1_Leche Clasica Deslactosada Light 1 L</v>
      </c>
      <c r="E666">
        <v>2024</v>
      </c>
      <c r="F666">
        <v>13</v>
      </c>
      <c r="G666">
        <f t="shared" si="62"/>
        <v>3</v>
      </c>
      <c r="H666" s="1">
        <f t="shared" si="63"/>
        <v>45376</v>
      </c>
      <c r="I666" s="1">
        <f t="shared" si="64"/>
        <v>45352</v>
      </c>
      <c r="J666">
        <v>627707.67000000016</v>
      </c>
      <c r="K666">
        <v>28248</v>
      </c>
      <c r="L666">
        <f t="shared" si="60"/>
        <v>22.221313721325409</v>
      </c>
      <c r="M666">
        <v>2354</v>
      </c>
      <c r="N666" s="2">
        <f t="shared" si="65"/>
        <v>266.65576465590493</v>
      </c>
      <c r="O666">
        <v>12</v>
      </c>
    </row>
    <row r="667" spans="1:15" x14ac:dyDescent="0.25">
      <c r="A667" t="s">
        <v>46</v>
      </c>
      <c r="B667" t="s">
        <v>14</v>
      </c>
      <c r="C667" t="s">
        <v>3</v>
      </c>
      <c r="D667" t="str">
        <f t="shared" si="61"/>
        <v>FAB1_Leche Clasica Deslactosada Light 1 L</v>
      </c>
      <c r="E667">
        <v>2024</v>
      </c>
      <c r="F667">
        <v>14</v>
      </c>
      <c r="G667">
        <f t="shared" si="62"/>
        <v>4</v>
      </c>
      <c r="H667" s="1">
        <f t="shared" si="63"/>
        <v>45383</v>
      </c>
      <c r="I667" s="1">
        <f t="shared" si="64"/>
        <v>45383</v>
      </c>
      <c r="J667">
        <v>786640.33000000042</v>
      </c>
      <c r="K667">
        <v>35448</v>
      </c>
      <c r="L667">
        <f t="shared" si="60"/>
        <v>22.191388230647721</v>
      </c>
      <c r="M667">
        <v>2954</v>
      </c>
      <c r="N667" s="2">
        <f t="shared" si="65"/>
        <v>266.29665876777267</v>
      </c>
      <c r="O667">
        <v>12</v>
      </c>
    </row>
    <row r="668" spans="1:15" x14ac:dyDescent="0.25">
      <c r="A668" t="s">
        <v>46</v>
      </c>
      <c r="B668" t="s">
        <v>14</v>
      </c>
      <c r="C668" t="s">
        <v>3</v>
      </c>
      <c r="D668" t="str">
        <f t="shared" si="61"/>
        <v>FAB1_Leche Clasica Deslactosada Light 1 L</v>
      </c>
      <c r="E668">
        <v>2024</v>
      </c>
      <c r="F668">
        <v>15</v>
      </c>
      <c r="G668">
        <f t="shared" si="62"/>
        <v>4</v>
      </c>
      <c r="H668" s="1">
        <f t="shared" si="63"/>
        <v>45390</v>
      </c>
      <c r="I668" s="1">
        <f t="shared" si="64"/>
        <v>45383</v>
      </c>
      <c r="J668">
        <v>623237.78000000061</v>
      </c>
      <c r="K668">
        <v>28068</v>
      </c>
      <c r="L668">
        <f t="shared" si="60"/>
        <v>22.204566766424421</v>
      </c>
      <c r="M668">
        <v>2339</v>
      </c>
      <c r="N668" s="2">
        <f t="shared" si="65"/>
        <v>266.45480119709305</v>
      </c>
      <c r="O668">
        <v>12</v>
      </c>
    </row>
    <row r="669" spans="1:15" x14ac:dyDescent="0.25">
      <c r="A669" t="s">
        <v>46</v>
      </c>
      <c r="B669" t="s">
        <v>14</v>
      </c>
      <c r="C669" t="s">
        <v>3</v>
      </c>
      <c r="D669" t="str">
        <f t="shared" si="61"/>
        <v>FAB1_Leche Clasica Deslactosada Light 1 L</v>
      </c>
      <c r="E669">
        <v>2024</v>
      </c>
      <c r="F669">
        <v>16</v>
      </c>
      <c r="G669">
        <f t="shared" si="62"/>
        <v>4</v>
      </c>
      <c r="H669" s="1">
        <f t="shared" si="63"/>
        <v>45397</v>
      </c>
      <c r="I669" s="1">
        <f t="shared" si="64"/>
        <v>45383</v>
      </c>
      <c r="J669">
        <v>723515.56000000041</v>
      </c>
      <c r="K669">
        <v>32868</v>
      </c>
      <c r="L669">
        <f t="shared" si="60"/>
        <v>22.012764999391518</v>
      </c>
      <c r="M669">
        <v>2739</v>
      </c>
      <c r="N669" s="2">
        <f t="shared" si="65"/>
        <v>264.1531799926982</v>
      </c>
      <c r="O669">
        <v>12</v>
      </c>
    </row>
    <row r="670" spans="1:15" x14ac:dyDescent="0.25">
      <c r="A670" t="s">
        <v>46</v>
      </c>
      <c r="B670" t="s">
        <v>14</v>
      </c>
      <c r="C670" t="s">
        <v>3</v>
      </c>
      <c r="D670" t="str">
        <f t="shared" si="61"/>
        <v>FAB1_Leche Clasica Deslactosada Light 1 L</v>
      </c>
      <c r="E670">
        <v>2024</v>
      </c>
      <c r="F670">
        <v>17</v>
      </c>
      <c r="G670">
        <f t="shared" si="62"/>
        <v>4</v>
      </c>
      <c r="H670" s="1">
        <f t="shared" si="63"/>
        <v>45404</v>
      </c>
      <c r="I670" s="1">
        <f t="shared" si="64"/>
        <v>45383</v>
      </c>
      <c r="J670">
        <v>818879.87000000011</v>
      </c>
      <c r="K670">
        <v>39816</v>
      </c>
      <c r="L670">
        <f t="shared" si="60"/>
        <v>20.566603124372115</v>
      </c>
      <c r="M670">
        <v>3318</v>
      </c>
      <c r="N670" s="2">
        <f t="shared" si="65"/>
        <v>246.79923749246538</v>
      </c>
      <c r="O670">
        <v>12</v>
      </c>
    </row>
    <row r="671" spans="1:15" x14ac:dyDescent="0.25">
      <c r="A671" t="s">
        <v>46</v>
      </c>
      <c r="B671" t="s">
        <v>14</v>
      </c>
      <c r="C671" t="s">
        <v>3</v>
      </c>
      <c r="D671" t="str">
        <f t="shared" si="61"/>
        <v>FAB1_Leche Clasica Deslactosada Light 1 L</v>
      </c>
      <c r="E671">
        <v>2024</v>
      </c>
      <c r="F671">
        <v>18</v>
      </c>
      <c r="G671">
        <f t="shared" si="62"/>
        <v>5</v>
      </c>
      <c r="H671" s="1">
        <f t="shared" si="63"/>
        <v>45411</v>
      </c>
      <c r="I671" s="1">
        <f t="shared" si="64"/>
        <v>45413</v>
      </c>
      <c r="J671">
        <v>975871.56</v>
      </c>
      <c r="K671">
        <v>47544</v>
      </c>
      <c r="L671">
        <f t="shared" si="60"/>
        <v>20.525651186269563</v>
      </c>
      <c r="M671">
        <v>3962</v>
      </c>
      <c r="N671" s="2">
        <f t="shared" si="65"/>
        <v>246.30781423523473</v>
      </c>
      <c r="O671">
        <v>12</v>
      </c>
    </row>
    <row r="672" spans="1:15" x14ac:dyDescent="0.25">
      <c r="A672" t="s">
        <v>46</v>
      </c>
      <c r="B672" t="s">
        <v>14</v>
      </c>
      <c r="C672" t="s">
        <v>3</v>
      </c>
      <c r="D672" t="str">
        <f t="shared" si="61"/>
        <v>FAB1_Leche Clasica Deslactosada Light 1 L</v>
      </c>
      <c r="E672">
        <v>2024</v>
      </c>
      <c r="F672">
        <v>19</v>
      </c>
      <c r="G672">
        <f t="shared" si="62"/>
        <v>5</v>
      </c>
      <c r="H672" s="1">
        <f t="shared" si="63"/>
        <v>45418</v>
      </c>
      <c r="I672" s="1">
        <f t="shared" si="64"/>
        <v>45413</v>
      </c>
      <c r="J672">
        <v>787333.8200000003</v>
      </c>
      <c r="K672">
        <v>37200</v>
      </c>
      <c r="L672">
        <f t="shared" si="60"/>
        <v>21.164887634408611</v>
      </c>
      <c r="M672">
        <v>3100</v>
      </c>
      <c r="N672" s="2">
        <f t="shared" si="65"/>
        <v>253.97865161290332</v>
      </c>
      <c r="O672">
        <v>12</v>
      </c>
    </row>
    <row r="673" spans="1:15" x14ac:dyDescent="0.25">
      <c r="A673" t="s">
        <v>46</v>
      </c>
      <c r="B673" t="s">
        <v>14</v>
      </c>
      <c r="C673" t="s">
        <v>3</v>
      </c>
      <c r="D673" t="str">
        <f t="shared" si="61"/>
        <v>FAB1_Leche Clasica Deslactosada Light 1 L</v>
      </c>
      <c r="E673">
        <v>2024</v>
      </c>
      <c r="F673">
        <v>20</v>
      </c>
      <c r="G673">
        <f t="shared" si="62"/>
        <v>5</v>
      </c>
      <c r="H673" s="1">
        <f t="shared" si="63"/>
        <v>45425</v>
      </c>
      <c r="I673" s="1">
        <f t="shared" si="64"/>
        <v>45413</v>
      </c>
      <c r="J673">
        <v>823832.59000000078</v>
      </c>
      <c r="K673">
        <v>39060</v>
      </c>
      <c r="L673">
        <f t="shared" si="60"/>
        <v>21.091464157706113</v>
      </c>
      <c r="M673">
        <v>3255</v>
      </c>
      <c r="N673" s="2">
        <f t="shared" si="65"/>
        <v>253.09756989247336</v>
      </c>
      <c r="O673">
        <v>12</v>
      </c>
    </row>
    <row r="674" spans="1:15" x14ac:dyDescent="0.25">
      <c r="A674" t="s">
        <v>46</v>
      </c>
      <c r="B674" t="s">
        <v>14</v>
      </c>
      <c r="C674" t="s">
        <v>3</v>
      </c>
      <c r="D674" t="str">
        <f t="shared" si="61"/>
        <v>FAB1_Leche Clasica Deslactosada Light 1 L</v>
      </c>
      <c r="E674">
        <v>2024</v>
      </c>
      <c r="F674">
        <v>21</v>
      </c>
      <c r="G674">
        <f t="shared" si="62"/>
        <v>5</v>
      </c>
      <c r="H674" s="1">
        <f t="shared" si="63"/>
        <v>45432</v>
      </c>
      <c r="I674" s="1">
        <f t="shared" si="64"/>
        <v>45413</v>
      </c>
      <c r="J674">
        <v>663534.52000000048</v>
      </c>
      <c r="K674">
        <v>31104</v>
      </c>
      <c r="L674">
        <f t="shared" si="60"/>
        <v>21.332771347736642</v>
      </c>
      <c r="M674">
        <v>2592</v>
      </c>
      <c r="N674" s="2">
        <f t="shared" si="65"/>
        <v>255.99325617283969</v>
      </c>
      <c r="O674">
        <v>12</v>
      </c>
    </row>
    <row r="675" spans="1:15" x14ac:dyDescent="0.25">
      <c r="A675" t="s">
        <v>46</v>
      </c>
      <c r="B675" t="s">
        <v>14</v>
      </c>
      <c r="C675" t="s">
        <v>3</v>
      </c>
      <c r="D675" t="str">
        <f t="shared" si="61"/>
        <v>FAB1_Leche Clasica Deslactosada Light 1 L</v>
      </c>
      <c r="E675">
        <v>2024</v>
      </c>
      <c r="F675">
        <v>22</v>
      </c>
      <c r="G675">
        <f t="shared" si="62"/>
        <v>5</v>
      </c>
      <c r="H675" s="1">
        <f t="shared" si="63"/>
        <v>45439</v>
      </c>
      <c r="I675" s="1">
        <f t="shared" si="64"/>
        <v>45413</v>
      </c>
      <c r="J675">
        <v>668037.9700000002</v>
      </c>
      <c r="K675">
        <v>30492</v>
      </c>
      <c r="L675">
        <f t="shared" si="60"/>
        <v>21.908630788403521</v>
      </c>
      <c r="M675">
        <v>2541</v>
      </c>
      <c r="N675" s="2">
        <f t="shared" si="65"/>
        <v>262.90356946084228</v>
      </c>
      <c r="O675">
        <v>12</v>
      </c>
    </row>
    <row r="676" spans="1:15" x14ac:dyDescent="0.25">
      <c r="A676" t="s">
        <v>46</v>
      </c>
      <c r="B676" t="s">
        <v>14</v>
      </c>
      <c r="C676" t="s">
        <v>3</v>
      </c>
      <c r="D676" t="str">
        <f t="shared" si="61"/>
        <v>FAB1_Leche Clasica Deslactosada Light 1 L</v>
      </c>
      <c r="E676">
        <v>2024</v>
      </c>
      <c r="F676">
        <v>23</v>
      </c>
      <c r="G676">
        <f t="shared" si="62"/>
        <v>6</v>
      </c>
      <c r="H676" s="1">
        <f t="shared" si="63"/>
        <v>45446</v>
      </c>
      <c r="I676" s="1">
        <f t="shared" si="64"/>
        <v>45444</v>
      </c>
      <c r="J676">
        <v>811216.53000000061</v>
      </c>
      <c r="K676">
        <v>37044</v>
      </c>
      <c r="L676">
        <f t="shared" si="60"/>
        <v>21.898729348882426</v>
      </c>
      <c r="M676">
        <v>3087</v>
      </c>
      <c r="N676" s="2">
        <f t="shared" si="65"/>
        <v>262.78475218658912</v>
      </c>
      <c r="O676">
        <v>12</v>
      </c>
    </row>
    <row r="677" spans="1:15" x14ac:dyDescent="0.25">
      <c r="A677" t="s">
        <v>46</v>
      </c>
      <c r="B677" t="s">
        <v>14</v>
      </c>
      <c r="C677" t="s">
        <v>3</v>
      </c>
      <c r="D677" t="str">
        <f t="shared" si="61"/>
        <v>FAB1_Leche Clasica Deslactosada Light 1 L</v>
      </c>
      <c r="E677">
        <v>2024</v>
      </c>
      <c r="F677">
        <v>24</v>
      </c>
      <c r="G677">
        <f t="shared" si="62"/>
        <v>6</v>
      </c>
      <c r="H677" s="1">
        <f t="shared" si="63"/>
        <v>45453</v>
      </c>
      <c r="I677" s="1">
        <f t="shared" si="64"/>
        <v>45444</v>
      </c>
      <c r="J677">
        <v>776666.45</v>
      </c>
      <c r="K677">
        <v>36120</v>
      </c>
      <c r="L677">
        <f t="shared" si="60"/>
        <v>21.502393410852711</v>
      </c>
      <c r="M677">
        <v>3010</v>
      </c>
      <c r="N677" s="2">
        <f t="shared" si="65"/>
        <v>258.02872093023257</v>
      </c>
      <c r="O677">
        <v>12</v>
      </c>
    </row>
    <row r="678" spans="1:15" x14ac:dyDescent="0.25">
      <c r="A678" t="s">
        <v>46</v>
      </c>
      <c r="B678" t="s">
        <v>14</v>
      </c>
      <c r="C678" t="s">
        <v>3</v>
      </c>
      <c r="D678" t="str">
        <f t="shared" si="61"/>
        <v>FAB1_Leche Clasica Deslactosada Light 1 L</v>
      </c>
      <c r="E678">
        <v>2024</v>
      </c>
      <c r="F678">
        <v>25</v>
      </c>
      <c r="G678">
        <f t="shared" si="62"/>
        <v>6</v>
      </c>
      <c r="H678" s="1">
        <f t="shared" si="63"/>
        <v>45460</v>
      </c>
      <c r="I678" s="1">
        <f t="shared" si="64"/>
        <v>45444</v>
      </c>
      <c r="J678">
        <v>847518.22000000125</v>
      </c>
      <c r="K678">
        <v>39720</v>
      </c>
      <c r="L678">
        <f t="shared" si="60"/>
        <v>21.337316717019167</v>
      </c>
      <c r="M678">
        <v>3310</v>
      </c>
      <c r="N678" s="2">
        <f t="shared" si="65"/>
        <v>256.04780060422996</v>
      </c>
      <c r="O678">
        <v>12</v>
      </c>
    </row>
    <row r="679" spans="1:15" x14ac:dyDescent="0.25">
      <c r="A679" t="s">
        <v>46</v>
      </c>
      <c r="B679" t="s">
        <v>14</v>
      </c>
      <c r="C679" t="s">
        <v>3</v>
      </c>
      <c r="D679" t="str">
        <f t="shared" si="61"/>
        <v>FAB1_Leche Clasica Deslactosada Light 1 L</v>
      </c>
      <c r="E679">
        <v>2024</v>
      </c>
      <c r="F679">
        <v>26</v>
      </c>
      <c r="G679">
        <f t="shared" si="62"/>
        <v>6</v>
      </c>
      <c r="H679" s="1">
        <f t="shared" si="63"/>
        <v>45467</v>
      </c>
      <c r="I679" s="1">
        <f t="shared" si="64"/>
        <v>45444</v>
      </c>
      <c r="J679">
        <v>638388.8900000006</v>
      </c>
      <c r="K679">
        <v>30264</v>
      </c>
      <c r="L679">
        <f t="shared" si="60"/>
        <v>21.094002445149371</v>
      </c>
      <c r="M679">
        <v>2522</v>
      </c>
      <c r="N679" s="2">
        <f t="shared" si="65"/>
        <v>253.12802934179246</v>
      </c>
      <c r="O679">
        <v>12</v>
      </c>
    </row>
    <row r="680" spans="1:15" x14ac:dyDescent="0.25">
      <c r="A680" t="s">
        <v>46</v>
      </c>
      <c r="B680" t="s">
        <v>14</v>
      </c>
      <c r="C680" t="s">
        <v>3</v>
      </c>
      <c r="D680" t="str">
        <f t="shared" si="61"/>
        <v>FAB1_Leche Clasica Deslactosada Light 1 L</v>
      </c>
      <c r="E680">
        <v>2024</v>
      </c>
      <c r="F680">
        <v>27</v>
      </c>
      <c r="G680">
        <f t="shared" si="62"/>
        <v>7</v>
      </c>
      <c r="H680" s="1">
        <f t="shared" si="63"/>
        <v>45474</v>
      </c>
      <c r="I680" s="1">
        <f t="shared" si="64"/>
        <v>45474</v>
      </c>
      <c r="J680">
        <v>927433.21000000124</v>
      </c>
      <c r="K680">
        <v>43980</v>
      </c>
      <c r="L680">
        <f t="shared" si="60"/>
        <v>21.087612778535725</v>
      </c>
      <c r="M680">
        <v>3665</v>
      </c>
      <c r="N680" s="2">
        <f t="shared" si="65"/>
        <v>253.05135334242871</v>
      </c>
      <c r="O680">
        <v>12</v>
      </c>
    </row>
    <row r="681" spans="1:15" x14ac:dyDescent="0.25">
      <c r="A681" t="s">
        <v>46</v>
      </c>
      <c r="B681" t="s">
        <v>14</v>
      </c>
      <c r="C681" t="s">
        <v>3</v>
      </c>
      <c r="D681" t="str">
        <f t="shared" si="61"/>
        <v>FAB1_Leche Clasica Deslactosada Light 1 L</v>
      </c>
      <c r="E681">
        <v>2024</v>
      </c>
      <c r="F681">
        <v>28</v>
      </c>
      <c r="G681">
        <f t="shared" si="62"/>
        <v>7</v>
      </c>
      <c r="H681" s="1">
        <f t="shared" si="63"/>
        <v>45481</v>
      </c>
      <c r="I681" s="1">
        <f t="shared" si="64"/>
        <v>45474</v>
      </c>
      <c r="J681">
        <v>814624.77000000095</v>
      </c>
      <c r="K681">
        <v>38880</v>
      </c>
      <c r="L681">
        <f t="shared" si="60"/>
        <v>20.952283179012369</v>
      </c>
      <c r="M681">
        <v>3240</v>
      </c>
      <c r="N681" s="2">
        <f t="shared" si="65"/>
        <v>251.42739814814846</v>
      </c>
      <c r="O681">
        <v>12</v>
      </c>
    </row>
    <row r="682" spans="1:15" x14ac:dyDescent="0.25">
      <c r="A682" t="s">
        <v>46</v>
      </c>
      <c r="B682" t="s">
        <v>14</v>
      </c>
      <c r="C682" t="s">
        <v>3</v>
      </c>
      <c r="D682" t="str">
        <f t="shared" si="61"/>
        <v>FAB1_Leche Clasica Deslactosada Light 1 L</v>
      </c>
      <c r="E682">
        <v>2024</v>
      </c>
      <c r="F682">
        <v>29</v>
      </c>
      <c r="G682">
        <f t="shared" si="62"/>
        <v>7</v>
      </c>
      <c r="H682" s="1">
        <f t="shared" si="63"/>
        <v>45488</v>
      </c>
      <c r="I682" s="1">
        <f t="shared" si="64"/>
        <v>45474</v>
      </c>
      <c r="J682">
        <v>1059379.8300000003</v>
      </c>
      <c r="K682">
        <v>50964</v>
      </c>
      <c r="L682">
        <f t="shared" si="60"/>
        <v>20.786826583470692</v>
      </c>
      <c r="M682">
        <v>4247</v>
      </c>
      <c r="N682" s="2">
        <f t="shared" si="65"/>
        <v>249.4419190016483</v>
      </c>
      <c r="O682">
        <v>12</v>
      </c>
    </row>
    <row r="683" spans="1:15" x14ac:dyDescent="0.25">
      <c r="A683" t="s">
        <v>46</v>
      </c>
      <c r="B683" t="s">
        <v>14</v>
      </c>
      <c r="C683" t="s">
        <v>3</v>
      </c>
      <c r="D683" t="str">
        <f t="shared" si="61"/>
        <v>FAB1_Leche Clasica Deslactosada Light 1 L</v>
      </c>
      <c r="E683">
        <v>2024</v>
      </c>
      <c r="F683">
        <v>30</v>
      </c>
      <c r="G683">
        <f t="shared" si="62"/>
        <v>7</v>
      </c>
      <c r="H683" s="1">
        <f t="shared" si="63"/>
        <v>45495</v>
      </c>
      <c r="I683" s="1">
        <f t="shared" si="64"/>
        <v>45474</v>
      </c>
      <c r="J683">
        <v>787590.77000000025</v>
      </c>
      <c r="K683">
        <v>37812</v>
      </c>
      <c r="L683">
        <f t="shared" si="60"/>
        <v>20.829122236327098</v>
      </c>
      <c r="M683">
        <v>3151</v>
      </c>
      <c r="N683" s="2">
        <f t="shared" si="65"/>
        <v>249.94946683592519</v>
      </c>
      <c r="O683">
        <v>12</v>
      </c>
    </row>
    <row r="684" spans="1:15" x14ac:dyDescent="0.25">
      <c r="A684" t="s">
        <v>46</v>
      </c>
      <c r="B684" t="s">
        <v>14</v>
      </c>
      <c r="C684" t="s">
        <v>3</v>
      </c>
      <c r="D684" t="str">
        <f t="shared" si="61"/>
        <v>FAB1_Leche Clasica Deslactosada Light 1 L</v>
      </c>
      <c r="E684">
        <v>2024</v>
      </c>
      <c r="F684">
        <v>31</v>
      </c>
      <c r="G684">
        <f t="shared" si="62"/>
        <v>8</v>
      </c>
      <c r="H684" s="1">
        <f t="shared" si="63"/>
        <v>45502</v>
      </c>
      <c r="I684" s="1">
        <f t="shared" si="64"/>
        <v>45505</v>
      </c>
      <c r="J684">
        <v>990890.55000000063</v>
      </c>
      <c r="K684">
        <v>46596</v>
      </c>
      <c r="L684">
        <f t="shared" si="60"/>
        <v>21.265571079062592</v>
      </c>
      <c r="M684">
        <v>3883</v>
      </c>
      <c r="N684" s="2">
        <f t="shared" si="65"/>
        <v>255.18685294875112</v>
      </c>
      <c r="O684">
        <v>12</v>
      </c>
    </row>
    <row r="685" spans="1:15" x14ac:dyDescent="0.25">
      <c r="A685" t="s">
        <v>46</v>
      </c>
      <c r="B685" t="s">
        <v>14</v>
      </c>
      <c r="C685" t="s">
        <v>3</v>
      </c>
      <c r="D685" t="str">
        <f t="shared" si="61"/>
        <v>FAB1_Leche Clasica Deslactosada Light 1 L</v>
      </c>
      <c r="E685">
        <v>2024</v>
      </c>
      <c r="F685">
        <v>32</v>
      </c>
      <c r="G685">
        <f t="shared" si="62"/>
        <v>8</v>
      </c>
      <c r="H685" s="1">
        <f t="shared" si="63"/>
        <v>45509</v>
      </c>
      <c r="I685" s="1">
        <f t="shared" si="64"/>
        <v>45505</v>
      </c>
      <c r="J685">
        <v>910089.90000000049</v>
      </c>
      <c r="K685">
        <v>41436</v>
      </c>
      <c r="L685">
        <f t="shared" si="60"/>
        <v>21.96374891398785</v>
      </c>
      <c r="M685">
        <v>3453</v>
      </c>
      <c r="N685" s="2">
        <f t="shared" si="65"/>
        <v>263.56498696785417</v>
      </c>
      <c r="O685">
        <v>12</v>
      </c>
    </row>
    <row r="686" spans="1:15" x14ac:dyDescent="0.25">
      <c r="A686" t="s">
        <v>46</v>
      </c>
      <c r="B686" t="s">
        <v>14</v>
      </c>
      <c r="C686" t="s">
        <v>3</v>
      </c>
      <c r="D686" t="str">
        <f t="shared" si="61"/>
        <v>FAB1_Leche Clasica Deslactosada Light 1 L</v>
      </c>
      <c r="E686">
        <v>2024</v>
      </c>
      <c r="F686">
        <v>33</v>
      </c>
      <c r="G686">
        <f t="shared" si="62"/>
        <v>8</v>
      </c>
      <c r="H686" s="1">
        <f t="shared" si="63"/>
        <v>45516</v>
      </c>
      <c r="I686" s="1">
        <f t="shared" si="64"/>
        <v>45505</v>
      </c>
      <c r="J686">
        <v>992354.57000000041</v>
      </c>
      <c r="K686">
        <v>47004</v>
      </c>
      <c r="L686">
        <f t="shared" si="60"/>
        <v>21.112130244234542</v>
      </c>
      <c r="M686">
        <v>3917</v>
      </c>
      <c r="N686" s="2">
        <f t="shared" si="65"/>
        <v>253.34556293081451</v>
      </c>
      <c r="O686">
        <v>12</v>
      </c>
    </row>
    <row r="687" spans="1:15" x14ac:dyDescent="0.25">
      <c r="A687" t="s">
        <v>46</v>
      </c>
      <c r="B687" t="s">
        <v>14</v>
      </c>
      <c r="C687" t="s">
        <v>3</v>
      </c>
      <c r="D687" t="str">
        <f t="shared" si="61"/>
        <v>FAB1_Leche Clasica Deslactosada Light 1 L</v>
      </c>
      <c r="E687">
        <v>2024</v>
      </c>
      <c r="F687">
        <v>34</v>
      </c>
      <c r="G687">
        <f t="shared" si="62"/>
        <v>8</v>
      </c>
      <c r="H687" s="1">
        <f t="shared" si="63"/>
        <v>45523</v>
      </c>
      <c r="I687" s="1">
        <f t="shared" si="64"/>
        <v>45505</v>
      </c>
      <c r="J687">
        <v>988535.14000000048</v>
      </c>
      <c r="K687">
        <v>46356</v>
      </c>
      <c r="L687">
        <f t="shared" si="60"/>
        <v>21.324858486495824</v>
      </c>
      <c r="M687">
        <v>3863</v>
      </c>
      <c r="N687" s="2">
        <f t="shared" si="65"/>
        <v>255.8983018379499</v>
      </c>
      <c r="O687">
        <v>12</v>
      </c>
    </row>
    <row r="688" spans="1:15" x14ac:dyDescent="0.25">
      <c r="A688" t="s">
        <v>46</v>
      </c>
      <c r="B688" t="s">
        <v>14</v>
      </c>
      <c r="C688" t="s">
        <v>3</v>
      </c>
      <c r="D688" t="str">
        <f t="shared" si="61"/>
        <v>FAB1_Leche Clasica Deslactosada Light 1 L</v>
      </c>
      <c r="E688">
        <v>2024</v>
      </c>
      <c r="F688">
        <v>35</v>
      </c>
      <c r="G688">
        <f t="shared" si="62"/>
        <v>8</v>
      </c>
      <c r="H688" s="1">
        <f t="shared" si="63"/>
        <v>45530</v>
      </c>
      <c r="I688" s="1">
        <f t="shared" si="64"/>
        <v>45505</v>
      </c>
      <c r="J688">
        <v>884078.53000000119</v>
      </c>
      <c r="K688">
        <v>40368</v>
      </c>
      <c r="L688">
        <f t="shared" si="60"/>
        <v>21.90047884462944</v>
      </c>
      <c r="M688">
        <v>3364</v>
      </c>
      <c r="N688" s="2">
        <f t="shared" si="65"/>
        <v>262.80574613555325</v>
      </c>
      <c r="O688">
        <v>12</v>
      </c>
    </row>
    <row r="689" spans="1:15" x14ac:dyDescent="0.25">
      <c r="A689" t="s">
        <v>46</v>
      </c>
      <c r="B689" t="s">
        <v>14</v>
      </c>
      <c r="C689" t="s">
        <v>3</v>
      </c>
      <c r="D689" t="str">
        <f t="shared" si="61"/>
        <v>FAB1_Leche Clasica Deslactosada Light 1 L</v>
      </c>
      <c r="E689">
        <v>2024</v>
      </c>
      <c r="F689">
        <v>36</v>
      </c>
      <c r="G689">
        <f t="shared" si="62"/>
        <v>9</v>
      </c>
      <c r="H689" s="1">
        <f t="shared" si="63"/>
        <v>45537</v>
      </c>
      <c r="I689" s="1">
        <f t="shared" si="64"/>
        <v>45536</v>
      </c>
      <c r="J689">
        <v>959996.88000000105</v>
      </c>
      <c r="K689">
        <v>43788</v>
      </c>
      <c r="L689">
        <f t="shared" si="60"/>
        <v>21.923743491367521</v>
      </c>
      <c r="M689">
        <v>3649</v>
      </c>
      <c r="N689" s="2">
        <f t="shared" si="65"/>
        <v>263.08492189641026</v>
      </c>
      <c r="O689">
        <v>12</v>
      </c>
    </row>
    <row r="690" spans="1:15" x14ac:dyDescent="0.25">
      <c r="A690" t="s">
        <v>46</v>
      </c>
      <c r="B690" t="s">
        <v>14</v>
      </c>
      <c r="C690" t="s">
        <v>3</v>
      </c>
      <c r="D690" t="str">
        <f t="shared" si="61"/>
        <v>FAB1_Leche Clasica Deslactosada Light 1 L</v>
      </c>
      <c r="E690">
        <v>2024</v>
      </c>
      <c r="F690">
        <v>37</v>
      </c>
      <c r="G690">
        <f t="shared" si="62"/>
        <v>9</v>
      </c>
      <c r="H690" s="1">
        <f t="shared" si="63"/>
        <v>45544</v>
      </c>
      <c r="I690" s="1">
        <f t="shared" si="64"/>
        <v>45536</v>
      </c>
      <c r="J690">
        <v>899791.80000000028</v>
      </c>
      <c r="K690">
        <v>40968</v>
      </c>
      <c r="L690">
        <f t="shared" si="60"/>
        <v>21.963283538371417</v>
      </c>
      <c r="M690">
        <v>3414</v>
      </c>
      <c r="N690" s="2">
        <f t="shared" si="65"/>
        <v>263.55940246045702</v>
      </c>
      <c r="O690">
        <v>12</v>
      </c>
    </row>
    <row r="691" spans="1:15" x14ac:dyDescent="0.25">
      <c r="A691" t="s">
        <v>46</v>
      </c>
      <c r="B691" t="s">
        <v>14</v>
      </c>
      <c r="C691" t="s">
        <v>3</v>
      </c>
      <c r="D691" t="str">
        <f t="shared" si="61"/>
        <v>FAB1_Leche Clasica Deslactosada Light 1 L</v>
      </c>
      <c r="E691">
        <v>2024</v>
      </c>
      <c r="F691">
        <v>38</v>
      </c>
      <c r="G691">
        <f t="shared" si="62"/>
        <v>9</v>
      </c>
      <c r="H691" s="1">
        <f t="shared" si="63"/>
        <v>45551</v>
      </c>
      <c r="I691" s="1">
        <f t="shared" si="64"/>
        <v>45536</v>
      </c>
      <c r="J691">
        <v>808508.64999999979</v>
      </c>
      <c r="K691">
        <v>35388</v>
      </c>
      <c r="L691">
        <f t="shared" si="60"/>
        <v>22.846972137447718</v>
      </c>
      <c r="M691">
        <v>2949</v>
      </c>
      <c r="N691" s="2">
        <f t="shared" si="65"/>
        <v>274.1636656493726</v>
      </c>
      <c r="O691">
        <v>12</v>
      </c>
    </row>
    <row r="692" spans="1:15" x14ac:dyDescent="0.25">
      <c r="A692" t="s">
        <v>46</v>
      </c>
      <c r="B692" t="s">
        <v>14</v>
      </c>
      <c r="C692" t="s">
        <v>3</v>
      </c>
      <c r="D692" t="str">
        <f t="shared" si="61"/>
        <v>FAB1_Leche Clasica Deslactosada Light 1 L</v>
      </c>
      <c r="E692">
        <v>2024</v>
      </c>
      <c r="F692">
        <v>39</v>
      </c>
      <c r="G692">
        <f t="shared" si="62"/>
        <v>9</v>
      </c>
      <c r="H692" s="1">
        <f t="shared" si="63"/>
        <v>45558</v>
      </c>
      <c r="I692" s="1">
        <f t="shared" si="64"/>
        <v>45536</v>
      </c>
      <c r="J692">
        <v>671576.31000000052</v>
      </c>
      <c r="K692">
        <v>29484</v>
      </c>
      <c r="L692">
        <f t="shared" si="60"/>
        <v>22.777652625152644</v>
      </c>
      <c r="M692">
        <v>2457</v>
      </c>
      <c r="N692" s="2">
        <f t="shared" si="65"/>
        <v>273.33183150183169</v>
      </c>
      <c r="O692">
        <v>12</v>
      </c>
    </row>
    <row r="693" spans="1:15" x14ac:dyDescent="0.25">
      <c r="A693" t="s">
        <v>46</v>
      </c>
      <c r="B693" t="s">
        <v>14</v>
      </c>
      <c r="C693" t="s">
        <v>3</v>
      </c>
      <c r="D693" t="str">
        <f t="shared" si="61"/>
        <v>FAB1_Leche Clasica Deslactosada Light 1 L</v>
      </c>
      <c r="E693">
        <v>2024</v>
      </c>
      <c r="F693">
        <v>40</v>
      </c>
      <c r="G693">
        <f t="shared" si="62"/>
        <v>10</v>
      </c>
      <c r="H693" s="1">
        <f t="shared" si="63"/>
        <v>45565</v>
      </c>
      <c r="I693" s="1">
        <f t="shared" si="64"/>
        <v>45566</v>
      </c>
      <c r="J693">
        <v>925859.14</v>
      </c>
      <c r="K693">
        <v>40884</v>
      </c>
      <c r="L693">
        <f t="shared" si="60"/>
        <v>22.646001858917913</v>
      </c>
      <c r="M693">
        <v>3407</v>
      </c>
      <c r="N693" s="2">
        <f t="shared" si="65"/>
        <v>271.75202230701495</v>
      </c>
      <c r="O693">
        <v>12</v>
      </c>
    </row>
    <row r="694" spans="1:15" x14ac:dyDescent="0.25">
      <c r="A694" t="s">
        <v>46</v>
      </c>
      <c r="B694" t="s">
        <v>14</v>
      </c>
      <c r="C694" t="s">
        <v>3</v>
      </c>
      <c r="D694" t="str">
        <f t="shared" si="61"/>
        <v>FAB1_Leche Clasica Deslactosada Light 1 L</v>
      </c>
      <c r="E694">
        <v>2024</v>
      </c>
      <c r="F694">
        <v>41</v>
      </c>
      <c r="G694">
        <f t="shared" si="62"/>
        <v>10</v>
      </c>
      <c r="H694" s="1">
        <f t="shared" si="63"/>
        <v>45572</v>
      </c>
      <c r="I694" s="1">
        <f t="shared" si="64"/>
        <v>45566</v>
      </c>
      <c r="J694">
        <v>829038.81999999983</v>
      </c>
      <c r="K694">
        <v>36492</v>
      </c>
      <c r="L694">
        <f t="shared" si="60"/>
        <v>22.718371697906385</v>
      </c>
      <c r="M694">
        <v>3041</v>
      </c>
      <c r="N694" s="2">
        <f t="shared" si="65"/>
        <v>272.62046037487664</v>
      </c>
      <c r="O694">
        <v>12</v>
      </c>
    </row>
    <row r="695" spans="1:15" x14ac:dyDescent="0.25">
      <c r="A695" t="s">
        <v>46</v>
      </c>
      <c r="B695" t="s">
        <v>14</v>
      </c>
      <c r="C695" t="s">
        <v>3</v>
      </c>
      <c r="D695" t="str">
        <f t="shared" si="61"/>
        <v>FAB1_Leche Clasica Deslactosada Light 1 L</v>
      </c>
      <c r="E695">
        <v>2024</v>
      </c>
      <c r="F695">
        <v>42</v>
      </c>
      <c r="G695">
        <f t="shared" si="62"/>
        <v>10</v>
      </c>
      <c r="H695" s="1">
        <f t="shared" si="63"/>
        <v>45579</v>
      </c>
      <c r="I695" s="1">
        <f t="shared" si="64"/>
        <v>45566</v>
      </c>
      <c r="J695">
        <v>981465.64999999991</v>
      </c>
      <c r="K695">
        <v>44724</v>
      </c>
      <c r="L695">
        <f t="shared" si="60"/>
        <v>21.944943430820139</v>
      </c>
      <c r="M695">
        <v>3727</v>
      </c>
      <c r="N695" s="2">
        <f t="shared" si="65"/>
        <v>263.3393211698417</v>
      </c>
      <c r="O695">
        <v>12</v>
      </c>
    </row>
    <row r="696" spans="1:15" x14ac:dyDescent="0.25">
      <c r="A696" t="s">
        <v>46</v>
      </c>
      <c r="B696" t="s">
        <v>14</v>
      </c>
      <c r="C696" t="s">
        <v>3</v>
      </c>
      <c r="D696" t="str">
        <f t="shared" si="61"/>
        <v>FAB1_Leche Clasica Deslactosada Light 1 L</v>
      </c>
      <c r="E696">
        <v>2024</v>
      </c>
      <c r="F696">
        <v>43</v>
      </c>
      <c r="G696">
        <f t="shared" si="62"/>
        <v>10</v>
      </c>
      <c r="H696" s="1">
        <f t="shared" si="63"/>
        <v>45586</v>
      </c>
      <c r="I696" s="1">
        <f t="shared" si="64"/>
        <v>45566</v>
      </c>
      <c r="J696">
        <v>848357.86999999965</v>
      </c>
      <c r="K696">
        <v>37896</v>
      </c>
      <c r="L696">
        <f t="shared" si="60"/>
        <v>22.386475353599316</v>
      </c>
      <c r="M696">
        <v>3158</v>
      </c>
      <c r="N696" s="2">
        <f t="shared" si="65"/>
        <v>268.63770424319176</v>
      </c>
      <c r="O696">
        <v>12</v>
      </c>
    </row>
    <row r="697" spans="1:15" x14ac:dyDescent="0.25">
      <c r="A697" t="s">
        <v>46</v>
      </c>
      <c r="B697" t="s">
        <v>14</v>
      </c>
      <c r="C697" t="s">
        <v>3</v>
      </c>
      <c r="D697" t="str">
        <f t="shared" si="61"/>
        <v>FAB1_Leche Clasica Deslactosada Light 1 L</v>
      </c>
      <c r="E697">
        <v>2024</v>
      </c>
      <c r="F697">
        <v>44</v>
      </c>
      <c r="G697">
        <f t="shared" si="62"/>
        <v>10</v>
      </c>
      <c r="H697" s="1">
        <f t="shared" si="63"/>
        <v>45593</v>
      </c>
      <c r="I697" s="1">
        <f t="shared" si="64"/>
        <v>45566</v>
      </c>
      <c r="J697">
        <v>742878.64</v>
      </c>
      <c r="K697">
        <v>33636</v>
      </c>
      <c r="L697">
        <f t="shared" si="60"/>
        <v>22.085819954810322</v>
      </c>
      <c r="M697">
        <v>2803</v>
      </c>
      <c r="N697" s="2">
        <f t="shared" si="65"/>
        <v>265.02983945772388</v>
      </c>
      <c r="O697">
        <v>12</v>
      </c>
    </row>
    <row r="698" spans="1:15" x14ac:dyDescent="0.25">
      <c r="A698" t="s">
        <v>46</v>
      </c>
      <c r="B698" t="s">
        <v>14</v>
      </c>
      <c r="C698" t="s">
        <v>3</v>
      </c>
      <c r="D698" t="str">
        <f t="shared" si="61"/>
        <v>FAB1_Leche Clasica Deslactosada Light 1 L</v>
      </c>
      <c r="E698">
        <v>2024</v>
      </c>
      <c r="F698">
        <v>45</v>
      </c>
      <c r="G698">
        <f t="shared" si="62"/>
        <v>11</v>
      </c>
      <c r="H698" s="1">
        <f t="shared" si="63"/>
        <v>45600</v>
      </c>
      <c r="I698" s="1">
        <f t="shared" si="64"/>
        <v>45597</v>
      </c>
      <c r="J698">
        <v>853812.07999999973</v>
      </c>
      <c r="K698">
        <v>39576</v>
      </c>
      <c r="L698">
        <f t="shared" si="60"/>
        <v>21.573986254295527</v>
      </c>
      <c r="M698">
        <v>3298</v>
      </c>
      <c r="N698" s="2">
        <f t="shared" si="65"/>
        <v>258.88783505154629</v>
      </c>
      <c r="O698">
        <v>12</v>
      </c>
    </row>
    <row r="699" spans="1:15" x14ac:dyDescent="0.25">
      <c r="A699" t="s">
        <v>46</v>
      </c>
      <c r="B699" t="s">
        <v>14</v>
      </c>
      <c r="C699" t="s">
        <v>3</v>
      </c>
      <c r="D699" t="str">
        <f t="shared" si="61"/>
        <v>FAB1_Leche Clasica Deslactosada Light 1 L</v>
      </c>
      <c r="E699">
        <v>2024</v>
      </c>
      <c r="F699">
        <v>46</v>
      </c>
      <c r="G699">
        <f t="shared" si="62"/>
        <v>11</v>
      </c>
      <c r="H699" s="1">
        <f t="shared" si="63"/>
        <v>45607</v>
      </c>
      <c r="I699" s="1">
        <f t="shared" si="64"/>
        <v>45597</v>
      </c>
      <c r="J699">
        <v>966038.2</v>
      </c>
      <c r="K699">
        <v>44328</v>
      </c>
      <c r="L699">
        <f t="shared" si="60"/>
        <v>21.792957047464355</v>
      </c>
      <c r="M699">
        <v>3694</v>
      </c>
      <c r="N699" s="2">
        <f t="shared" si="65"/>
        <v>261.51548456957227</v>
      </c>
      <c r="O699">
        <v>12</v>
      </c>
    </row>
    <row r="700" spans="1:15" x14ac:dyDescent="0.25">
      <c r="A700" t="s">
        <v>46</v>
      </c>
      <c r="B700" t="s">
        <v>14</v>
      </c>
      <c r="C700" t="s">
        <v>3</v>
      </c>
      <c r="D700" t="str">
        <f t="shared" si="61"/>
        <v>FAB1_Leche Clasica Deslactosada Light 1 L</v>
      </c>
      <c r="E700">
        <v>2024</v>
      </c>
      <c r="F700">
        <v>47</v>
      </c>
      <c r="G700">
        <f t="shared" si="62"/>
        <v>11</v>
      </c>
      <c r="H700" s="1">
        <f t="shared" si="63"/>
        <v>45614</v>
      </c>
      <c r="I700" s="1">
        <f t="shared" si="64"/>
        <v>45597</v>
      </c>
      <c r="J700">
        <v>940151.97999999952</v>
      </c>
      <c r="K700">
        <v>42804</v>
      </c>
      <c r="L700">
        <f t="shared" si="60"/>
        <v>21.964115035977933</v>
      </c>
      <c r="M700">
        <v>3567</v>
      </c>
      <c r="N700" s="2">
        <f t="shared" si="65"/>
        <v>263.56938043173523</v>
      </c>
      <c r="O700">
        <v>12</v>
      </c>
    </row>
    <row r="701" spans="1:15" x14ac:dyDescent="0.25">
      <c r="A701" t="s">
        <v>46</v>
      </c>
      <c r="B701" t="s">
        <v>14</v>
      </c>
      <c r="C701" t="s">
        <v>3</v>
      </c>
      <c r="D701" t="str">
        <f t="shared" si="61"/>
        <v>FAB1_Leche Clasica Deslactosada Light 1 L</v>
      </c>
      <c r="E701">
        <v>2024</v>
      </c>
      <c r="F701">
        <v>48</v>
      </c>
      <c r="G701">
        <f t="shared" si="62"/>
        <v>11</v>
      </c>
      <c r="H701" s="1">
        <f t="shared" si="63"/>
        <v>45621</v>
      </c>
      <c r="I701" s="1">
        <f t="shared" si="64"/>
        <v>45597</v>
      </c>
      <c r="J701">
        <v>687612.26000000024</v>
      </c>
      <c r="K701">
        <v>31008</v>
      </c>
      <c r="L701">
        <f t="shared" si="60"/>
        <v>22.17531798245615</v>
      </c>
      <c r="M701">
        <v>2584</v>
      </c>
      <c r="N701" s="2">
        <f t="shared" si="65"/>
        <v>266.1038157894738</v>
      </c>
      <c r="O701">
        <v>12</v>
      </c>
    </row>
    <row r="702" spans="1:15" x14ac:dyDescent="0.25">
      <c r="A702" t="s">
        <v>46</v>
      </c>
      <c r="B702" t="s">
        <v>14</v>
      </c>
      <c r="C702" t="s">
        <v>3</v>
      </c>
      <c r="D702" t="str">
        <f t="shared" si="61"/>
        <v>FAB1_Leche Clasica Deslactosada Light 1 L</v>
      </c>
      <c r="E702">
        <v>2024</v>
      </c>
      <c r="F702">
        <v>49</v>
      </c>
      <c r="G702">
        <f t="shared" si="62"/>
        <v>12</v>
      </c>
      <c r="H702" s="1">
        <f t="shared" si="63"/>
        <v>45628</v>
      </c>
      <c r="I702" s="1">
        <f t="shared" si="64"/>
        <v>45627</v>
      </c>
      <c r="J702">
        <v>711131.25000000023</v>
      </c>
      <c r="K702">
        <v>31680</v>
      </c>
      <c r="L702">
        <f t="shared" si="60"/>
        <v>22.447324810606069</v>
      </c>
      <c r="M702">
        <v>2640</v>
      </c>
      <c r="N702" s="2">
        <f t="shared" si="65"/>
        <v>269.3678977272728</v>
      </c>
      <c r="O702">
        <v>12</v>
      </c>
    </row>
    <row r="703" spans="1:15" x14ac:dyDescent="0.25">
      <c r="A703" t="s">
        <v>46</v>
      </c>
      <c r="B703" t="s">
        <v>14</v>
      </c>
      <c r="C703" t="s">
        <v>3</v>
      </c>
      <c r="D703" t="str">
        <f t="shared" si="61"/>
        <v>FAB1_Leche Clasica Deslactosada Light 1 L</v>
      </c>
      <c r="E703">
        <v>2024</v>
      </c>
      <c r="F703">
        <v>50</v>
      </c>
      <c r="G703">
        <f t="shared" si="62"/>
        <v>12</v>
      </c>
      <c r="H703" s="1">
        <f t="shared" si="63"/>
        <v>45635</v>
      </c>
      <c r="I703" s="1">
        <f t="shared" si="64"/>
        <v>45627</v>
      </c>
      <c r="J703">
        <v>859213.26999999979</v>
      </c>
      <c r="K703">
        <v>37944</v>
      </c>
      <c r="L703">
        <f t="shared" si="60"/>
        <v>22.644245994096558</v>
      </c>
      <c r="M703">
        <v>3162</v>
      </c>
      <c r="N703" s="2">
        <f t="shared" si="65"/>
        <v>271.73095192915872</v>
      </c>
      <c r="O703">
        <v>12</v>
      </c>
    </row>
    <row r="704" spans="1:15" x14ac:dyDescent="0.25">
      <c r="A704" t="s">
        <v>46</v>
      </c>
      <c r="B704" t="s">
        <v>14</v>
      </c>
      <c r="C704" t="s">
        <v>3</v>
      </c>
      <c r="D704" t="str">
        <f t="shared" si="61"/>
        <v>FAB1_Leche Clasica Deslactosada Light 1 L</v>
      </c>
      <c r="E704">
        <v>2024</v>
      </c>
      <c r="F704">
        <v>51</v>
      </c>
      <c r="G704">
        <f t="shared" si="62"/>
        <v>12</v>
      </c>
      <c r="H704" s="1">
        <f t="shared" si="63"/>
        <v>45642</v>
      </c>
      <c r="I704" s="1">
        <f t="shared" si="64"/>
        <v>45627</v>
      </c>
      <c r="J704">
        <v>803014.57000000018</v>
      </c>
      <c r="K704">
        <v>35892</v>
      </c>
      <c r="L704">
        <f t="shared" si="60"/>
        <v>22.373079516326762</v>
      </c>
      <c r="M704">
        <v>2991</v>
      </c>
      <c r="N704" s="2">
        <f t="shared" si="65"/>
        <v>268.47695419592117</v>
      </c>
      <c r="O704">
        <v>12</v>
      </c>
    </row>
    <row r="705" spans="1:15" x14ac:dyDescent="0.25">
      <c r="A705" t="s">
        <v>46</v>
      </c>
      <c r="B705" t="s">
        <v>14</v>
      </c>
      <c r="C705" t="s">
        <v>3</v>
      </c>
      <c r="D705" t="str">
        <f t="shared" si="61"/>
        <v>FAB1_Leche Clasica Deslactosada Light 1 L</v>
      </c>
      <c r="E705">
        <v>2024</v>
      </c>
      <c r="F705">
        <v>52</v>
      </c>
      <c r="G705">
        <f t="shared" si="62"/>
        <v>12</v>
      </c>
      <c r="H705" s="1">
        <f t="shared" si="63"/>
        <v>45649</v>
      </c>
      <c r="I705" s="1">
        <f t="shared" si="64"/>
        <v>45627</v>
      </c>
      <c r="J705">
        <v>710624.06000000029</v>
      </c>
      <c r="K705">
        <v>32400</v>
      </c>
      <c r="L705">
        <f t="shared" si="60"/>
        <v>21.932841358024699</v>
      </c>
      <c r="M705">
        <v>2700</v>
      </c>
      <c r="N705" s="2">
        <f t="shared" si="65"/>
        <v>263.19409629629638</v>
      </c>
      <c r="O705">
        <v>12</v>
      </c>
    </row>
    <row r="706" spans="1:15" x14ac:dyDescent="0.25">
      <c r="A706" t="s">
        <v>46</v>
      </c>
      <c r="B706" t="s">
        <v>14</v>
      </c>
      <c r="C706" t="s">
        <v>3</v>
      </c>
      <c r="D706" t="str">
        <f t="shared" si="61"/>
        <v>FAB1_Leche Clasica Deslactosada Light 1 L</v>
      </c>
      <c r="E706">
        <v>2025</v>
      </c>
      <c r="F706">
        <v>1</v>
      </c>
      <c r="G706">
        <f t="shared" si="62"/>
        <v>1</v>
      </c>
      <c r="H706" s="1">
        <f t="shared" si="63"/>
        <v>45656</v>
      </c>
      <c r="I706" s="1">
        <f t="shared" si="64"/>
        <v>45658</v>
      </c>
      <c r="J706">
        <v>856022.61</v>
      </c>
      <c r="K706">
        <v>38940</v>
      </c>
      <c r="L706">
        <f t="shared" ref="L706:L769" si="66">J706/K706</f>
        <v>21.983117873651771</v>
      </c>
      <c r="M706">
        <v>3245</v>
      </c>
      <c r="N706" s="2">
        <f t="shared" si="65"/>
        <v>263.79741448382129</v>
      </c>
      <c r="O706">
        <v>12</v>
      </c>
    </row>
    <row r="707" spans="1:15" x14ac:dyDescent="0.25">
      <c r="A707" t="s">
        <v>46</v>
      </c>
      <c r="B707" t="s">
        <v>14</v>
      </c>
      <c r="C707" t="s">
        <v>3</v>
      </c>
      <c r="D707" t="str">
        <f t="shared" ref="D707:D770" si="67">B707&amp;"_"&amp;C707</f>
        <v>FAB1_Leche Clasica Deslactosada Light 1 L</v>
      </c>
      <c r="E707">
        <v>2025</v>
      </c>
      <c r="F707">
        <v>2</v>
      </c>
      <c r="G707">
        <f t="shared" ref="G707:G770" si="68">MONTH(DATE(E707,1,4)+(F707-1)*7-WEEKDAY(DATE(E707,1,4),2)+4)</f>
        <v>1</v>
      </c>
      <c r="H707" s="1">
        <f t="shared" ref="H707:H770" si="69">DATE(E707,1,-2)-WEEKDAY(DATE(E707,1,3))+F707*7</f>
        <v>45663</v>
      </c>
      <c r="I707" s="1">
        <f t="shared" ref="I707:I770" si="70">DATE(E707,G707,1)</f>
        <v>45658</v>
      </c>
      <c r="J707">
        <v>801834.07999999973</v>
      </c>
      <c r="K707">
        <v>35748</v>
      </c>
      <c r="L707">
        <f t="shared" si="66"/>
        <v>22.430180149938451</v>
      </c>
      <c r="M707">
        <v>2979</v>
      </c>
      <c r="N707" s="2">
        <f t="shared" ref="N707:N770" si="71">J707/M707</f>
        <v>269.16216179926141</v>
      </c>
      <c r="O707">
        <v>12</v>
      </c>
    </row>
    <row r="708" spans="1:15" x14ac:dyDescent="0.25">
      <c r="A708" t="s">
        <v>46</v>
      </c>
      <c r="B708" t="s">
        <v>14</v>
      </c>
      <c r="C708" t="s">
        <v>3</v>
      </c>
      <c r="D708" t="str">
        <f t="shared" si="67"/>
        <v>FAB1_Leche Clasica Deslactosada Light 1 L</v>
      </c>
      <c r="E708">
        <v>2025</v>
      </c>
      <c r="F708">
        <v>3</v>
      </c>
      <c r="G708">
        <f t="shared" si="68"/>
        <v>1</v>
      </c>
      <c r="H708" s="1">
        <f t="shared" si="69"/>
        <v>45670</v>
      </c>
      <c r="I708" s="1">
        <f t="shared" si="70"/>
        <v>45658</v>
      </c>
      <c r="J708">
        <v>848411.75999999943</v>
      </c>
      <c r="K708">
        <v>38052</v>
      </c>
      <c r="L708">
        <f t="shared" si="66"/>
        <v>22.296114790286961</v>
      </c>
      <c r="M708">
        <v>3171</v>
      </c>
      <c r="N708" s="2">
        <f t="shared" si="71"/>
        <v>267.55337748344351</v>
      </c>
      <c r="O708">
        <v>12</v>
      </c>
    </row>
    <row r="709" spans="1:15" x14ac:dyDescent="0.25">
      <c r="A709" t="s">
        <v>46</v>
      </c>
      <c r="B709" t="s">
        <v>14</v>
      </c>
      <c r="C709" t="s">
        <v>3</v>
      </c>
      <c r="D709" t="str">
        <f t="shared" si="67"/>
        <v>FAB1_Leche Clasica Deslactosada Light 1 L</v>
      </c>
      <c r="E709">
        <v>2025</v>
      </c>
      <c r="F709">
        <v>4</v>
      </c>
      <c r="G709">
        <f t="shared" si="68"/>
        <v>1</v>
      </c>
      <c r="H709" s="1">
        <f t="shared" si="69"/>
        <v>45677</v>
      </c>
      <c r="I709" s="1">
        <f t="shared" si="70"/>
        <v>45658</v>
      </c>
      <c r="J709">
        <v>687945.55000000028</v>
      </c>
      <c r="K709">
        <v>30252</v>
      </c>
      <c r="L709">
        <f t="shared" si="66"/>
        <v>22.740498148882729</v>
      </c>
      <c r="M709">
        <v>2521</v>
      </c>
      <c r="N709" s="2">
        <f t="shared" si="71"/>
        <v>272.88597778659272</v>
      </c>
      <c r="O709">
        <v>12</v>
      </c>
    </row>
    <row r="710" spans="1:15" x14ac:dyDescent="0.25">
      <c r="A710" t="s">
        <v>46</v>
      </c>
      <c r="B710" t="s">
        <v>14</v>
      </c>
      <c r="C710" t="s">
        <v>3</v>
      </c>
      <c r="D710" t="str">
        <f t="shared" si="67"/>
        <v>FAB1_Leche Clasica Deslactosada Light 1 L</v>
      </c>
      <c r="E710">
        <v>2025</v>
      </c>
      <c r="F710">
        <v>5</v>
      </c>
      <c r="G710">
        <f t="shared" si="68"/>
        <v>1</v>
      </c>
      <c r="H710" s="1">
        <f t="shared" si="69"/>
        <v>45684</v>
      </c>
      <c r="I710" s="1">
        <f t="shared" si="70"/>
        <v>45658</v>
      </c>
      <c r="J710">
        <v>867778.23999999987</v>
      </c>
      <c r="K710">
        <v>38040</v>
      </c>
      <c r="L710">
        <f t="shared" si="66"/>
        <v>22.81225657202944</v>
      </c>
      <c r="M710">
        <v>3170</v>
      </c>
      <c r="N710" s="2">
        <f t="shared" si="71"/>
        <v>273.74707886435328</v>
      </c>
      <c r="O710">
        <v>12</v>
      </c>
    </row>
    <row r="711" spans="1:15" x14ac:dyDescent="0.25">
      <c r="A711" t="s">
        <v>46</v>
      </c>
      <c r="B711" t="s">
        <v>14</v>
      </c>
      <c r="C711" t="s">
        <v>3</v>
      </c>
      <c r="D711" t="str">
        <f t="shared" si="67"/>
        <v>FAB1_Leche Clasica Deslactosada Light 1 L</v>
      </c>
      <c r="E711">
        <v>2025</v>
      </c>
      <c r="F711">
        <v>6</v>
      </c>
      <c r="G711">
        <f t="shared" si="68"/>
        <v>2</v>
      </c>
      <c r="H711" s="1">
        <f t="shared" si="69"/>
        <v>45691</v>
      </c>
      <c r="I711" s="1">
        <f t="shared" si="70"/>
        <v>45689</v>
      </c>
      <c r="J711">
        <v>848429.29000000015</v>
      </c>
      <c r="K711">
        <v>36144</v>
      </c>
      <c r="L711">
        <f t="shared" si="66"/>
        <v>23.473585934041616</v>
      </c>
      <c r="M711">
        <v>3012</v>
      </c>
      <c r="N711" s="2">
        <f t="shared" si="71"/>
        <v>281.68303120849941</v>
      </c>
      <c r="O711">
        <v>12</v>
      </c>
    </row>
    <row r="712" spans="1:15" x14ac:dyDescent="0.25">
      <c r="A712" t="s">
        <v>46</v>
      </c>
      <c r="B712" t="s">
        <v>14</v>
      </c>
      <c r="C712" t="s">
        <v>3</v>
      </c>
      <c r="D712" t="str">
        <f t="shared" si="67"/>
        <v>FAB1_Leche Clasica Deslactosada Light 1 L</v>
      </c>
      <c r="E712">
        <v>2025</v>
      </c>
      <c r="F712">
        <v>7</v>
      </c>
      <c r="G712">
        <f t="shared" si="68"/>
        <v>2</v>
      </c>
      <c r="H712" s="1">
        <f t="shared" si="69"/>
        <v>45698</v>
      </c>
      <c r="I712" s="1">
        <f t="shared" si="70"/>
        <v>45689</v>
      </c>
      <c r="J712">
        <v>853963.30000000098</v>
      </c>
      <c r="K712">
        <v>37284</v>
      </c>
      <c r="L712">
        <f t="shared" si="66"/>
        <v>22.904283338697592</v>
      </c>
      <c r="M712">
        <v>3107</v>
      </c>
      <c r="N712" s="2">
        <f t="shared" si="71"/>
        <v>274.85140006437109</v>
      </c>
      <c r="O712">
        <v>12</v>
      </c>
    </row>
    <row r="713" spans="1:15" x14ac:dyDescent="0.25">
      <c r="A713" t="s">
        <v>46</v>
      </c>
      <c r="B713" t="s">
        <v>14</v>
      </c>
      <c r="C713" t="s">
        <v>3</v>
      </c>
      <c r="D713" t="str">
        <f t="shared" si="67"/>
        <v>FAB1_Leche Clasica Deslactosada Light 1 L</v>
      </c>
      <c r="E713">
        <v>2025</v>
      </c>
      <c r="F713">
        <v>8</v>
      </c>
      <c r="G713">
        <f t="shared" si="68"/>
        <v>2</v>
      </c>
      <c r="H713" s="1">
        <f t="shared" si="69"/>
        <v>45705</v>
      </c>
      <c r="I713" s="1">
        <f t="shared" si="70"/>
        <v>45689</v>
      </c>
      <c r="J713">
        <v>916096.08000000042</v>
      </c>
      <c r="K713">
        <v>40080</v>
      </c>
      <c r="L713">
        <f t="shared" si="66"/>
        <v>22.856688622754501</v>
      </c>
      <c r="M713">
        <v>3340</v>
      </c>
      <c r="N713" s="2">
        <f t="shared" si="71"/>
        <v>274.28026347305399</v>
      </c>
      <c r="O713">
        <v>12</v>
      </c>
    </row>
    <row r="714" spans="1:15" x14ac:dyDescent="0.25">
      <c r="A714" t="s">
        <v>46</v>
      </c>
      <c r="B714" t="s">
        <v>14</v>
      </c>
      <c r="C714" t="s">
        <v>3</v>
      </c>
      <c r="D714" t="str">
        <f t="shared" si="67"/>
        <v>FAB1_Leche Clasica Deslactosada Light 1 L</v>
      </c>
      <c r="E714">
        <v>2025</v>
      </c>
      <c r="F714">
        <v>9</v>
      </c>
      <c r="G714">
        <f t="shared" si="68"/>
        <v>2</v>
      </c>
      <c r="H714" s="1">
        <f t="shared" si="69"/>
        <v>45712</v>
      </c>
      <c r="I714" s="1">
        <f t="shared" si="70"/>
        <v>45689</v>
      </c>
      <c r="J714">
        <v>660392.12000000011</v>
      </c>
      <c r="K714">
        <v>27432</v>
      </c>
      <c r="L714">
        <f t="shared" si="66"/>
        <v>24.073786818314382</v>
      </c>
      <c r="M714">
        <v>2286</v>
      </c>
      <c r="N714" s="2">
        <f t="shared" si="71"/>
        <v>288.88544181977255</v>
      </c>
      <c r="O714">
        <v>12</v>
      </c>
    </row>
    <row r="715" spans="1:15" x14ac:dyDescent="0.25">
      <c r="A715" t="s">
        <v>46</v>
      </c>
      <c r="B715" t="s">
        <v>14</v>
      </c>
      <c r="C715" t="s">
        <v>3</v>
      </c>
      <c r="D715" t="str">
        <f t="shared" si="67"/>
        <v>FAB1_Leche Clasica Deslactosada Light 1 L</v>
      </c>
      <c r="E715">
        <v>2025</v>
      </c>
      <c r="F715">
        <v>10</v>
      </c>
      <c r="G715">
        <f t="shared" si="68"/>
        <v>3</v>
      </c>
      <c r="H715" s="1">
        <f t="shared" si="69"/>
        <v>45719</v>
      </c>
      <c r="I715" s="1">
        <f t="shared" si="70"/>
        <v>45717</v>
      </c>
      <c r="J715">
        <v>884021.19000000018</v>
      </c>
      <c r="K715">
        <v>37980</v>
      </c>
      <c r="L715">
        <f t="shared" si="66"/>
        <v>23.27596603475514</v>
      </c>
      <c r="M715">
        <v>3165</v>
      </c>
      <c r="N715" s="2">
        <f t="shared" si="71"/>
        <v>279.31159241706166</v>
      </c>
      <c r="O715">
        <v>12</v>
      </c>
    </row>
    <row r="716" spans="1:15" x14ac:dyDescent="0.25">
      <c r="A716" t="s">
        <v>46</v>
      </c>
      <c r="B716" t="s">
        <v>14</v>
      </c>
      <c r="C716" t="s">
        <v>3</v>
      </c>
      <c r="D716" t="str">
        <f t="shared" si="67"/>
        <v>FAB1_Leche Clasica Deslactosada Light 1 L</v>
      </c>
      <c r="E716">
        <v>2025</v>
      </c>
      <c r="F716">
        <v>11</v>
      </c>
      <c r="G716">
        <f t="shared" si="68"/>
        <v>3</v>
      </c>
      <c r="H716" s="1">
        <f t="shared" si="69"/>
        <v>45726</v>
      </c>
      <c r="I716" s="1">
        <f t="shared" si="70"/>
        <v>45717</v>
      </c>
      <c r="J716">
        <v>739998.85000000033</v>
      </c>
      <c r="K716">
        <v>32784</v>
      </c>
      <c r="L716">
        <f t="shared" si="66"/>
        <v>22.571951256710602</v>
      </c>
      <c r="M716">
        <v>2732</v>
      </c>
      <c r="N716" s="2">
        <f t="shared" si="71"/>
        <v>270.8634150805272</v>
      </c>
      <c r="O716">
        <v>12</v>
      </c>
    </row>
    <row r="717" spans="1:15" x14ac:dyDescent="0.25">
      <c r="A717" t="s">
        <v>46</v>
      </c>
      <c r="B717" t="s">
        <v>14</v>
      </c>
      <c r="C717" t="s">
        <v>3</v>
      </c>
      <c r="D717" t="str">
        <f t="shared" si="67"/>
        <v>FAB1_Leche Clasica Deslactosada Light 1 L</v>
      </c>
      <c r="E717">
        <v>2025</v>
      </c>
      <c r="F717">
        <v>12</v>
      </c>
      <c r="G717">
        <f t="shared" si="68"/>
        <v>3</v>
      </c>
      <c r="H717" s="1">
        <f t="shared" si="69"/>
        <v>45733</v>
      </c>
      <c r="I717" s="1">
        <f t="shared" si="70"/>
        <v>45717</v>
      </c>
      <c r="J717">
        <v>829233.66</v>
      </c>
      <c r="K717">
        <v>36720</v>
      </c>
      <c r="L717">
        <f t="shared" si="66"/>
        <v>22.582616013071895</v>
      </c>
      <c r="M717">
        <v>3060</v>
      </c>
      <c r="N717" s="2">
        <f t="shared" si="71"/>
        <v>270.99139215686273</v>
      </c>
      <c r="O717">
        <v>12</v>
      </c>
    </row>
    <row r="718" spans="1:15" x14ac:dyDescent="0.25">
      <c r="A718" t="s">
        <v>46</v>
      </c>
      <c r="B718" t="s">
        <v>14</v>
      </c>
      <c r="C718" t="s">
        <v>3</v>
      </c>
      <c r="D718" t="str">
        <f t="shared" si="67"/>
        <v>FAB1_Leche Clasica Deslactosada Light 1 L</v>
      </c>
      <c r="E718">
        <v>2025</v>
      </c>
      <c r="F718">
        <v>13</v>
      </c>
      <c r="G718">
        <f t="shared" si="68"/>
        <v>3</v>
      </c>
      <c r="H718" s="1">
        <f t="shared" si="69"/>
        <v>45740</v>
      </c>
      <c r="I718" s="1">
        <f t="shared" si="70"/>
        <v>45717</v>
      </c>
      <c r="J718">
        <v>762964.95999999985</v>
      </c>
      <c r="K718">
        <v>34008</v>
      </c>
      <c r="L718">
        <f t="shared" si="66"/>
        <v>22.434867090096443</v>
      </c>
      <c r="M718">
        <v>2834</v>
      </c>
      <c r="N718" s="2">
        <f t="shared" si="71"/>
        <v>269.2184050811573</v>
      </c>
      <c r="O718">
        <v>12</v>
      </c>
    </row>
    <row r="719" spans="1:15" x14ac:dyDescent="0.25">
      <c r="A719" t="s">
        <v>46</v>
      </c>
      <c r="B719" t="s">
        <v>14</v>
      </c>
      <c r="C719" t="s">
        <v>3</v>
      </c>
      <c r="D719" t="str">
        <f t="shared" si="67"/>
        <v>FAB1_Leche Clasica Deslactosada Light 1 L</v>
      </c>
      <c r="E719">
        <v>2025</v>
      </c>
      <c r="F719">
        <v>14</v>
      </c>
      <c r="G719">
        <f t="shared" si="68"/>
        <v>4</v>
      </c>
      <c r="H719" s="1">
        <f t="shared" si="69"/>
        <v>45747</v>
      </c>
      <c r="I719" s="1">
        <f t="shared" si="70"/>
        <v>45748</v>
      </c>
      <c r="J719">
        <v>931381.32999999938</v>
      </c>
      <c r="K719">
        <v>40224</v>
      </c>
      <c r="L719">
        <f t="shared" si="66"/>
        <v>23.154866000397757</v>
      </c>
      <c r="M719">
        <v>3352</v>
      </c>
      <c r="N719" s="2">
        <f t="shared" si="71"/>
        <v>277.85839200477307</v>
      </c>
      <c r="O719">
        <v>12</v>
      </c>
    </row>
    <row r="720" spans="1:15" x14ac:dyDescent="0.25">
      <c r="A720" t="s">
        <v>46</v>
      </c>
      <c r="B720" t="s">
        <v>14</v>
      </c>
      <c r="C720" t="s">
        <v>3</v>
      </c>
      <c r="D720" t="str">
        <f t="shared" si="67"/>
        <v>FAB1_Leche Clasica Deslactosada Light 1 L</v>
      </c>
      <c r="E720">
        <v>2025</v>
      </c>
      <c r="F720">
        <v>15</v>
      </c>
      <c r="G720">
        <f t="shared" si="68"/>
        <v>4</v>
      </c>
      <c r="H720" s="1">
        <f t="shared" si="69"/>
        <v>45754</v>
      </c>
      <c r="I720" s="1">
        <f t="shared" si="70"/>
        <v>45748</v>
      </c>
      <c r="J720">
        <v>705123.33999999973</v>
      </c>
      <c r="K720">
        <v>29520</v>
      </c>
      <c r="L720">
        <f t="shared" si="66"/>
        <v>23.886292005420046</v>
      </c>
      <c r="M720">
        <v>2460</v>
      </c>
      <c r="N720" s="2">
        <f t="shared" si="71"/>
        <v>286.63550406504055</v>
      </c>
      <c r="O720">
        <v>12</v>
      </c>
    </row>
    <row r="721" spans="1:15" x14ac:dyDescent="0.25">
      <c r="A721" t="s">
        <v>46</v>
      </c>
      <c r="B721" t="s">
        <v>14</v>
      </c>
      <c r="C721" t="s">
        <v>3</v>
      </c>
      <c r="D721" t="str">
        <f t="shared" si="67"/>
        <v>FAB1_Leche Clasica Deslactosada Light 1 L</v>
      </c>
      <c r="E721">
        <v>2025</v>
      </c>
      <c r="F721">
        <v>16</v>
      </c>
      <c r="G721">
        <f t="shared" si="68"/>
        <v>4</v>
      </c>
      <c r="H721" s="1">
        <f t="shared" si="69"/>
        <v>45761</v>
      </c>
      <c r="I721" s="1">
        <f t="shared" si="70"/>
        <v>45748</v>
      </c>
      <c r="J721">
        <v>801458.29999999981</v>
      </c>
      <c r="K721">
        <v>33660</v>
      </c>
      <c r="L721">
        <f t="shared" si="66"/>
        <v>23.81040701128936</v>
      </c>
      <c r="M721">
        <v>2805</v>
      </c>
      <c r="N721" s="2">
        <f t="shared" si="71"/>
        <v>285.72488413547228</v>
      </c>
      <c r="O721">
        <v>12</v>
      </c>
    </row>
    <row r="722" spans="1:15" x14ac:dyDescent="0.25">
      <c r="A722" t="s">
        <v>46</v>
      </c>
      <c r="B722" t="s">
        <v>14</v>
      </c>
      <c r="C722" t="s">
        <v>3</v>
      </c>
      <c r="D722" t="str">
        <f t="shared" si="67"/>
        <v>FAB1_Leche Clasica Deslactosada Light 1 L</v>
      </c>
      <c r="E722">
        <v>2025</v>
      </c>
      <c r="F722">
        <v>17</v>
      </c>
      <c r="G722">
        <f t="shared" si="68"/>
        <v>4</v>
      </c>
      <c r="H722" s="1">
        <f t="shared" si="69"/>
        <v>45768</v>
      </c>
      <c r="I722" s="1">
        <f t="shared" si="70"/>
        <v>45748</v>
      </c>
      <c r="J722">
        <v>678636.42</v>
      </c>
      <c r="K722">
        <v>28488</v>
      </c>
      <c r="L722">
        <f t="shared" si="66"/>
        <v>23.821834456613313</v>
      </c>
      <c r="M722">
        <v>2374</v>
      </c>
      <c r="N722" s="2">
        <f t="shared" si="71"/>
        <v>285.86201347935975</v>
      </c>
      <c r="O722">
        <v>12</v>
      </c>
    </row>
    <row r="723" spans="1:15" x14ac:dyDescent="0.25">
      <c r="A723" t="s">
        <v>46</v>
      </c>
      <c r="B723" t="s">
        <v>14</v>
      </c>
      <c r="C723" t="s">
        <v>3</v>
      </c>
      <c r="D723" t="str">
        <f t="shared" si="67"/>
        <v>FAB1_Leche Clasica Deslactosada Light 1 L</v>
      </c>
      <c r="E723">
        <v>2025</v>
      </c>
      <c r="F723">
        <v>18</v>
      </c>
      <c r="G723">
        <f t="shared" si="68"/>
        <v>5</v>
      </c>
      <c r="H723" s="1">
        <f t="shared" si="69"/>
        <v>45775</v>
      </c>
      <c r="I723" s="1">
        <f t="shared" si="70"/>
        <v>45778</v>
      </c>
      <c r="J723">
        <v>887878.36000000034</v>
      </c>
      <c r="K723">
        <v>39816</v>
      </c>
      <c r="L723">
        <f t="shared" si="66"/>
        <v>22.299536869600168</v>
      </c>
      <c r="M723">
        <v>3318</v>
      </c>
      <c r="N723" s="2">
        <f t="shared" si="71"/>
        <v>267.59444243520204</v>
      </c>
      <c r="O723">
        <v>12</v>
      </c>
    </row>
    <row r="724" spans="1:15" x14ac:dyDescent="0.25">
      <c r="A724" t="s">
        <v>46</v>
      </c>
      <c r="B724" t="s">
        <v>14</v>
      </c>
      <c r="C724" t="s">
        <v>3</v>
      </c>
      <c r="D724" t="str">
        <f t="shared" si="67"/>
        <v>FAB1_Leche Clasica Deslactosada Light 1 L</v>
      </c>
      <c r="E724">
        <v>2025</v>
      </c>
      <c r="F724">
        <v>19</v>
      </c>
      <c r="G724">
        <f t="shared" si="68"/>
        <v>5</v>
      </c>
      <c r="H724" s="1">
        <f t="shared" si="69"/>
        <v>45782</v>
      </c>
      <c r="I724" s="1">
        <f t="shared" si="70"/>
        <v>45778</v>
      </c>
      <c r="J724">
        <v>902106.21000000101</v>
      </c>
      <c r="K724">
        <v>40716</v>
      </c>
      <c r="L724">
        <f t="shared" si="66"/>
        <v>22.156061744768667</v>
      </c>
      <c r="M724">
        <v>3393</v>
      </c>
      <c r="N724" s="2">
        <f t="shared" si="71"/>
        <v>265.87274093722397</v>
      </c>
      <c r="O724">
        <v>12</v>
      </c>
    </row>
    <row r="725" spans="1:15" x14ac:dyDescent="0.25">
      <c r="A725" t="s">
        <v>46</v>
      </c>
      <c r="B725" t="s">
        <v>14</v>
      </c>
      <c r="C725" t="s">
        <v>3</v>
      </c>
      <c r="D725" t="str">
        <f t="shared" si="67"/>
        <v>FAB1_Leche Clasica Deslactosada Light 1 L</v>
      </c>
      <c r="E725">
        <v>2025</v>
      </c>
      <c r="F725">
        <v>20</v>
      </c>
      <c r="G725">
        <f t="shared" si="68"/>
        <v>5</v>
      </c>
      <c r="H725" s="1">
        <f t="shared" si="69"/>
        <v>45789</v>
      </c>
      <c r="I725" s="1">
        <f t="shared" si="70"/>
        <v>45778</v>
      </c>
      <c r="J725">
        <v>670597.56000000017</v>
      </c>
      <c r="K725">
        <v>29592</v>
      </c>
      <c r="L725">
        <f t="shared" si="66"/>
        <v>22.661447688564483</v>
      </c>
      <c r="M725">
        <v>2466</v>
      </c>
      <c r="N725" s="2">
        <f t="shared" si="71"/>
        <v>271.93737226277381</v>
      </c>
      <c r="O725">
        <v>12</v>
      </c>
    </row>
    <row r="726" spans="1:15" x14ac:dyDescent="0.25">
      <c r="A726" t="s">
        <v>46</v>
      </c>
      <c r="B726" t="s">
        <v>14</v>
      </c>
      <c r="C726" t="s">
        <v>3</v>
      </c>
      <c r="D726" t="str">
        <f t="shared" si="67"/>
        <v>FAB1_Leche Clasica Deslactosada Light 1 L</v>
      </c>
      <c r="E726">
        <v>2025</v>
      </c>
      <c r="F726">
        <v>21</v>
      </c>
      <c r="G726">
        <f t="shared" si="68"/>
        <v>5</v>
      </c>
      <c r="H726" s="1">
        <f t="shared" si="69"/>
        <v>45796</v>
      </c>
      <c r="I726" s="1">
        <f t="shared" si="70"/>
        <v>45778</v>
      </c>
      <c r="J726">
        <v>616260.79</v>
      </c>
      <c r="K726">
        <v>27168</v>
      </c>
      <c r="L726">
        <f t="shared" si="66"/>
        <v>22.683332965253239</v>
      </c>
      <c r="M726">
        <v>2264</v>
      </c>
      <c r="N726" s="2">
        <f t="shared" si="71"/>
        <v>272.19999558303891</v>
      </c>
      <c r="O726">
        <v>12</v>
      </c>
    </row>
    <row r="727" spans="1:15" x14ac:dyDescent="0.25">
      <c r="A727" t="s">
        <v>46</v>
      </c>
      <c r="B727" t="s">
        <v>14</v>
      </c>
      <c r="C727" t="s">
        <v>3</v>
      </c>
      <c r="D727" t="str">
        <f t="shared" si="67"/>
        <v>FAB1_Leche Clasica Deslactosada Light 1 L</v>
      </c>
      <c r="E727">
        <v>2025</v>
      </c>
      <c r="F727">
        <v>22</v>
      </c>
      <c r="G727">
        <f t="shared" si="68"/>
        <v>5</v>
      </c>
      <c r="H727" s="1">
        <f t="shared" si="69"/>
        <v>45803</v>
      </c>
      <c r="I727" s="1">
        <f t="shared" si="70"/>
        <v>45778</v>
      </c>
      <c r="J727">
        <v>604772.40000000014</v>
      </c>
      <c r="K727">
        <v>25968</v>
      </c>
      <c r="L727">
        <f t="shared" si="66"/>
        <v>23.289140480591502</v>
      </c>
      <c r="M727">
        <v>2164</v>
      </c>
      <c r="N727" s="2">
        <f t="shared" si="71"/>
        <v>279.46968576709804</v>
      </c>
      <c r="O727">
        <v>12</v>
      </c>
    </row>
    <row r="728" spans="1:15" x14ac:dyDescent="0.25">
      <c r="A728" t="s">
        <v>46</v>
      </c>
      <c r="B728" t="s">
        <v>14</v>
      </c>
      <c r="C728" t="s">
        <v>3</v>
      </c>
      <c r="D728" t="str">
        <f t="shared" si="67"/>
        <v>FAB1_Leche Clasica Deslactosada Light 1 L</v>
      </c>
      <c r="E728">
        <v>2025</v>
      </c>
      <c r="F728">
        <v>23</v>
      </c>
      <c r="G728">
        <f t="shared" si="68"/>
        <v>6</v>
      </c>
      <c r="H728" s="1">
        <f t="shared" si="69"/>
        <v>45810</v>
      </c>
      <c r="I728" s="1">
        <f t="shared" si="70"/>
        <v>45809</v>
      </c>
      <c r="J728">
        <v>773734.08</v>
      </c>
      <c r="K728">
        <v>32376</v>
      </c>
      <c r="L728">
        <f t="shared" si="66"/>
        <v>23.898383988139361</v>
      </c>
      <c r="M728">
        <v>2698</v>
      </c>
      <c r="N728" s="2">
        <f t="shared" si="71"/>
        <v>286.78060785767235</v>
      </c>
      <c r="O728">
        <v>12</v>
      </c>
    </row>
    <row r="729" spans="1:15" x14ac:dyDescent="0.25">
      <c r="A729" t="s">
        <v>46</v>
      </c>
      <c r="B729" t="s">
        <v>14</v>
      </c>
      <c r="C729" t="s">
        <v>3</v>
      </c>
      <c r="D729" t="str">
        <f t="shared" si="67"/>
        <v>FAB1_Leche Clasica Deslactosada Light 1 L</v>
      </c>
      <c r="E729">
        <v>2025</v>
      </c>
      <c r="F729">
        <v>24</v>
      </c>
      <c r="G729">
        <f t="shared" si="68"/>
        <v>6</v>
      </c>
      <c r="H729" s="1">
        <f t="shared" si="69"/>
        <v>45817</v>
      </c>
      <c r="I729" s="1">
        <f t="shared" si="70"/>
        <v>45809</v>
      </c>
      <c r="J729">
        <v>638174.78000000014</v>
      </c>
      <c r="K729">
        <v>27036</v>
      </c>
      <c r="L729">
        <f t="shared" si="66"/>
        <v>23.604630122799236</v>
      </c>
      <c r="M729">
        <v>2253</v>
      </c>
      <c r="N729" s="2">
        <f t="shared" si="71"/>
        <v>283.25556147359083</v>
      </c>
      <c r="O729">
        <v>12</v>
      </c>
    </row>
    <row r="730" spans="1:15" x14ac:dyDescent="0.25">
      <c r="A730" t="s">
        <v>46</v>
      </c>
      <c r="B730" t="s">
        <v>14</v>
      </c>
      <c r="C730" t="s">
        <v>3</v>
      </c>
      <c r="D730" t="str">
        <f t="shared" si="67"/>
        <v>FAB1_Leche Clasica Deslactosada Light 1 L</v>
      </c>
      <c r="E730">
        <v>2025</v>
      </c>
      <c r="F730">
        <v>25</v>
      </c>
      <c r="G730">
        <f t="shared" si="68"/>
        <v>6</v>
      </c>
      <c r="H730" s="1">
        <f t="shared" si="69"/>
        <v>45824</v>
      </c>
      <c r="I730" s="1">
        <f t="shared" si="70"/>
        <v>45809</v>
      </c>
      <c r="J730">
        <v>789287.2100000002</v>
      </c>
      <c r="K730">
        <v>36504</v>
      </c>
      <c r="L730">
        <f t="shared" si="66"/>
        <v>21.62193759587991</v>
      </c>
      <c r="M730">
        <v>3042</v>
      </c>
      <c r="N730" s="2">
        <f t="shared" si="71"/>
        <v>259.4632511505589</v>
      </c>
      <c r="O730">
        <v>12</v>
      </c>
    </row>
    <row r="731" spans="1:15" x14ac:dyDescent="0.25">
      <c r="A731" t="s">
        <v>46</v>
      </c>
      <c r="B731" t="s">
        <v>14</v>
      </c>
      <c r="C731" t="s">
        <v>3</v>
      </c>
      <c r="D731" t="str">
        <f t="shared" si="67"/>
        <v>FAB1_Leche Clasica Deslactosada Light 1 L</v>
      </c>
      <c r="E731">
        <v>2025</v>
      </c>
      <c r="F731">
        <v>26</v>
      </c>
      <c r="G731">
        <f t="shared" si="68"/>
        <v>6</v>
      </c>
      <c r="H731" s="1">
        <f t="shared" si="69"/>
        <v>45831</v>
      </c>
      <c r="I731" s="1">
        <f t="shared" si="70"/>
        <v>45809</v>
      </c>
      <c r="J731">
        <v>647053.65000000014</v>
      </c>
      <c r="K731">
        <v>29928</v>
      </c>
      <c r="L731">
        <f t="shared" si="66"/>
        <v>21.620343825180438</v>
      </c>
      <c r="M731">
        <v>2494</v>
      </c>
      <c r="N731" s="2">
        <f t="shared" si="71"/>
        <v>259.44412590216524</v>
      </c>
      <c r="O731">
        <v>12</v>
      </c>
    </row>
    <row r="732" spans="1:15" x14ac:dyDescent="0.25">
      <c r="A732" t="s">
        <v>46</v>
      </c>
      <c r="B732" t="s">
        <v>14</v>
      </c>
      <c r="C732" t="s">
        <v>3</v>
      </c>
      <c r="D732" t="str">
        <f t="shared" si="67"/>
        <v>FAB1_Leche Clasica Deslactosada Light 1 L</v>
      </c>
      <c r="E732">
        <v>2025</v>
      </c>
      <c r="F732">
        <v>27</v>
      </c>
      <c r="G732">
        <f t="shared" si="68"/>
        <v>7</v>
      </c>
      <c r="H732" s="1">
        <f t="shared" si="69"/>
        <v>45838</v>
      </c>
      <c r="I732" s="1">
        <f t="shared" si="70"/>
        <v>45839</v>
      </c>
      <c r="J732">
        <v>868696.41000000027</v>
      </c>
      <c r="K732">
        <v>40200</v>
      </c>
      <c r="L732">
        <f t="shared" si="66"/>
        <v>21.609363432835828</v>
      </c>
      <c r="M732">
        <v>3350</v>
      </c>
      <c r="N732" s="2">
        <f t="shared" si="71"/>
        <v>259.3123611940299</v>
      </c>
      <c r="O732">
        <v>12</v>
      </c>
    </row>
    <row r="733" spans="1:15" x14ac:dyDescent="0.25">
      <c r="A733" t="s">
        <v>46</v>
      </c>
      <c r="B733" t="s">
        <v>14</v>
      </c>
      <c r="C733" t="s">
        <v>3</v>
      </c>
      <c r="D733" t="str">
        <f t="shared" si="67"/>
        <v>FAB1_Leche Clasica Deslactosada Light 1 L</v>
      </c>
      <c r="E733">
        <v>2025</v>
      </c>
      <c r="F733">
        <v>28</v>
      </c>
      <c r="G733">
        <f t="shared" si="68"/>
        <v>7</v>
      </c>
      <c r="H733" s="1">
        <f t="shared" si="69"/>
        <v>45845</v>
      </c>
      <c r="I733" s="1">
        <f t="shared" si="70"/>
        <v>45839</v>
      </c>
      <c r="J733">
        <v>656152.83000000007</v>
      </c>
      <c r="K733">
        <v>30240</v>
      </c>
      <c r="L733">
        <f t="shared" si="66"/>
        <v>21.698175595238098</v>
      </c>
      <c r="M733">
        <v>2520</v>
      </c>
      <c r="N733" s="2">
        <f t="shared" si="71"/>
        <v>260.37810714285717</v>
      </c>
      <c r="O733">
        <v>12</v>
      </c>
    </row>
    <row r="734" spans="1:15" x14ac:dyDescent="0.25">
      <c r="A734" t="s">
        <v>46</v>
      </c>
      <c r="B734" t="s">
        <v>14</v>
      </c>
      <c r="C734" t="s">
        <v>3</v>
      </c>
      <c r="D734" t="str">
        <f t="shared" si="67"/>
        <v>FAB1_Leche Clasica Deslactosada Light 1 L</v>
      </c>
      <c r="E734">
        <v>2025</v>
      </c>
      <c r="F734">
        <v>29</v>
      </c>
      <c r="G734">
        <f t="shared" si="68"/>
        <v>7</v>
      </c>
      <c r="H734" s="1">
        <f t="shared" si="69"/>
        <v>45852</v>
      </c>
      <c r="I734" s="1">
        <f t="shared" si="70"/>
        <v>45839</v>
      </c>
      <c r="J734">
        <v>787376.89000000013</v>
      </c>
      <c r="K734">
        <v>35232</v>
      </c>
      <c r="L734">
        <f t="shared" si="66"/>
        <v>22.348344970481385</v>
      </c>
      <c r="M734">
        <v>2936</v>
      </c>
      <c r="N734" s="2">
        <f t="shared" si="71"/>
        <v>268.18013964577659</v>
      </c>
      <c r="O734">
        <v>12</v>
      </c>
    </row>
    <row r="735" spans="1:15" x14ac:dyDescent="0.25">
      <c r="A735" t="s">
        <v>46</v>
      </c>
      <c r="B735" t="s">
        <v>14</v>
      </c>
      <c r="C735" t="s">
        <v>3</v>
      </c>
      <c r="D735" t="str">
        <f t="shared" si="67"/>
        <v>FAB1_Leche Clasica Deslactosada Light 1 L</v>
      </c>
      <c r="E735">
        <v>2025</v>
      </c>
      <c r="F735">
        <v>30</v>
      </c>
      <c r="G735">
        <f t="shared" si="68"/>
        <v>7</v>
      </c>
      <c r="H735" s="1">
        <f t="shared" si="69"/>
        <v>45859</v>
      </c>
      <c r="I735" s="1">
        <f t="shared" si="70"/>
        <v>45839</v>
      </c>
      <c r="J735">
        <v>656183.25</v>
      </c>
      <c r="K735">
        <v>29088</v>
      </c>
      <c r="L735">
        <f t="shared" si="66"/>
        <v>22.558555074257427</v>
      </c>
      <c r="M735">
        <v>2424</v>
      </c>
      <c r="N735" s="2">
        <f t="shared" si="71"/>
        <v>270.70266089108912</v>
      </c>
      <c r="O735">
        <v>12</v>
      </c>
    </row>
    <row r="736" spans="1:15" x14ac:dyDescent="0.25">
      <c r="A736" t="s">
        <v>46</v>
      </c>
      <c r="B736" t="s">
        <v>14</v>
      </c>
      <c r="C736" t="s">
        <v>3</v>
      </c>
      <c r="D736" t="str">
        <f t="shared" si="67"/>
        <v>FAB1_Leche Clasica Deslactosada Light 1 L</v>
      </c>
      <c r="E736">
        <v>2025</v>
      </c>
      <c r="F736">
        <v>31</v>
      </c>
      <c r="G736">
        <f t="shared" si="68"/>
        <v>7</v>
      </c>
      <c r="H736" s="1">
        <f t="shared" si="69"/>
        <v>45866</v>
      </c>
      <c r="I736" s="1">
        <f t="shared" si="70"/>
        <v>45839</v>
      </c>
      <c r="J736">
        <v>703199.18</v>
      </c>
      <c r="K736">
        <v>30852</v>
      </c>
      <c r="L736">
        <f t="shared" si="66"/>
        <v>22.792661091663426</v>
      </c>
      <c r="M736">
        <v>2571</v>
      </c>
      <c r="N736" s="2">
        <f t="shared" si="71"/>
        <v>273.51193309996114</v>
      </c>
      <c r="O736">
        <v>12</v>
      </c>
    </row>
    <row r="737" spans="1:15" x14ac:dyDescent="0.25">
      <c r="A737" t="s">
        <v>46</v>
      </c>
      <c r="B737" t="s">
        <v>14</v>
      </c>
      <c r="C737" t="s">
        <v>4</v>
      </c>
      <c r="D737" t="str">
        <f t="shared" si="67"/>
        <v>FAB1_Leche Clasica Entera 1 L</v>
      </c>
      <c r="E737">
        <v>2022</v>
      </c>
      <c r="F737">
        <v>1</v>
      </c>
      <c r="G737">
        <f t="shared" si="68"/>
        <v>1</v>
      </c>
      <c r="H737" s="1">
        <f t="shared" si="69"/>
        <v>44564</v>
      </c>
      <c r="I737" s="1">
        <f t="shared" si="70"/>
        <v>44562</v>
      </c>
      <c r="J737">
        <v>842403.41999999993</v>
      </c>
      <c r="K737">
        <v>43320</v>
      </c>
      <c r="L737">
        <f t="shared" si="66"/>
        <v>19.446062326869804</v>
      </c>
      <c r="M737">
        <v>3610</v>
      </c>
      <c r="N737" s="2">
        <f t="shared" si="71"/>
        <v>233.35274792243766</v>
      </c>
      <c r="O737">
        <v>12</v>
      </c>
    </row>
    <row r="738" spans="1:15" x14ac:dyDescent="0.25">
      <c r="A738" t="s">
        <v>46</v>
      </c>
      <c r="B738" t="s">
        <v>14</v>
      </c>
      <c r="C738" t="s">
        <v>4</v>
      </c>
      <c r="D738" t="str">
        <f t="shared" si="67"/>
        <v>FAB1_Leche Clasica Entera 1 L</v>
      </c>
      <c r="E738">
        <v>2022</v>
      </c>
      <c r="F738">
        <v>2</v>
      </c>
      <c r="G738">
        <f t="shared" si="68"/>
        <v>1</v>
      </c>
      <c r="H738" s="1">
        <f t="shared" si="69"/>
        <v>44571</v>
      </c>
      <c r="I738" s="1">
        <f t="shared" si="70"/>
        <v>44562</v>
      </c>
      <c r="J738">
        <v>966502.8</v>
      </c>
      <c r="K738">
        <v>51792</v>
      </c>
      <c r="L738">
        <f t="shared" si="66"/>
        <v>18.661237256719186</v>
      </c>
      <c r="M738">
        <v>4316</v>
      </c>
      <c r="N738" s="2">
        <f t="shared" si="71"/>
        <v>223.93484708063022</v>
      </c>
      <c r="O738">
        <v>12</v>
      </c>
    </row>
    <row r="739" spans="1:15" x14ac:dyDescent="0.25">
      <c r="A739" t="s">
        <v>46</v>
      </c>
      <c r="B739" t="s">
        <v>14</v>
      </c>
      <c r="C739" t="s">
        <v>4</v>
      </c>
      <c r="D739" t="str">
        <f t="shared" si="67"/>
        <v>FAB1_Leche Clasica Entera 1 L</v>
      </c>
      <c r="E739">
        <v>2022</v>
      </c>
      <c r="F739">
        <v>3</v>
      </c>
      <c r="G739">
        <f t="shared" si="68"/>
        <v>1</v>
      </c>
      <c r="H739" s="1">
        <f t="shared" si="69"/>
        <v>44578</v>
      </c>
      <c r="I739" s="1">
        <f t="shared" si="70"/>
        <v>44562</v>
      </c>
      <c r="J739">
        <v>868925.61</v>
      </c>
      <c r="K739">
        <v>46416</v>
      </c>
      <c r="L739">
        <f t="shared" si="66"/>
        <v>18.720389736297829</v>
      </c>
      <c r="M739">
        <v>3868</v>
      </c>
      <c r="N739" s="2">
        <f t="shared" si="71"/>
        <v>224.64467683557393</v>
      </c>
      <c r="O739">
        <v>12</v>
      </c>
    </row>
    <row r="740" spans="1:15" x14ac:dyDescent="0.25">
      <c r="A740" t="s">
        <v>46</v>
      </c>
      <c r="B740" t="s">
        <v>14</v>
      </c>
      <c r="C740" t="s">
        <v>4</v>
      </c>
      <c r="D740" t="str">
        <f t="shared" si="67"/>
        <v>FAB1_Leche Clasica Entera 1 L</v>
      </c>
      <c r="E740">
        <v>2022</v>
      </c>
      <c r="F740">
        <v>4</v>
      </c>
      <c r="G740">
        <f t="shared" si="68"/>
        <v>1</v>
      </c>
      <c r="H740" s="1">
        <f t="shared" si="69"/>
        <v>44585</v>
      </c>
      <c r="I740" s="1">
        <f t="shared" si="70"/>
        <v>44562</v>
      </c>
      <c r="J740">
        <v>723089.52</v>
      </c>
      <c r="K740">
        <v>38100</v>
      </c>
      <c r="L740">
        <f t="shared" si="66"/>
        <v>18.97872755905512</v>
      </c>
      <c r="M740">
        <v>3175</v>
      </c>
      <c r="N740" s="2">
        <f t="shared" si="71"/>
        <v>227.74473070866142</v>
      </c>
      <c r="O740">
        <v>12</v>
      </c>
    </row>
    <row r="741" spans="1:15" x14ac:dyDescent="0.25">
      <c r="A741" t="s">
        <v>46</v>
      </c>
      <c r="B741" t="s">
        <v>14</v>
      </c>
      <c r="C741" t="s">
        <v>4</v>
      </c>
      <c r="D741" t="str">
        <f t="shared" si="67"/>
        <v>FAB1_Leche Clasica Entera 1 L</v>
      </c>
      <c r="E741">
        <v>2022</v>
      </c>
      <c r="F741">
        <v>5</v>
      </c>
      <c r="G741">
        <f t="shared" si="68"/>
        <v>2</v>
      </c>
      <c r="H741" s="1">
        <f t="shared" si="69"/>
        <v>44592</v>
      </c>
      <c r="I741" s="1">
        <f t="shared" si="70"/>
        <v>44593</v>
      </c>
      <c r="J741">
        <v>1265313.6199999999</v>
      </c>
      <c r="K741">
        <v>66684</v>
      </c>
      <c r="L741">
        <f t="shared" si="66"/>
        <v>18.974770859576509</v>
      </c>
      <c r="M741">
        <v>5557</v>
      </c>
      <c r="N741" s="2">
        <f t="shared" si="71"/>
        <v>227.69725031491811</v>
      </c>
      <c r="O741">
        <v>12</v>
      </c>
    </row>
    <row r="742" spans="1:15" x14ac:dyDescent="0.25">
      <c r="A742" t="s">
        <v>46</v>
      </c>
      <c r="B742" t="s">
        <v>14</v>
      </c>
      <c r="C742" t="s">
        <v>4</v>
      </c>
      <c r="D742" t="str">
        <f t="shared" si="67"/>
        <v>FAB1_Leche Clasica Entera 1 L</v>
      </c>
      <c r="E742">
        <v>2022</v>
      </c>
      <c r="F742">
        <v>6</v>
      </c>
      <c r="G742">
        <f t="shared" si="68"/>
        <v>2</v>
      </c>
      <c r="H742" s="1">
        <f t="shared" si="69"/>
        <v>44599</v>
      </c>
      <c r="I742" s="1">
        <f t="shared" si="70"/>
        <v>44593</v>
      </c>
      <c r="J742">
        <v>1862209.6400000001</v>
      </c>
      <c r="K742">
        <v>102420</v>
      </c>
      <c r="L742">
        <f t="shared" si="66"/>
        <v>18.182089826205821</v>
      </c>
      <c r="M742">
        <v>8535</v>
      </c>
      <c r="N742" s="2">
        <f t="shared" si="71"/>
        <v>218.18507791446984</v>
      </c>
      <c r="O742">
        <v>12</v>
      </c>
    </row>
    <row r="743" spans="1:15" x14ac:dyDescent="0.25">
      <c r="A743" t="s">
        <v>46</v>
      </c>
      <c r="B743" t="s">
        <v>14</v>
      </c>
      <c r="C743" t="s">
        <v>4</v>
      </c>
      <c r="D743" t="str">
        <f t="shared" si="67"/>
        <v>FAB1_Leche Clasica Entera 1 L</v>
      </c>
      <c r="E743">
        <v>2022</v>
      </c>
      <c r="F743">
        <v>7</v>
      </c>
      <c r="G743">
        <f t="shared" si="68"/>
        <v>2</v>
      </c>
      <c r="H743" s="1">
        <f t="shared" si="69"/>
        <v>44606</v>
      </c>
      <c r="I743" s="1">
        <f t="shared" si="70"/>
        <v>44593</v>
      </c>
      <c r="J743">
        <v>3393244.7499999981</v>
      </c>
      <c r="K743">
        <v>184884</v>
      </c>
      <c r="L743">
        <f t="shared" si="66"/>
        <v>18.353371573527173</v>
      </c>
      <c r="M743">
        <v>15407</v>
      </c>
      <c r="N743" s="2">
        <f t="shared" si="71"/>
        <v>220.2404588823261</v>
      </c>
      <c r="O743">
        <v>12</v>
      </c>
    </row>
    <row r="744" spans="1:15" x14ac:dyDescent="0.25">
      <c r="A744" t="s">
        <v>46</v>
      </c>
      <c r="B744" t="s">
        <v>14</v>
      </c>
      <c r="C744" t="s">
        <v>4</v>
      </c>
      <c r="D744" t="str">
        <f t="shared" si="67"/>
        <v>FAB1_Leche Clasica Entera 1 L</v>
      </c>
      <c r="E744">
        <v>2022</v>
      </c>
      <c r="F744">
        <v>8</v>
      </c>
      <c r="G744">
        <f t="shared" si="68"/>
        <v>2</v>
      </c>
      <c r="H744" s="1">
        <f t="shared" si="69"/>
        <v>44613</v>
      </c>
      <c r="I744" s="1">
        <f t="shared" si="70"/>
        <v>44593</v>
      </c>
      <c r="J744">
        <v>1179598.1199999994</v>
      </c>
      <c r="K744">
        <v>60480</v>
      </c>
      <c r="L744">
        <f t="shared" si="66"/>
        <v>19.503937169312159</v>
      </c>
      <c r="M744">
        <v>5040</v>
      </c>
      <c r="N744" s="2">
        <f t="shared" si="71"/>
        <v>234.04724603174591</v>
      </c>
      <c r="O744">
        <v>12</v>
      </c>
    </row>
    <row r="745" spans="1:15" x14ac:dyDescent="0.25">
      <c r="A745" t="s">
        <v>46</v>
      </c>
      <c r="B745" t="s">
        <v>14</v>
      </c>
      <c r="C745" t="s">
        <v>4</v>
      </c>
      <c r="D745" t="str">
        <f t="shared" si="67"/>
        <v>FAB1_Leche Clasica Entera 1 L</v>
      </c>
      <c r="E745">
        <v>2022</v>
      </c>
      <c r="F745">
        <v>9</v>
      </c>
      <c r="G745">
        <f t="shared" si="68"/>
        <v>3</v>
      </c>
      <c r="H745" s="1">
        <f t="shared" si="69"/>
        <v>44620</v>
      </c>
      <c r="I745" s="1">
        <f t="shared" si="70"/>
        <v>44621</v>
      </c>
      <c r="J745">
        <v>1220302.8900000001</v>
      </c>
      <c r="K745">
        <v>62568</v>
      </c>
      <c r="L745">
        <f t="shared" si="66"/>
        <v>19.503626294591488</v>
      </c>
      <c r="M745">
        <v>5214</v>
      </c>
      <c r="N745" s="2">
        <f t="shared" si="71"/>
        <v>234.04351553509784</v>
      </c>
      <c r="O745">
        <v>12</v>
      </c>
    </row>
    <row r="746" spans="1:15" x14ac:dyDescent="0.25">
      <c r="A746" t="s">
        <v>46</v>
      </c>
      <c r="B746" t="s">
        <v>14</v>
      </c>
      <c r="C746" t="s">
        <v>4</v>
      </c>
      <c r="D746" t="str">
        <f t="shared" si="67"/>
        <v>FAB1_Leche Clasica Entera 1 L</v>
      </c>
      <c r="E746">
        <v>2022</v>
      </c>
      <c r="F746">
        <v>10</v>
      </c>
      <c r="G746">
        <f t="shared" si="68"/>
        <v>3</v>
      </c>
      <c r="H746" s="1">
        <f t="shared" si="69"/>
        <v>44627</v>
      </c>
      <c r="I746" s="1">
        <f t="shared" si="70"/>
        <v>44621</v>
      </c>
      <c r="J746">
        <v>827987.95000000007</v>
      </c>
      <c r="K746">
        <v>42444</v>
      </c>
      <c r="L746">
        <f t="shared" si="66"/>
        <v>19.507773772500236</v>
      </c>
      <c r="M746">
        <v>3537</v>
      </c>
      <c r="N746" s="2">
        <f t="shared" si="71"/>
        <v>234.09328527000284</v>
      </c>
      <c r="O746">
        <v>12</v>
      </c>
    </row>
    <row r="747" spans="1:15" x14ac:dyDescent="0.25">
      <c r="A747" t="s">
        <v>46</v>
      </c>
      <c r="B747" t="s">
        <v>14</v>
      </c>
      <c r="C747" t="s">
        <v>4</v>
      </c>
      <c r="D747" t="str">
        <f t="shared" si="67"/>
        <v>FAB1_Leche Clasica Entera 1 L</v>
      </c>
      <c r="E747">
        <v>2022</v>
      </c>
      <c r="F747">
        <v>11</v>
      </c>
      <c r="G747">
        <f t="shared" si="68"/>
        <v>3</v>
      </c>
      <c r="H747" s="1">
        <f t="shared" si="69"/>
        <v>44634</v>
      </c>
      <c r="I747" s="1">
        <f t="shared" si="70"/>
        <v>44621</v>
      </c>
      <c r="J747">
        <v>1072881.1400000001</v>
      </c>
      <c r="K747">
        <v>56100</v>
      </c>
      <c r="L747">
        <f t="shared" si="66"/>
        <v>19.124440998217469</v>
      </c>
      <c r="M747">
        <v>4675</v>
      </c>
      <c r="N747" s="2">
        <f t="shared" si="71"/>
        <v>229.49329197860965</v>
      </c>
      <c r="O747">
        <v>12</v>
      </c>
    </row>
    <row r="748" spans="1:15" x14ac:dyDescent="0.25">
      <c r="A748" t="s">
        <v>46</v>
      </c>
      <c r="B748" t="s">
        <v>14</v>
      </c>
      <c r="C748" t="s">
        <v>4</v>
      </c>
      <c r="D748" t="str">
        <f t="shared" si="67"/>
        <v>FAB1_Leche Clasica Entera 1 L</v>
      </c>
      <c r="E748">
        <v>2022</v>
      </c>
      <c r="F748">
        <v>12</v>
      </c>
      <c r="G748">
        <f t="shared" si="68"/>
        <v>3</v>
      </c>
      <c r="H748" s="1">
        <f t="shared" si="69"/>
        <v>44641</v>
      </c>
      <c r="I748" s="1">
        <f t="shared" si="70"/>
        <v>44621</v>
      </c>
      <c r="J748">
        <v>801447.32000000018</v>
      </c>
      <c r="K748">
        <v>41532</v>
      </c>
      <c r="L748">
        <f t="shared" si="66"/>
        <v>19.29710391986902</v>
      </c>
      <c r="M748">
        <v>3461</v>
      </c>
      <c r="N748" s="2">
        <f t="shared" si="71"/>
        <v>231.56524703842825</v>
      </c>
      <c r="O748">
        <v>12</v>
      </c>
    </row>
    <row r="749" spans="1:15" x14ac:dyDescent="0.25">
      <c r="A749" t="s">
        <v>46</v>
      </c>
      <c r="B749" t="s">
        <v>14</v>
      </c>
      <c r="C749" t="s">
        <v>4</v>
      </c>
      <c r="D749" t="str">
        <f t="shared" si="67"/>
        <v>FAB1_Leche Clasica Entera 1 L</v>
      </c>
      <c r="E749">
        <v>2022</v>
      </c>
      <c r="F749">
        <v>13</v>
      </c>
      <c r="G749">
        <f t="shared" si="68"/>
        <v>3</v>
      </c>
      <c r="H749" s="1">
        <f t="shared" si="69"/>
        <v>44648</v>
      </c>
      <c r="I749" s="1">
        <f t="shared" si="70"/>
        <v>44621</v>
      </c>
      <c r="J749">
        <v>1020302.0300000003</v>
      </c>
      <c r="K749">
        <v>53304</v>
      </c>
      <c r="L749">
        <f t="shared" si="66"/>
        <v>19.141190717394572</v>
      </c>
      <c r="M749">
        <v>4442</v>
      </c>
      <c r="N749" s="2">
        <f t="shared" si="71"/>
        <v>229.69428860873487</v>
      </c>
      <c r="O749">
        <v>12</v>
      </c>
    </row>
    <row r="750" spans="1:15" x14ac:dyDescent="0.25">
      <c r="A750" t="s">
        <v>46</v>
      </c>
      <c r="B750" t="s">
        <v>14</v>
      </c>
      <c r="C750" t="s">
        <v>4</v>
      </c>
      <c r="D750" t="str">
        <f t="shared" si="67"/>
        <v>FAB1_Leche Clasica Entera 1 L</v>
      </c>
      <c r="E750">
        <v>2022</v>
      </c>
      <c r="F750">
        <v>14</v>
      </c>
      <c r="G750">
        <f t="shared" si="68"/>
        <v>4</v>
      </c>
      <c r="H750" s="1">
        <f t="shared" si="69"/>
        <v>44655</v>
      </c>
      <c r="I750" s="1">
        <f t="shared" si="70"/>
        <v>44652</v>
      </c>
      <c r="J750">
        <v>1233910.6200000001</v>
      </c>
      <c r="K750">
        <v>64308</v>
      </c>
      <c r="L750">
        <f t="shared" si="66"/>
        <v>19.187513528643404</v>
      </c>
      <c r="M750">
        <v>5359</v>
      </c>
      <c r="N750" s="2">
        <f t="shared" si="71"/>
        <v>230.25016234372086</v>
      </c>
      <c r="O750">
        <v>12</v>
      </c>
    </row>
    <row r="751" spans="1:15" x14ac:dyDescent="0.25">
      <c r="A751" t="s">
        <v>46</v>
      </c>
      <c r="B751" t="s">
        <v>14</v>
      </c>
      <c r="C751" t="s">
        <v>4</v>
      </c>
      <c r="D751" t="str">
        <f t="shared" si="67"/>
        <v>FAB1_Leche Clasica Entera 1 L</v>
      </c>
      <c r="E751">
        <v>2022</v>
      </c>
      <c r="F751">
        <v>15</v>
      </c>
      <c r="G751">
        <f t="shared" si="68"/>
        <v>4</v>
      </c>
      <c r="H751" s="1">
        <f t="shared" si="69"/>
        <v>44662</v>
      </c>
      <c r="I751" s="1">
        <f t="shared" si="70"/>
        <v>44652</v>
      </c>
      <c r="J751">
        <v>1312356.3399999994</v>
      </c>
      <c r="K751">
        <v>71040</v>
      </c>
      <c r="L751">
        <f t="shared" si="66"/>
        <v>18.473484515765758</v>
      </c>
      <c r="M751">
        <v>5920</v>
      </c>
      <c r="N751" s="2">
        <f t="shared" si="71"/>
        <v>221.68181418918908</v>
      </c>
      <c r="O751">
        <v>12</v>
      </c>
    </row>
    <row r="752" spans="1:15" x14ac:dyDescent="0.25">
      <c r="A752" t="s">
        <v>46</v>
      </c>
      <c r="B752" t="s">
        <v>14</v>
      </c>
      <c r="C752" t="s">
        <v>4</v>
      </c>
      <c r="D752" t="str">
        <f t="shared" si="67"/>
        <v>FAB1_Leche Clasica Entera 1 L</v>
      </c>
      <c r="E752">
        <v>2022</v>
      </c>
      <c r="F752">
        <v>16</v>
      </c>
      <c r="G752">
        <f t="shared" si="68"/>
        <v>4</v>
      </c>
      <c r="H752" s="1">
        <f t="shared" si="69"/>
        <v>44669</v>
      </c>
      <c r="I752" s="1">
        <f t="shared" si="70"/>
        <v>44652</v>
      </c>
      <c r="J752">
        <v>1757152.4899999981</v>
      </c>
      <c r="K752">
        <v>96468</v>
      </c>
      <c r="L752">
        <f t="shared" si="66"/>
        <v>18.21487425882156</v>
      </c>
      <c r="M752">
        <v>8039</v>
      </c>
      <c r="N752" s="2">
        <f t="shared" si="71"/>
        <v>218.57849110585872</v>
      </c>
      <c r="O752">
        <v>12</v>
      </c>
    </row>
    <row r="753" spans="1:15" x14ac:dyDescent="0.25">
      <c r="A753" t="s">
        <v>46</v>
      </c>
      <c r="B753" t="s">
        <v>14</v>
      </c>
      <c r="C753" t="s">
        <v>4</v>
      </c>
      <c r="D753" t="str">
        <f t="shared" si="67"/>
        <v>FAB1_Leche Clasica Entera 1 L</v>
      </c>
      <c r="E753">
        <v>2022</v>
      </c>
      <c r="F753">
        <v>17</v>
      </c>
      <c r="G753">
        <f t="shared" si="68"/>
        <v>4</v>
      </c>
      <c r="H753" s="1">
        <f t="shared" si="69"/>
        <v>44676</v>
      </c>
      <c r="I753" s="1">
        <f t="shared" si="70"/>
        <v>44652</v>
      </c>
      <c r="J753">
        <v>1063677.8800000001</v>
      </c>
      <c r="K753">
        <v>56748</v>
      </c>
      <c r="L753">
        <f t="shared" si="66"/>
        <v>18.743883132445198</v>
      </c>
      <c r="M753">
        <v>4729</v>
      </c>
      <c r="N753" s="2">
        <f t="shared" si="71"/>
        <v>224.92659758934238</v>
      </c>
      <c r="O753">
        <v>12</v>
      </c>
    </row>
    <row r="754" spans="1:15" x14ac:dyDescent="0.25">
      <c r="A754" t="s">
        <v>46</v>
      </c>
      <c r="B754" t="s">
        <v>14</v>
      </c>
      <c r="C754" t="s">
        <v>4</v>
      </c>
      <c r="D754" t="str">
        <f t="shared" si="67"/>
        <v>FAB1_Leche Clasica Entera 1 L</v>
      </c>
      <c r="E754">
        <v>2022</v>
      </c>
      <c r="F754">
        <v>18</v>
      </c>
      <c r="G754">
        <f t="shared" si="68"/>
        <v>5</v>
      </c>
      <c r="H754" s="1">
        <f t="shared" si="69"/>
        <v>44683</v>
      </c>
      <c r="I754" s="1">
        <f t="shared" si="70"/>
        <v>44682</v>
      </c>
      <c r="J754">
        <v>1356400.8399999994</v>
      </c>
      <c r="K754">
        <v>71352</v>
      </c>
      <c r="L754">
        <f t="shared" si="66"/>
        <v>19.009990469783599</v>
      </c>
      <c r="M754">
        <v>5946</v>
      </c>
      <c r="N754" s="2">
        <f t="shared" si="71"/>
        <v>228.1198856374032</v>
      </c>
      <c r="O754">
        <v>12</v>
      </c>
    </row>
    <row r="755" spans="1:15" x14ac:dyDescent="0.25">
      <c r="A755" t="s">
        <v>46</v>
      </c>
      <c r="B755" t="s">
        <v>14</v>
      </c>
      <c r="C755" t="s">
        <v>4</v>
      </c>
      <c r="D755" t="str">
        <f t="shared" si="67"/>
        <v>FAB1_Leche Clasica Entera 1 L</v>
      </c>
      <c r="E755">
        <v>2022</v>
      </c>
      <c r="F755">
        <v>19</v>
      </c>
      <c r="G755">
        <f t="shared" si="68"/>
        <v>5</v>
      </c>
      <c r="H755" s="1">
        <f t="shared" si="69"/>
        <v>44690</v>
      </c>
      <c r="I755" s="1">
        <f t="shared" si="70"/>
        <v>44682</v>
      </c>
      <c r="J755">
        <v>991232.28000000014</v>
      </c>
      <c r="K755">
        <v>52620</v>
      </c>
      <c r="L755">
        <f t="shared" si="66"/>
        <v>18.83755758266819</v>
      </c>
      <c r="M755">
        <v>4385</v>
      </c>
      <c r="N755" s="2">
        <f t="shared" si="71"/>
        <v>226.05069099201827</v>
      </c>
      <c r="O755">
        <v>12</v>
      </c>
    </row>
    <row r="756" spans="1:15" x14ac:dyDescent="0.25">
      <c r="A756" t="s">
        <v>46</v>
      </c>
      <c r="B756" t="s">
        <v>14</v>
      </c>
      <c r="C756" t="s">
        <v>4</v>
      </c>
      <c r="D756" t="str">
        <f t="shared" si="67"/>
        <v>FAB1_Leche Clasica Entera 1 L</v>
      </c>
      <c r="E756">
        <v>2022</v>
      </c>
      <c r="F756">
        <v>20</v>
      </c>
      <c r="G756">
        <f t="shared" si="68"/>
        <v>5</v>
      </c>
      <c r="H756" s="1">
        <f t="shared" si="69"/>
        <v>44697</v>
      </c>
      <c r="I756" s="1">
        <f t="shared" si="70"/>
        <v>44682</v>
      </c>
      <c r="J756">
        <v>1010916.7300000002</v>
      </c>
      <c r="K756">
        <v>53868</v>
      </c>
      <c r="L756">
        <f t="shared" si="66"/>
        <v>18.766553983812287</v>
      </c>
      <c r="M756">
        <v>4489</v>
      </c>
      <c r="N756" s="2">
        <f t="shared" si="71"/>
        <v>225.19864780574744</v>
      </c>
      <c r="O756">
        <v>12</v>
      </c>
    </row>
    <row r="757" spans="1:15" x14ac:dyDescent="0.25">
      <c r="A757" t="s">
        <v>46</v>
      </c>
      <c r="B757" t="s">
        <v>14</v>
      </c>
      <c r="C757" t="s">
        <v>4</v>
      </c>
      <c r="D757" t="str">
        <f t="shared" si="67"/>
        <v>FAB1_Leche Clasica Entera 1 L</v>
      </c>
      <c r="E757">
        <v>2022</v>
      </c>
      <c r="F757">
        <v>21</v>
      </c>
      <c r="G757">
        <f t="shared" si="68"/>
        <v>5</v>
      </c>
      <c r="H757" s="1">
        <f t="shared" si="69"/>
        <v>44704</v>
      </c>
      <c r="I757" s="1">
        <f t="shared" si="70"/>
        <v>44682</v>
      </c>
      <c r="J757">
        <v>919737.60000000021</v>
      </c>
      <c r="K757">
        <v>49824</v>
      </c>
      <c r="L757">
        <f t="shared" si="66"/>
        <v>18.459730250481698</v>
      </c>
      <c r="M757">
        <v>4152</v>
      </c>
      <c r="N757" s="2">
        <f t="shared" si="71"/>
        <v>221.5167630057804</v>
      </c>
      <c r="O757">
        <v>12</v>
      </c>
    </row>
    <row r="758" spans="1:15" x14ac:dyDescent="0.25">
      <c r="A758" t="s">
        <v>46</v>
      </c>
      <c r="B758" t="s">
        <v>14</v>
      </c>
      <c r="C758" t="s">
        <v>4</v>
      </c>
      <c r="D758" t="str">
        <f t="shared" si="67"/>
        <v>FAB1_Leche Clasica Entera 1 L</v>
      </c>
      <c r="E758">
        <v>2022</v>
      </c>
      <c r="F758">
        <v>22</v>
      </c>
      <c r="G758">
        <f t="shared" si="68"/>
        <v>6</v>
      </c>
      <c r="H758" s="1">
        <f t="shared" si="69"/>
        <v>44711</v>
      </c>
      <c r="I758" s="1">
        <f t="shared" si="70"/>
        <v>44713</v>
      </c>
      <c r="J758">
        <v>1217546.8299999994</v>
      </c>
      <c r="K758">
        <v>65904</v>
      </c>
      <c r="L758">
        <f t="shared" si="66"/>
        <v>18.474551317067238</v>
      </c>
      <c r="M758">
        <v>5492</v>
      </c>
      <c r="N758" s="2">
        <f t="shared" si="71"/>
        <v>221.69461580480689</v>
      </c>
      <c r="O758">
        <v>12</v>
      </c>
    </row>
    <row r="759" spans="1:15" x14ac:dyDescent="0.25">
      <c r="A759" t="s">
        <v>46</v>
      </c>
      <c r="B759" t="s">
        <v>14</v>
      </c>
      <c r="C759" t="s">
        <v>4</v>
      </c>
      <c r="D759" t="str">
        <f t="shared" si="67"/>
        <v>FAB1_Leche Clasica Entera 1 L</v>
      </c>
      <c r="E759">
        <v>2022</v>
      </c>
      <c r="F759">
        <v>23</v>
      </c>
      <c r="G759">
        <f t="shared" si="68"/>
        <v>6</v>
      </c>
      <c r="H759" s="1">
        <f t="shared" si="69"/>
        <v>44718</v>
      </c>
      <c r="I759" s="1">
        <f t="shared" si="70"/>
        <v>44713</v>
      </c>
      <c r="J759">
        <v>820155.82000000007</v>
      </c>
      <c r="K759">
        <v>43044</v>
      </c>
      <c r="L759">
        <f t="shared" si="66"/>
        <v>19.053894154818327</v>
      </c>
      <c r="M759">
        <v>3587</v>
      </c>
      <c r="N759" s="2">
        <f t="shared" si="71"/>
        <v>228.64672985781993</v>
      </c>
      <c r="O759">
        <v>12</v>
      </c>
    </row>
    <row r="760" spans="1:15" x14ac:dyDescent="0.25">
      <c r="A760" t="s">
        <v>46</v>
      </c>
      <c r="B760" t="s">
        <v>14</v>
      </c>
      <c r="C760" t="s">
        <v>4</v>
      </c>
      <c r="D760" t="str">
        <f t="shared" si="67"/>
        <v>FAB1_Leche Clasica Entera 1 L</v>
      </c>
      <c r="E760">
        <v>2022</v>
      </c>
      <c r="F760">
        <v>24</v>
      </c>
      <c r="G760">
        <f t="shared" si="68"/>
        <v>6</v>
      </c>
      <c r="H760" s="1">
        <f t="shared" si="69"/>
        <v>44725</v>
      </c>
      <c r="I760" s="1">
        <f t="shared" si="70"/>
        <v>44713</v>
      </c>
      <c r="J760">
        <v>979890.30999999994</v>
      </c>
      <c r="K760">
        <v>51876</v>
      </c>
      <c r="L760">
        <f t="shared" si="66"/>
        <v>18.889087632045648</v>
      </c>
      <c r="M760">
        <v>4323</v>
      </c>
      <c r="N760" s="2">
        <f t="shared" si="71"/>
        <v>226.66905158454776</v>
      </c>
      <c r="O760">
        <v>12</v>
      </c>
    </row>
    <row r="761" spans="1:15" x14ac:dyDescent="0.25">
      <c r="A761" t="s">
        <v>46</v>
      </c>
      <c r="B761" t="s">
        <v>14</v>
      </c>
      <c r="C761" t="s">
        <v>4</v>
      </c>
      <c r="D761" t="str">
        <f t="shared" si="67"/>
        <v>FAB1_Leche Clasica Entera 1 L</v>
      </c>
      <c r="E761">
        <v>2022</v>
      </c>
      <c r="F761">
        <v>25</v>
      </c>
      <c r="G761">
        <f t="shared" si="68"/>
        <v>6</v>
      </c>
      <c r="H761" s="1">
        <f t="shared" si="69"/>
        <v>44732</v>
      </c>
      <c r="I761" s="1">
        <f t="shared" si="70"/>
        <v>44713</v>
      </c>
      <c r="J761">
        <v>1034977.4900000003</v>
      </c>
      <c r="K761">
        <v>56808</v>
      </c>
      <c r="L761">
        <f t="shared" si="66"/>
        <v>18.218868645261235</v>
      </c>
      <c r="M761">
        <v>4734</v>
      </c>
      <c r="N761" s="2">
        <f t="shared" si="71"/>
        <v>218.62642374313484</v>
      </c>
      <c r="O761">
        <v>12</v>
      </c>
    </row>
    <row r="762" spans="1:15" x14ac:dyDescent="0.25">
      <c r="A762" t="s">
        <v>46</v>
      </c>
      <c r="B762" t="s">
        <v>14</v>
      </c>
      <c r="C762" t="s">
        <v>4</v>
      </c>
      <c r="D762" t="str">
        <f t="shared" si="67"/>
        <v>FAB1_Leche Clasica Entera 1 L</v>
      </c>
      <c r="E762">
        <v>2022</v>
      </c>
      <c r="F762">
        <v>26</v>
      </c>
      <c r="G762">
        <f t="shared" si="68"/>
        <v>6</v>
      </c>
      <c r="H762" s="1">
        <f t="shared" si="69"/>
        <v>44739</v>
      </c>
      <c r="I762" s="1">
        <f t="shared" si="70"/>
        <v>44713</v>
      </c>
      <c r="J762">
        <v>977102.38000000024</v>
      </c>
      <c r="K762">
        <v>53544</v>
      </c>
      <c r="L762">
        <f t="shared" si="66"/>
        <v>18.248587703570898</v>
      </c>
      <c r="M762">
        <v>4462</v>
      </c>
      <c r="N762" s="2">
        <f t="shared" si="71"/>
        <v>218.98305244285081</v>
      </c>
      <c r="O762">
        <v>12</v>
      </c>
    </row>
    <row r="763" spans="1:15" x14ac:dyDescent="0.25">
      <c r="A763" t="s">
        <v>46</v>
      </c>
      <c r="B763" t="s">
        <v>14</v>
      </c>
      <c r="C763" t="s">
        <v>4</v>
      </c>
      <c r="D763" t="str">
        <f t="shared" si="67"/>
        <v>FAB1_Leche Clasica Entera 1 L</v>
      </c>
      <c r="E763">
        <v>2022</v>
      </c>
      <c r="F763">
        <v>27</v>
      </c>
      <c r="G763">
        <f t="shared" si="68"/>
        <v>7</v>
      </c>
      <c r="H763" s="1">
        <f t="shared" si="69"/>
        <v>44746</v>
      </c>
      <c r="I763" s="1">
        <f t="shared" si="70"/>
        <v>44743</v>
      </c>
      <c r="J763">
        <v>1048489.4900000002</v>
      </c>
      <c r="K763">
        <v>56412</v>
      </c>
      <c r="L763">
        <f t="shared" si="66"/>
        <v>18.586284655747008</v>
      </c>
      <c r="M763">
        <v>4701</v>
      </c>
      <c r="N763" s="2">
        <f t="shared" si="71"/>
        <v>223.03541586896409</v>
      </c>
      <c r="O763">
        <v>12</v>
      </c>
    </row>
    <row r="764" spans="1:15" x14ac:dyDescent="0.25">
      <c r="A764" t="s">
        <v>46</v>
      </c>
      <c r="B764" t="s">
        <v>14</v>
      </c>
      <c r="C764" t="s">
        <v>4</v>
      </c>
      <c r="D764" t="str">
        <f t="shared" si="67"/>
        <v>FAB1_Leche Clasica Entera 1 L</v>
      </c>
      <c r="E764">
        <v>2022</v>
      </c>
      <c r="F764">
        <v>28</v>
      </c>
      <c r="G764">
        <f t="shared" si="68"/>
        <v>7</v>
      </c>
      <c r="H764" s="1">
        <f t="shared" si="69"/>
        <v>44753</v>
      </c>
      <c r="I764" s="1">
        <f t="shared" si="70"/>
        <v>44743</v>
      </c>
      <c r="J764">
        <v>887340.01000000013</v>
      </c>
      <c r="K764">
        <v>47748</v>
      </c>
      <c r="L764">
        <f t="shared" si="66"/>
        <v>18.583815238334594</v>
      </c>
      <c r="M764">
        <v>3979</v>
      </c>
      <c r="N764" s="2">
        <f t="shared" si="71"/>
        <v>223.0057828600151</v>
      </c>
      <c r="O764">
        <v>12</v>
      </c>
    </row>
    <row r="765" spans="1:15" x14ac:dyDescent="0.25">
      <c r="A765" t="s">
        <v>46</v>
      </c>
      <c r="B765" t="s">
        <v>14</v>
      </c>
      <c r="C765" t="s">
        <v>4</v>
      </c>
      <c r="D765" t="str">
        <f t="shared" si="67"/>
        <v>FAB1_Leche Clasica Entera 1 L</v>
      </c>
      <c r="E765">
        <v>2022</v>
      </c>
      <c r="F765">
        <v>29</v>
      </c>
      <c r="G765">
        <f t="shared" si="68"/>
        <v>7</v>
      </c>
      <c r="H765" s="1">
        <f t="shared" si="69"/>
        <v>44760</v>
      </c>
      <c r="I765" s="1">
        <f t="shared" si="70"/>
        <v>44743</v>
      </c>
      <c r="J765">
        <v>1583545.8699999985</v>
      </c>
      <c r="K765">
        <v>86232</v>
      </c>
      <c r="L765">
        <f t="shared" si="66"/>
        <v>18.363784557936711</v>
      </c>
      <c r="M765">
        <v>7186</v>
      </c>
      <c r="N765" s="2">
        <f t="shared" si="71"/>
        <v>220.36541469524053</v>
      </c>
      <c r="O765">
        <v>12</v>
      </c>
    </row>
    <row r="766" spans="1:15" x14ac:dyDescent="0.25">
      <c r="A766" t="s">
        <v>46</v>
      </c>
      <c r="B766" t="s">
        <v>14</v>
      </c>
      <c r="C766" t="s">
        <v>4</v>
      </c>
      <c r="D766" t="str">
        <f t="shared" si="67"/>
        <v>FAB1_Leche Clasica Entera 1 L</v>
      </c>
      <c r="E766">
        <v>2022</v>
      </c>
      <c r="F766">
        <v>30</v>
      </c>
      <c r="G766">
        <f t="shared" si="68"/>
        <v>7</v>
      </c>
      <c r="H766" s="1">
        <f t="shared" si="69"/>
        <v>44767</v>
      </c>
      <c r="I766" s="1">
        <f t="shared" si="70"/>
        <v>44743</v>
      </c>
      <c r="J766">
        <v>1165881.8099999998</v>
      </c>
      <c r="K766">
        <v>61716</v>
      </c>
      <c r="L766">
        <f t="shared" si="66"/>
        <v>18.891078650593037</v>
      </c>
      <c r="M766">
        <v>5143</v>
      </c>
      <c r="N766" s="2">
        <f t="shared" si="71"/>
        <v>226.69294380711642</v>
      </c>
      <c r="O766">
        <v>12</v>
      </c>
    </row>
    <row r="767" spans="1:15" x14ac:dyDescent="0.25">
      <c r="A767" t="s">
        <v>46</v>
      </c>
      <c r="B767" t="s">
        <v>14</v>
      </c>
      <c r="C767" t="s">
        <v>4</v>
      </c>
      <c r="D767" t="str">
        <f t="shared" si="67"/>
        <v>FAB1_Leche Clasica Entera 1 L</v>
      </c>
      <c r="E767">
        <v>2022</v>
      </c>
      <c r="F767">
        <v>31</v>
      </c>
      <c r="G767">
        <f t="shared" si="68"/>
        <v>8</v>
      </c>
      <c r="H767" s="1">
        <f t="shared" si="69"/>
        <v>44774</v>
      </c>
      <c r="I767" s="1">
        <f t="shared" si="70"/>
        <v>44774</v>
      </c>
      <c r="J767">
        <v>1013284.7800000001</v>
      </c>
      <c r="K767">
        <v>52020</v>
      </c>
      <c r="L767">
        <f t="shared" si="66"/>
        <v>19.478753940792007</v>
      </c>
      <c r="M767">
        <v>4335</v>
      </c>
      <c r="N767" s="2">
        <f t="shared" si="71"/>
        <v>233.74504728950407</v>
      </c>
      <c r="O767">
        <v>12</v>
      </c>
    </row>
    <row r="768" spans="1:15" x14ac:dyDescent="0.25">
      <c r="A768" t="s">
        <v>46</v>
      </c>
      <c r="B768" t="s">
        <v>14</v>
      </c>
      <c r="C768" t="s">
        <v>4</v>
      </c>
      <c r="D768" t="str">
        <f t="shared" si="67"/>
        <v>FAB1_Leche Clasica Entera 1 L</v>
      </c>
      <c r="E768">
        <v>2022</v>
      </c>
      <c r="F768">
        <v>32</v>
      </c>
      <c r="G768">
        <f t="shared" si="68"/>
        <v>8</v>
      </c>
      <c r="H768" s="1">
        <f t="shared" si="69"/>
        <v>44781</v>
      </c>
      <c r="I768" s="1">
        <f t="shared" si="70"/>
        <v>44774</v>
      </c>
      <c r="J768">
        <v>898427.4700000002</v>
      </c>
      <c r="K768">
        <v>47556</v>
      </c>
      <c r="L768">
        <f t="shared" si="66"/>
        <v>18.891989864580708</v>
      </c>
      <c r="M768">
        <v>3963</v>
      </c>
      <c r="N768" s="2">
        <f t="shared" si="71"/>
        <v>226.7038783749685</v>
      </c>
      <c r="O768">
        <v>12</v>
      </c>
    </row>
    <row r="769" spans="1:15" x14ac:dyDescent="0.25">
      <c r="A769" t="s">
        <v>46</v>
      </c>
      <c r="B769" t="s">
        <v>14</v>
      </c>
      <c r="C769" t="s">
        <v>4</v>
      </c>
      <c r="D769" t="str">
        <f t="shared" si="67"/>
        <v>FAB1_Leche Clasica Entera 1 L</v>
      </c>
      <c r="E769">
        <v>2022</v>
      </c>
      <c r="F769">
        <v>33</v>
      </c>
      <c r="G769">
        <f t="shared" si="68"/>
        <v>8</v>
      </c>
      <c r="H769" s="1">
        <f t="shared" si="69"/>
        <v>44788</v>
      </c>
      <c r="I769" s="1">
        <f t="shared" si="70"/>
        <v>44774</v>
      </c>
      <c r="J769">
        <v>2116651.8599999989</v>
      </c>
      <c r="K769">
        <v>120900</v>
      </c>
      <c r="L769">
        <f t="shared" si="66"/>
        <v>17.507459553349868</v>
      </c>
      <c r="M769">
        <v>10075</v>
      </c>
      <c r="N769" s="2">
        <f t="shared" si="71"/>
        <v>210.08951464019842</v>
      </c>
      <c r="O769">
        <v>12</v>
      </c>
    </row>
    <row r="770" spans="1:15" x14ac:dyDescent="0.25">
      <c r="A770" t="s">
        <v>46</v>
      </c>
      <c r="B770" t="s">
        <v>14</v>
      </c>
      <c r="C770" t="s">
        <v>4</v>
      </c>
      <c r="D770" t="str">
        <f t="shared" si="67"/>
        <v>FAB1_Leche Clasica Entera 1 L</v>
      </c>
      <c r="E770">
        <v>2022</v>
      </c>
      <c r="F770">
        <v>34</v>
      </c>
      <c r="G770">
        <f t="shared" si="68"/>
        <v>8</v>
      </c>
      <c r="H770" s="1">
        <f t="shared" si="69"/>
        <v>44795</v>
      </c>
      <c r="I770" s="1">
        <f t="shared" si="70"/>
        <v>44774</v>
      </c>
      <c r="J770">
        <v>2434181.4799999991</v>
      </c>
      <c r="K770">
        <v>133776</v>
      </c>
      <c r="L770">
        <f t="shared" ref="L770:L833" si="72">J770/K770</f>
        <v>18.19595054419327</v>
      </c>
      <c r="M770">
        <v>11148</v>
      </c>
      <c r="N770" s="2">
        <f t="shared" si="71"/>
        <v>218.35140653031925</v>
      </c>
      <c r="O770">
        <v>12</v>
      </c>
    </row>
    <row r="771" spans="1:15" x14ac:dyDescent="0.25">
      <c r="A771" t="s">
        <v>46</v>
      </c>
      <c r="B771" t="s">
        <v>14</v>
      </c>
      <c r="C771" t="s">
        <v>4</v>
      </c>
      <c r="D771" t="str">
        <f t="shared" ref="D771:D834" si="73">B771&amp;"_"&amp;C771</f>
        <v>FAB1_Leche Clasica Entera 1 L</v>
      </c>
      <c r="E771">
        <v>2022</v>
      </c>
      <c r="F771">
        <v>35</v>
      </c>
      <c r="G771">
        <f t="shared" ref="G771:G834" si="74">MONTH(DATE(E771,1,4)+(F771-1)*7-WEEKDAY(DATE(E771,1,4),2)+4)</f>
        <v>9</v>
      </c>
      <c r="H771" s="1">
        <f t="shared" ref="H771:H834" si="75">DATE(E771,1,-2)-WEEKDAY(DATE(E771,1,3))+F771*7</f>
        <v>44802</v>
      </c>
      <c r="I771" s="1">
        <f t="shared" ref="I771:I834" si="76">DATE(E771,G771,1)</f>
        <v>44805</v>
      </c>
      <c r="J771">
        <v>2708222.0100000021</v>
      </c>
      <c r="K771">
        <v>145956</v>
      </c>
      <c r="L771">
        <f t="shared" si="72"/>
        <v>18.5550577571323</v>
      </c>
      <c r="M771">
        <v>12163</v>
      </c>
      <c r="N771" s="2">
        <f t="shared" ref="N771:N834" si="77">J771/M771</f>
        <v>222.66069308558761</v>
      </c>
      <c r="O771">
        <v>12</v>
      </c>
    </row>
    <row r="772" spans="1:15" x14ac:dyDescent="0.25">
      <c r="A772" t="s">
        <v>46</v>
      </c>
      <c r="B772" t="s">
        <v>14</v>
      </c>
      <c r="C772" t="s">
        <v>4</v>
      </c>
      <c r="D772" t="str">
        <f t="shared" si="73"/>
        <v>FAB1_Leche Clasica Entera 1 L</v>
      </c>
      <c r="E772">
        <v>2022</v>
      </c>
      <c r="F772">
        <v>36</v>
      </c>
      <c r="G772">
        <f t="shared" si="74"/>
        <v>9</v>
      </c>
      <c r="H772" s="1">
        <f t="shared" si="75"/>
        <v>44809</v>
      </c>
      <c r="I772" s="1">
        <f t="shared" si="76"/>
        <v>44805</v>
      </c>
      <c r="J772">
        <v>913350.42000000027</v>
      </c>
      <c r="K772">
        <v>46632</v>
      </c>
      <c r="L772">
        <f t="shared" si="72"/>
        <v>19.586344570252194</v>
      </c>
      <c r="M772">
        <v>3886</v>
      </c>
      <c r="N772" s="2">
        <f t="shared" si="77"/>
        <v>235.03613484302633</v>
      </c>
      <c r="O772">
        <v>12</v>
      </c>
    </row>
    <row r="773" spans="1:15" x14ac:dyDescent="0.25">
      <c r="A773" t="s">
        <v>46</v>
      </c>
      <c r="B773" t="s">
        <v>14</v>
      </c>
      <c r="C773" t="s">
        <v>4</v>
      </c>
      <c r="D773" t="str">
        <f t="shared" si="73"/>
        <v>FAB1_Leche Clasica Entera 1 L</v>
      </c>
      <c r="E773">
        <v>2022</v>
      </c>
      <c r="F773">
        <v>37</v>
      </c>
      <c r="G773">
        <f t="shared" si="74"/>
        <v>9</v>
      </c>
      <c r="H773" s="1">
        <f t="shared" si="75"/>
        <v>44816</v>
      </c>
      <c r="I773" s="1">
        <f t="shared" si="76"/>
        <v>44805</v>
      </c>
      <c r="J773">
        <v>833500.79000000027</v>
      </c>
      <c r="K773">
        <v>42624</v>
      </c>
      <c r="L773">
        <f t="shared" si="72"/>
        <v>19.554729495120128</v>
      </c>
      <c r="M773">
        <v>3552</v>
      </c>
      <c r="N773" s="2">
        <f t="shared" si="77"/>
        <v>234.65675394144151</v>
      </c>
      <c r="O773">
        <v>12</v>
      </c>
    </row>
    <row r="774" spans="1:15" x14ac:dyDescent="0.25">
      <c r="A774" t="s">
        <v>46</v>
      </c>
      <c r="B774" t="s">
        <v>14</v>
      </c>
      <c r="C774" t="s">
        <v>4</v>
      </c>
      <c r="D774" t="str">
        <f t="shared" si="73"/>
        <v>FAB1_Leche Clasica Entera 1 L</v>
      </c>
      <c r="E774">
        <v>2022</v>
      </c>
      <c r="F774">
        <v>38</v>
      </c>
      <c r="G774">
        <f t="shared" si="74"/>
        <v>9</v>
      </c>
      <c r="H774" s="1">
        <f t="shared" si="75"/>
        <v>44823</v>
      </c>
      <c r="I774" s="1">
        <f t="shared" si="76"/>
        <v>44805</v>
      </c>
      <c r="J774">
        <v>1069054.7300000007</v>
      </c>
      <c r="K774">
        <v>54960</v>
      </c>
      <c r="L774">
        <f t="shared" si="72"/>
        <v>19.451505276564788</v>
      </c>
      <c r="M774">
        <v>4580</v>
      </c>
      <c r="N774" s="2">
        <f t="shared" si="77"/>
        <v>233.41806331877743</v>
      </c>
      <c r="O774">
        <v>12</v>
      </c>
    </row>
    <row r="775" spans="1:15" x14ac:dyDescent="0.25">
      <c r="A775" t="s">
        <v>46</v>
      </c>
      <c r="B775" t="s">
        <v>14</v>
      </c>
      <c r="C775" t="s">
        <v>4</v>
      </c>
      <c r="D775" t="str">
        <f t="shared" si="73"/>
        <v>FAB1_Leche Clasica Entera 1 L</v>
      </c>
      <c r="E775">
        <v>2022</v>
      </c>
      <c r="F775">
        <v>39</v>
      </c>
      <c r="G775">
        <f t="shared" si="74"/>
        <v>9</v>
      </c>
      <c r="H775" s="1">
        <f t="shared" si="75"/>
        <v>44830</v>
      </c>
      <c r="I775" s="1">
        <f t="shared" si="76"/>
        <v>44805</v>
      </c>
      <c r="J775">
        <v>720956.24000000022</v>
      </c>
      <c r="K775">
        <v>35136</v>
      </c>
      <c r="L775">
        <f t="shared" si="72"/>
        <v>20.519018670309659</v>
      </c>
      <c r="M775">
        <v>2928</v>
      </c>
      <c r="N775" s="2">
        <f t="shared" si="77"/>
        <v>246.22822404371593</v>
      </c>
      <c r="O775">
        <v>12</v>
      </c>
    </row>
    <row r="776" spans="1:15" x14ac:dyDescent="0.25">
      <c r="A776" t="s">
        <v>46</v>
      </c>
      <c r="B776" t="s">
        <v>14</v>
      </c>
      <c r="C776" t="s">
        <v>4</v>
      </c>
      <c r="D776" t="str">
        <f t="shared" si="73"/>
        <v>FAB1_Leche Clasica Entera 1 L</v>
      </c>
      <c r="E776">
        <v>2022</v>
      </c>
      <c r="F776">
        <v>40</v>
      </c>
      <c r="G776">
        <f t="shared" si="74"/>
        <v>10</v>
      </c>
      <c r="H776" s="1">
        <f t="shared" si="75"/>
        <v>44837</v>
      </c>
      <c r="I776" s="1">
        <f t="shared" si="76"/>
        <v>44835</v>
      </c>
      <c r="J776">
        <v>1147943.7500000005</v>
      </c>
      <c r="K776">
        <v>58728</v>
      </c>
      <c r="L776">
        <f t="shared" si="72"/>
        <v>19.546787733278851</v>
      </c>
      <c r="M776">
        <v>4894</v>
      </c>
      <c r="N776" s="2">
        <f t="shared" si="77"/>
        <v>234.56145279934623</v>
      </c>
      <c r="O776">
        <v>12</v>
      </c>
    </row>
    <row r="777" spans="1:15" x14ac:dyDescent="0.25">
      <c r="A777" t="s">
        <v>46</v>
      </c>
      <c r="B777" t="s">
        <v>14</v>
      </c>
      <c r="C777" t="s">
        <v>4</v>
      </c>
      <c r="D777" t="str">
        <f t="shared" si="73"/>
        <v>FAB1_Leche Clasica Entera 1 L</v>
      </c>
      <c r="E777">
        <v>2022</v>
      </c>
      <c r="F777">
        <v>41</v>
      </c>
      <c r="G777">
        <f t="shared" si="74"/>
        <v>10</v>
      </c>
      <c r="H777" s="1">
        <f t="shared" si="75"/>
        <v>44844</v>
      </c>
      <c r="I777" s="1">
        <f t="shared" si="76"/>
        <v>44835</v>
      </c>
      <c r="J777">
        <v>1546175.0199999998</v>
      </c>
      <c r="K777">
        <v>82896</v>
      </c>
      <c r="L777">
        <f t="shared" si="72"/>
        <v>18.651985861802739</v>
      </c>
      <c r="M777">
        <v>6908</v>
      </c>
      <c r="N777" s="2">
        <f t="shared" si="77"/>
        <v>223.82383034163286</v>
      </c>
      <c r="O777">
        <v>12</v>
      </c>
    </row>
    <row r="778" spans="1:15" x14ac:dyDescent="0.25">
      <c r="A778" t="s">
        <v>46</v>
      </c>
      <c r="B778" t="s">
        <v>14</v>
      </c>
      <c r="C778" t="s">
        <v>4</v>
      </c>
      <c r="D778" t="str">
        <f t="shared" si="73"/>
        <v>FAB1_Leche Clasica Entera 1 L</v>
      </c>
      <c r="E778">
        <v>2022</v>
      </c>
      <c r="F778">
        <v>42</v>
      </c>
      <c r="G778">
        <f t="shared" si="74"/>
        <v>10</v>
      </c>
      <c r="H778" s="1">
        <f t="shared" si="75"/>
        <v>44851</v>
      </c>
      <c r="I778" s="1">
        <f t="shared" si="76"/>
        <v>44835</v>
      </c>
      <c r="J778">
        <v>1019573.7799999997</v>
      </c>
      <c r="K778">
        <v>52392</v>
      </c>
      <c r="L778">
        <f t="shared" si="72"/>
        <v>19.460485952053741</v>
      </c>
      <c r="M778">
        <v>4366</v>
      </c>
      <c r="N778" s="2">
        <f t="shared" si="77"/>
        <v>233.52583142464491</v>
      </c>
      <c r="O778">
        <v>12</v>
      </c>
    </row>
    <row r="779" spans="1:15" x14ac:dyDescent="0.25">
      <c r="A779" t="s">
        <v>46</v>
      </c>
      <c r="B779" t="s">
        <v>14</v>
      </c>
      <c r="C779" t="s">
        <v>4</v>
      </c>
      <c r="D779" t="str">
        <f t="shared" si="73"/>
        <v>FAB1_Leche Clasica Entera 1 L</v>
      </c>
      <c r="E779">
        <v>2022</v>
      </c>
      <c r="F779">
        <v>43</v>
      </c>
      <c r="G779">
        <f t="shared" si="74"/>
        <v>10</v>
      </c>
      <c r="H779" s="1">
        <f t="shared" si="75"/>
        <v>44858</v>
      </c>
      <c r="I779" s="1">
        <f t="shared" si="76"/>
        <v>44835</v>
      </c>
      <c r="J779">
        <v>663721.27999999991</v>
      </c>
      <c r="K779">
        <v>32220</v>
      </c>
      <c r="L779">
        <f t="shared" si="72"/>
        <v>20.599667287399129</v>
      </c>
      <c r="M779">
        <v>2685</v>
      </c>
      <c r="N779" s="2">
        <f t="shared" si="77"/>
        <v>247.19600744878954</v>
      </c>
      <c r="O779">
        <v>12</v>
      </c>
    </row>
    <row r="780" spans="1:15" x14ac:dyDescent="0.25">
      <c r="A780" t="s">
        <v>46</v>
      </c>
      <c r="B780" t="s">
        <v>14</v>
      </c>
      <c r="C780" t="s">
        <v>4</v>
      </c>
      <c r="D780" t="str">
        <f t="shared" si="73"/>
        <v>FAB1_Leche Clasica Entera 1 L</v>
      </c>
      <c r="E780">
        <v>2022</v>
      </c>
      <c r="F780">
        <v>44</v>
      </c>
      <c r="G780">
        <f t="shared" si="74"/>
        <v>11</v>
      </c>
      <c r="H780" s="1">
        <f t="shared" si="75"/>
        <v>44865</v>
      </c>
      <c r="I780" s="1">
        <f t="shared" si="76"/>
        <v>44866</v>
      </c>
      <c r="J780">
        <v>1255126.7199999997</v>
      </c>
      <c r="K780">
        <v>64812</v>
      </c>
      <c r="L780">
        <f t="shared" si="72"/>
        <v>19.365653274085041</v>
      </c>
      <c r="M780">
        <v>5401</v>
      </c>
      <c r="N780" s="2">
        <f t="shared" si="77"/>
        <v>232.38783928902049</v>
      </c>
      <c r="O780">
        <v>12</v>
      </c>
    </row>
    <row r="781" spans="1:15" x14ac:dyDescent="0.25">
      <c r="A781" t="s">
        <v>46</v>
      </c>
      <c r="B781" t="s">
        <v>14</v>
      </c>
      <c r="C781" t="s">
        <v>4</v>
      </c>
      <c r="D781" t="str">
        <f t="shared" si="73"/>
        <v>FAB1_Leche Clasica Entera 1 L</v>
      </c>
      <c r="E781">
        <v>2022</v>
      </c>
      <c r="F781">
        <v>45</v>
      </c>
      <c r="G781">
        <f t="shared" si="74"/>
        <v>11</v>
      </c>
      <c r="H781" s="1">
        <f t="shared" si="75"/>
        <v>44872</v>
      </c>
      <c r="I781" s="1">
        <f t="shared" si="76"/>
        <v>44866</v>
      </c>
      <c r="J781">
        <v>1374937.6400000001</v>
      </c>
      <c r="K781">
        <v>74304</v>
      </c>
      <c r="L781">
        <f t="shared" si="72"/>
        <v>18.504221037898365</v>
      </c>
      <c r="M781">
        <v>6192</v>
      </c>
      <c r="N781" s="2">
        <f t="shared" si="77"/>
        <v>222.05065245478039</v>
      </c>
      <c r="O781">
        <v>12</v>
      </c>
    </row>
    <row r="782" spans="1:15" x14ac:dyDescent="0.25">
      <c r="A782" t="s">
        <v>46</v>
      </c>
      <c r="B782" t="s">
        <v>14</v>
      </c>
      <c r="C782" t="s">
        <v>4</v>
      </c>
      <c r="D782" t="str">
        <f t="shared" si="73"/>
        <v>FAB1_Leche Clasica Entera 1 L</v>
      </c>
      <c r="E782">
        <v>2022</v>
      </c>
      <c r="F782">
        <v>46</v>
      </c>
      <c r="G782">
        <f t="shared" si="74"/>
        <v>11</v>
      </c>
      <c r="H782" s="1">
        <f t="shared" si="75"/>
        <v>44879</v>
      </c>
      <c r="I782" s="1">
        <f t="shared" si="76"/>
        <v>44866</v>
      </c>
      <c r="J782">
        <v>1060309.3000000005</v>
      </c>
      <c r="K782">
        <v>53676</v>
      </c>
      <c r="L782">
        <f t="shared" si="72"/>
        <v>19.753880691556759</v>
      </c>
      <c r="M782">
        <v>4473</v>
      </c>
      <c r="N782" s="2">
        <f t="shared" si="77"/>
        <v>237.04656829868108</v>
      </c>
      <c r="O782">
        <v>12</v>
      </c>
    </row>
    <row r="783" spans="1:15" x14ac:dyDescent="0.25">
      <c r="A783" t="s">
        <v>46</v>
      </c>
      <c r="B783" t="s">
        <v>14</v>
      </c>
      <c r="C783" t="s">
        <v>4</v>
      </c>
      <c r="D783" t="str">
        <f t="shared" si="73"/>
        <v>FAB1_Leche Clasica Entera 1 L</v>
      </c>
      <c r="E783">
        <v>2022</v>
      </c>
      <c r="F783">
        <v>47</v>
      </c>
      <c r="G783">
        <f t="shared" si="74"/>
        <v>11</v>
      </c>
      <c r="H783" s="1">
        <f t="shared" si="75"/>
        <v>44886</v>
      </c>
      <c r="I783" s="1">
        <f t="shared" si="76"/>
        <v>44866</v>
      </c>
      <c r="J783">
        <v>1038948.2800000006</v>
      </c>
      <c r="K783">
        <v>50928</v>
      </c>
      <c r="L783">
        <f t="shared" si="72"/>
        <v>20.400335375431993</v>
      </c>
      <c r="M783">
        <v>4244</v>
      </c>
      <c r="N783" s="2">
        <f t="shared" si="77"/>
        <v>244.80402450518395</v>
      </c>
      <c r="O783">
        <v>12</v>
      </c>
    </row>
    <row r="784" spans="1:15" x14ac:dyDescent="0.25">
      <c r="A784" t="s">
        <v>46</v>
      </c>
      <c r="B784" t="s">
        <v>14</v>
      </c>
      <c r="C784" t="s">
        <v>4</v>
      </c>
      <c r="D784" t="str">
        <f t="shared" si="73"/>
        <v>FAB1_Leche Clasica Entera 1 L</v>
      </c>
      <c r="E784">
        <v>2022</v>
      </c>
      <c r="F784">
        <v>48</v>
      </c>
      <c r="G784">
        <f t="shared" si="74"/>
        <v>12</v>
      </c>
      <c r="H784" s="1">
        <f t="shared" si="75"/>
        <v>44893</v>
      </c>
      <c r="I784" s="1">
        <f t="shared" si="76"/>
        <v>44896</v>
      </c>
      <c r="J784">
        <v>958297.55</v>
      </c>
      <c r="K784">
        <v>49260</v>
      </c>
      <c r="L784">
        <f t="shared" si="72"/>
        <v>19.453868250101504</v>
      </c>
      <c r="M784">
        <v>4105</v>
      </c>
      <c r="N784" s="2">
        <f t="shared" si="77"/>
        <v>233.44641900121803</v>
      </c>
      <c r="O784">
        <v>12</v>
      </c>
    </row>
    <row r="785" spans="1:15" x14ac:dyDescent="0.25">
      <c r="A785" t="s">
        <v>46</v>
      </c>
      <c r="B785" t="s">
        <v>14</v>
      </c>
      <c r="C785" t="s">
        <v>4</v>
      </c>
      <c r="D785" t="str">
        <f t="shared" si="73"/>
        <v>FAB1_Leche Clasica Entera 1 L</v>
      </c>
      <c r="E785">
        <v>2022</v>
      </c>
      <c r="F785">
        <v>49</v>
      </c>
      <c r="G785">
        <f t="shared" si="74"/>
        <v>12</v>
      </c>
      <c r="H785" s="1">
        <f t="shared" si="75"/>
        <v>44900</v>
      </c>
      <c r="I785" s="1">
        <f t="shared" si="76"/>
        <v>44896</v>
      </c>
      <c r="J785">
        <v>1516051.6400000004</v>
      </c>
      <c r="K785">
        <v>79500</v>
      </c>
      <c r="L785">
        <f t="shared" si="72"/>
        <v>19.06983194968554</v>
      </c>
      <c r="M785">
        <v>6625</v>
      </c>
      <c r="N785" s="2">
        <f t="shared" si="77"/>
        <v>228.83798339622646</v>
      </c>
      <c r="O785">
        <v>12</v>
      </c>
    </row>
    <row r="786" spans="1:15" x14ac:dyDescent="0.25">
      <c r="A786" t="s">
        <v>46</v>
      </c>
      <c r="B786" t="s">
        <v>14</v>
      </c>
      <c r="C786" t="s">
        <v>4</v>
      </c>
      <c r="D786" t="str">
        <f t="shared" si="73"/>
        <v>FAB1_Leche Clasica Entera 1 L</v>
      </c>
      <c r="E786">
        <v>2022</v>
      </c>
      <c r="F786">
        <v>50</v>
      </c>
      <c r="G786">
        <f t="shared" si="74"/>
        <v>12</v>
      </c>
      <c r="H786" s="1">
        <f t="shared" si="75"/>
        <v>44907</v>
      </c>
      <c r="I786" s="1">
        <f t="shared" si="76"/>
        <v>44896</v>
      </c>
      <c r="J786">
        <v>5563644.7499999991</v>
      </c>
      <c r="K786">
        <v>309708</v>
      </c>
      <c r="L786">
        <f t="shared" si="72"/>
        <v>17.964162210856674</v>
      </c>
      <c r="M786">
        <v>25809</v>
      </c>
      <c r="N786" s="2">
        <f t="shared" si="77"/>
        <v>215.56994653028011</v>
      </c>
      <c r="O786">
        <v>12</v>
      </c>
    </row>
    <row r="787" spans="1:15" x14ac:dyDescent="0.25">
      <c r="A787" t="s">
        <v>46</v>
      </c>
      <c r="B787" t="s">
        <v>14</v>
      </c>
      <c r="C787" t="s">
        <v>4</v>
      </c>
      <c r="D787" t="str">
        <f t="shared" si="73"/>
        <v>FAB1_Leche Clasica Entera 1 L</v>
      </c>
      <c r="E787">
        <v>2022</v>
      </c>
      <c r="F787">
        <v>51</v>
      </c>
      <c r="G787">
        <f t="shared" si="74"/>
        <v>12</v>
      </c>
      <c r="H787" s="1">
        <f t="shared" si="75"/>
        <v>44914</v>
      </c>
      <c r="I787" s="1">
        <f t="shared" si="76"/>
        <v>44896</v>
      </c>
      <c r="J787">
        <v>1388710.8000000003</v>
      </c>
      <c r="K787">
        <v>73776</v>
      </c>
      <c r="L787">
        <f t="shared" si="72"/>
        <v>18.823340923877687</v>
      </c>
      <c r="M787">
        <v>6148</v>
      </c>
      <c r="N787" s="2">
        <f t="shared" si="77"/>
        <v>225.88009108653225</v>
      </c>
      <c r="O787">
        <v>12</v>
      </c>
    </row>
    <row r="788" spans="1:15" x14ac:dyDescent="0.25">
      <c r="A788" t="s">
        <v>46</v>
      </c>
      <c r="B788" t="s">
        <v>14</v>
      </c>
      <c r="C788" t="s">
        <v>4</v>
      </c>
      <c r="D788" t="str">
        <f t="shared" si="73"/>
        <v>FAB1_Leche Clasica Entera 1 L</v>
      </c>
      <c r="E788">
        <v>2022</v>
      </c>
      <c r="F788">
        <v>52</v>
      </c>
      <c r="G788">
        <f t="shared" si="74"/>
        <v>12</v>
      </c>
      <c r="H788" s="1">
        <f t="shared" si="75"/>
        <v>44921</v>
      </c>
      <c r="I788" s="1">
        <f t="shared" si="76"/>
        <v>44896</v>
      </c>
      <c r="J788">
        <v>874631.64999999979</v>
      </c>
      <c r="K788">
        <v>44604</v>
      </c>
      <c r="L788">
        <f t="shared" si="72"/>
        <v>19.608816473858841</v>
      </c>
      <c r="M788">
        <v>3717</v>
      </c>
      <c r="N788" s="2">
        <f t="shared" si="77"/>
        <v>235.30579768630611</v>
      </c>
      <c r="O788">
        <v>12</v>
      </c>
    </row>
    <row r="789" spans="1:15" x14ac:dyDescent="0.25">
      <c r="A789" t="s">
        <v>46</v>
      </c>
      <c r="B789" t="s">
        <v>14</v>
      </c>
      <c r="C789" t="s">
        <v>4</v>
      </c>
      <c r="D789" t="str">
        <f t="shared" si="73"/>
        <v>FAB1_Leche Clasica Entera 1 L</v>
      </c>
      <c r="E789">
        <v>2023</v>
      </c>
      <c r="F789">
        <v>1</v>
      </c>
      <c r="G789">
        <f t="shared" si="74"/>
        <v>1</v>
      </c>
      <c r="H789" s="1">
        <f t="shared" si="75"/>
        <v>44928</v>
      </c>
      <c r="I789" s="1">
        <f t="shared" si="76"/>
        <v>44927</v>
      </c>
      <c r="J789">
        <v>859869.12000000034</v>
      </c>
      <c r="K789">
        <v>42624</v>
      </c>
      <c r="L789">
        <f t="shared" si="72"/>
        <v>20.173355855855863</v>
      </c>
      <c r="M789">
        <v>3552</v>
      </c>
      <c r="N789" s="2">
        <f t="shared" si="77"/>
        <v>242.08027027027038</v>
      </c>
      <c r="O789">
        <v>12</v>
      </c>
    </row>
    <row r="790" spans="1:15" x14ac:dyDescent="0.25">
      <c r="A790" t="s">
        <v>46</v>
      </c>
      <c r="B790" t="s">
        <v>14</v>
      </c>
      <c r="C790" t="s">
        <v>4</v>
      </c>
      <c r="D790" t="str">
        <f t="shared" si="73"/>
        <v>FAB1_Leche Clasica Entera 1 L</v>
      </c>
      <c r="E790">
        <v>2023</v>
      </c>
      <c r="F790">
        <v>2</v>
      </c>
      <c r="G790">
        <f t="shared" si="74"/>
        <v>1</v>
      </c>
      <c r="H790" s="1">
        <f t="shared" si="75"/>
        <v>44935</v>
      </c>
      <c r="I790" s="1">
        <f t="shared" si="76"/>
        <v>44927</v>
      </c>
      <c r="J790">
        <v>1106329.8099999996</v>
      </c>
      <c r="K790">
        <v>58968</v>
      </c>
      <c r="L790">
        <f t="shared" si="72"/>
        <v>18.761528456111783</v>
      </c>
      <c r="M790">
        <v>4914</v>
      </c>
      <c r="N790" s="2">
        <f t="shared" si="77"/>
        <v>225.1383414733414</v>
      </c>
      <c r="O790">
        <v>12</v>
      </c>
    </row>
    <row r="791" spans="1:15" x14ac:dyDescent="0.25">
      <c r="A791" t="s">
        <v>46</v>
      </c>
      <c r="B791" t="s">
        <v>14</v>
      </c>
      <c r="C791" t="s">
        <v>4</v>
      </c>
      <c r="D791" t="str">
        <f t="shared" si="73"/>
        <v>FAB1_Leche Clasica Entera 1 L</v>
      </c>
      <c r="E791">
        <v>2023</v>
      </c>
      <c r="F791">
        <v>3</v>
      </c>
      <c r="G791">
        <f t="shared" si="74"/>
        <v>1</v>
      </c>
      <c r="H791" s="1">
        <f t="shared" si="75"/>
        <v>44942</v>
      </c>
      <c r="I791" s="1">
        <f t="shared" si="76"/>
        <v>44927</v>
      </c>
      <c r="J791">
        <v>1813452.73</v>
      </c>
      <c r="K791">
        <v>99516</v>
      </c>
      <c r="L791">
        <f t="shared" si="72"/>
        <v>18.222725290405563</v>
      </c>
      <c r="M791">
        <v>8293</v>
      </c>
      <c r="N791" s="2">
        <f t="shared" si="77"/>
        <v>218.67270348486676</v>
      </c>
      <c r="O791">
        <v>12</v>
      </c>
    </row>
    <row r="792" spans="1:15" x14ac:dyDescent="0.25">
      <c r="A792" t="s">
        <v>46</v>
      </c>
      <c r="B792" t="s">
        <v>14</v>
      </c>
      <c r="C792" t="s">
        <v>4</v>
      </c>
      <c r="D792" t="str">
        <f t="shared" si="73"/>
        <v>FAB1_Leche Clasica Entera 1 L</v>
      </c>
      <c r="E792">
        <v>2023</v>
      </c>
      <c r="F792">
        <v>4</v>
      </c>
      <c r="G792">
        <f t="shared" si="74"/>
        <v>1</v>
      </c>
      <c r="H792" s="1">
        <f t="shared" si="75"/>
        <v>44949</v>
      </c>
      <c r="I792" s="1">
        <f t="shared" si="76"/>
        <v>44927</v>
      </c>
      <c r="J792">
        <v>1824787.1099999994</v>
      </c>
      <c r="K792">
        <v>101328</v>
      </c>
      <c r="L792">
        <f t="shared" si="72"/>
        <v>18.008715360018943</v>
      </c>
      <c r="M792">
        <v>8444</v>
      </c>
      <c r="N792" s="2">
        <f t="shared" si="77"/>
        <v>216.1045843202273</v>
      </c>
      <c r="O792">
        <v>12</v>
      </c>
    </row>
    <row r="793" spans="1:15" x14ac:dyDescent="0.25">
      <c r="A793" t="s">
        <v>46</v>
      </c>
      <c r="B793" t="s">
        <v>14</v>
      </c>
      <c r="C793" t="s">
        <v>4</v>
      </c>
      <c r="D793" t="str">
        <f t="shared" si="73"/>
        <v>FAB1_Leche Clasica Entera 1 L</v>
      </c>
      <c r="E793">
        <v>2023</v>
      </c>
      <c r="F793">
        <v>5</v>
      </c>
      <c r="G793">
        <f t="shared" si="74"/>
        <v>2</v>
      </c>
      <c r="H793" s="1">
        <f t="shared" si="75"/>
        <v>44956</v>
      </c>
      <c r="I793" s="1">
        <f t="shared" si="76"/>
        <v>44958</v>
      </c>
      <c r="J793">
        <v>849912.92999999982</v>
      </c>
      <c r="K793">
        <v>42420</v>
      </c>
      <c r="L793">
        <f t="shared" si="72"/>
        <v>20.035665487977365</v>
      </c>
      <c r="M793">
        <v>3535</v>
      </c>
      <c r="N793" s="2">
        <f t="shared" si="77"/>
        <v>240.42798585572837</v>
      </c>
      <c r="O793">
        <v>12</v>
      </c>
    </row>
    <row r="794" spans="1:15" x14ac:dyDescent="0.25">
      <c r="A794" t="s">
        <v>46</v>
      </c>
      <c r="B794" t="s">
        <v>14</v>
      </c>
      <c r="C794" t="s">
        <v>4</v>
      </c>
      <c r="D794" t="str">
        <f t="shared" si="73"/>
        <v>FAB1_Leche Clasica Entera 1 L</v>
      </c>
      <c r="E794">
        <v>2023</v>
      </c>
      <c r="F794">
        <v>6</v>
      </c>
      <c r="G794">
        <f t="shared" si="74"/>
        <v>2</v>
      </c>
      <c r="H794" s="1">
        <f t="shared" si="75"/>
        <v>44963</v>
      </c>
      <c r="I794" s="1">
        <f t="shared" si="76"/>
        <v>44958</v>
      </c>
      <c r="J794">
        <v>813787.1</v>
      </c>
      <c r="K794">
        <v>41484</v>
      </c>
      <c r="L794">
        <f t="shared" si="72"/>
        <v>19.61689084948414</v>
      </c>
      <c r="M794">
        <v>3457</v>
      </c>
      <c r="N794" s="2">
        <f t="shared" si="77"/>
        <v>235.40269019380966</v>
      </c>
      <c r="O794">
        <v>12</v>
      </c>
    </row>
    <row r="795" spans="1:15" x14ac:dyDescent="0.25">
      <c r="A795" t="s">
        <v>46</v>
      </c>
      <c r="B795" t="s">
        <v>14</v>
      </c>
      <c r="C795" t="s">
        <v>4</v>
      </c>
      <c r="D795" t="str">
        <f t="shared" si="73"/>
        <v>FAB1_Leche Clasica Entera 1 L</v>
      </c>
      <c r="E795">
        <v>2023</v>
      </c>
      <c r="F795">
        <v>7</v>
      </c>
      <c r="G795">
        <f t="shared" si="74"/>
        <v>2</v>
      </c>
      <c r="H795" s="1">
        <f t="shared" si="75"/>
        <v>44970</v>
      </c>
      <c r="I795" s="1">
        <f t="shared" si="76"/>
        <v>44958</v>
      </c>
      <c r="J795">
        <v>3637063.4499999993</v>
      </c>
      <c r="K795">
        <v>208872</v>
      </c>
      <c r="L795">
        <f t="shared" si="72"/>
        <v>17.41288181278486</v>
      </c>
      <c r="M795">
        <v>17406</v>
      </c>
      <c r="N795" s="2">
        <f t="shared" si="77"/>
        <v>208.95458175341832</v>
      </c>
      <c r="O795">
        <v>12</v>
      </c>
    </row>
    <row r="796" spans="1:15" x14ac:dyDescent="0.25">
      <c r="A796" t="s">
        <v>46</v>
      </c>
      <c r="B796" t="s">
        <v>14</v>
      </c>
      <c r="C796" t="s">
        <v>4</v>
      </c>
      <c r="D796" t="str">
        <f t="shared" si="73"/>
        <v>FAB1_Leche Clasica Entera 1 L</v>
      </c>
      <c r="E796">
        <v>2023</v>
      </c>
      <c r="F796">
        <v>8</v>
      </c>
      <c r="G796">
        <f t="shared" si="74"/>
        <v>2</v>
      </c>
      <c r="H796" s="1">
        <f t="shared" si="75"/>
        <v>44977</v>
      </c>
      <c r="I796" s="1">
        <f t="shared" si="76"/>
        <v>44958</v>
      </c>
      <c r="J796">
        <v>596643.22</v>
      </c>
      <c r="K796">
        <v>30372</v>
      </c>
      <c r="L796">
        <f t="shared" si="72"/>
        <v>19.644515343079149</v>
      </c>
      <c r="M796">
        <v>2531</v>
      </c>
      <c r="N796" s="2">
        <f t="shared" si="77"/>
        <v>235.73418411694982</v>
      </c>
      <c r="O796">
        <v>12</v>
      </c>
    </row>
    <row r="797" spans="1:15" x14ac:dyDescent="0.25">
      <c r="A797" t="s">
        <v>46</v>
      </c>
      <c r="B797" t="s">
        <v>14</v>
      </c>
      <c r="C797" t="s">
        <v>4</v>
      </c>
      <c r="D797" t="str">
        <f t="shared" si="73"/>
        <v>FAB1_Leche Clasica Entera 1 L</v>
      </c>
      <c r="E797">
        <v>2023</v>
      </c>
      <c r="F797">
        <v>9</v>
      </c>
      <c r="G797">
        <f t="shared" si="74"/>
        <v>3</v>
      </c>
      <c r="H797" s="1">
        <f t="shared" si="75"/>
        <v>44984</v>
      </c>
      <c r="I797" s="1">
        <f t="shared" si="76"/>
        <v>44986</v>
      </c>
      <c r="J797">
        <v>777471.07000000007</v>
      </c>
      <c r="K797">
        <v>40464</v>
      </c>
      <c r="L797">
        <f t="shared" si="72"/>
        <v>19.213895561486755</v>
      </c>
      <c r="M797">
        <v>3372</v>
      </c>
      <c r="N797" s="2">
        <f t="shared" si="77"/>
        <v>230.56674673784107</v>
      </c>
      <c r="O797">
        <v>12</v>
      </c>
    </row>
    <row r="798" spans="1:15" x14ac:dyDescent="0.25">
      <c r="A798" t="s">
        <v>46</v>
      </c>
      <c r="B798" t="s">
        <v>14</v>
      </c>
      <c r="C798" t="s">
        <v>4</v>
      </c>
      <c r="D798" t="str">
        <f t="shared" si="73"/>
        <v>FAB1_Leche Clasica Entera 1 L</v>
      </c>
      <c r="E798">
        <v>2023</v>
      </c>
      <c r="F798">
        <v>10</v>
      </c>
      <c r="G798">
        <f t="shared" si="74"/>
        <v>3</v>
      </c>
      <c r="H798" s="1">
        <f t="shared" si="75"/>
        <v>44991</v>
      </c>
      <c r="I798" s="1">
        <f t="shared" si="76"/>
        <v>44986</v>
      </c>
      <c r="J798">
        <v>860745.14999999991</v>
      </c>
      <c r="K798">
        <v>45804</v>
      </c>
      <c r="L798">
        <f t="shared" si="72"/>
        <v>18.791921011265391</v>
      </c>
      <c r="M798">
        <v>3817</v>
      </c>
      <c r="N798" s="2">
        <f t="shared" si="77"/>
        <v>225.50305213518467</v>
      </c>
      <c r="O798">
        <v>12</v>
      </c>
    </row>
    <row r="799" spans="1:15" x14ac:dyDescent="0.25">
      <c r="A799" t="s">
        <v>46</v>
      </c>
      <c r="B799" t="s">
        <v>14</v>
      </c>
      <c r="C799" t="s">
        <v>4</v>
      </c>
      <c r="D799" t="str">
        <f t="shared" si="73"/>
        <v>FAB1_Leche Clasica Entera 1 L</v>
      </c>
      <c r="E799">
        <v>2023</v>
      </c>
      <c r="F799">
        <v>11</v>
      </c>
      <c r="G799">
        <f t="shared" si="74"/>
        <v>3</v>
      </c>
      <c r="H799" s="1">
        <f t="shared" si="75"/>
        <v>44998</v>
      </c>
      <c r="I799" s="1">
        <f t="shared" si="76"/>
        <v>44986</v>
      </c>
      <c r="J799">
        <v>1495029.79</v>
      </c>
      <c r="K799">
        <v>80892</v>
      </c>
      <c r="L799">
        <f t="shared" si="72"/>
        <v>18.481800301636749</v>
      </c>
      <c r="M799">
        <v>6741</v>
      </c>
      <c r="N799" s="2">
        <f t="shared" si="77"/>
        <v>221.781603619641</v>
      </c>
      <c r="O799">
        <v>12</v>
      </c>
    </row>
    <row r="800" spans="1:15" x14ac:dyDescent="0.25">
      <c r="A800" t="s">
        <v>46</v>
      </c>
      <c r="B800" t="s">
        <v>14</v>
      </c>
      <c r="C800" t="s">
        <v>4</v>
      </c>
      <c r="D800" t="str">
        <f t="shared" si="73"/>
        <v>FAB1_Leche Clasica Entera 1 L</v>
      </c>
      <c r="E800">
        <v>2023</v>
      </c>
      <c r="F800">
        <v>12</v>
      </c>
      <c r="G800">
        <f t="shared" si="74"/>
        <v>3</v>
      </c>
      <c r="H800" s="1">
        <f t="shared" si="75"/>
        <v>45005</v>
      </c>
      <c r="I800" s="1">
        <f t="shared" si="76"/>
        <v>44986</v>
      </c>
      <c r="J800">
        <v>2228834.7299999995</v>
      </c>
      <c r="K800">
        <v>122664</v>
      </c>
      <c r="L800">
        <f t="shared" si="72"/>
        <v>18.170243347681467</v>
      </c>
      <c r="M800">
        <v>10222</v>
      </c>
      <c r="N800" s="2">
        <f t="shared" si="77"/>
        <v>218.04292017217762</v>
      </c>
      <c r="O800">
        <v>12</v>
      </c>
    </row>
    <row r="801" spans="1:15" x14ac:dyDescent="0.25">
      <c r="A801" t="s">
        <v>46</v>
      </c>
      <c r="B801" t="s">
        <v>14</v>
      </c>
      <c r="C801" t="s">
        <v>4</v>
      </c>
      <c r="D801" t="str">
        <f t="shared" si="73"/>
        <v>FAB1_Leche Clasica Entera 1 L</v>
      </c>
      <c r="E801">
        <v>2023</v>
      </c>
      <c r="F801">
        <v>13</v>
      </c>
      <c r="G801">
        <f t="shared" si="74"/>
        <v>3</v>
      </c>
      <c r="H801" s="1">
        <f t="shared" si="75"/>
        <v>45012</v>
      </c>
      <c r="I801" s="1">
        <f t="shared" si="76"/>
        <v>44986</v>
      </c>
      <c r="J801">
        <v>1059581.3500000003</v>
      </c>
      <c r="K801">
        <v>56040</v>
      </c>
      <c r="L801">
        <f t="shared" si="72"/>
        <v>18.907590114204147</v>
      </c>
      <c r="M801">
        <v>4670</v>
      </c>
      <c r="N801" s="2">
        <f t="shared" si="77"/>
        <v>226.89108137044974</v>
      </c>
      <c r="O801">
        <v>12</v>
      </c>
    </row>
    <row r="802" spans="1:15" x14ac:dyDescent="0.25">
      <c r="A802" t="s">
        <v>46</v>
      </c>
      <c r="B802" t="s">
        <v>14</v>
      </c>
      <c r="C802" t="s">
        <v>4</v>
      </c>
      <c r="D802" t="str">
        <f t="shared" si="73"/>
        <v>FAB1_Leche Clasica Entera 1 L</v>
      </c>
      <c r="E802">
        <v>2023</v>
      </c>
      <c r="F802">
        <v>14</v>
      </c>
      <c r="G802">
        <f t="shared" si="74"/>
        <v>4</v>
      </c>
      <c r="H802" s="1">
        <f t="shared" si="75"/>
        <v>45019</v>
      </c>
      <c r="I802" s="1">
        <f t="shared" si="76"/>
        <v>45017</v>
      </c>
      <c r="J802">
        <v>1602066.929999999</v>
      </c>
      <c r="K802">
        <v>87432</v>
      </c>
      <c r="L802">
        <f t="shared" si="72"/>
        <v>18.323576379357661</v>
      </c>
      <c r="M802">
        <v>7286</v>
      </c>
      <c r="N802" s="2">
        <f t="shared" si="77"/>
        <v>219.88291655229193</v>
      </c>
      <c r="O802">
        <v>12</v>
      </c>
    </row>
    <row r="803" spans="1:15" x14ac:dyDescent="0.25">
      <c r="A803" t="s">
        <v>46</v>
      </c>
      <c r="B803" t="s">
        <v>14</v>
      </c>
      <c r="C803" t="s">
        <v>4</v>
      </c>
      <c r="D803" t="str">
        <f t="shared" si="73"/>
        <v>FAB1_Leche Clasica Entera 1 L</v>
      </c>
      <c r="E803">
        <v>2023</v>
      </c>
      <c r="F803">
        <v>15</v>
      </c>
      <c r="G803">
        <f t="shared" si="74"/>
        <v>4</v>
      </c>
      <c r="H803" s="1">
        <f t="shared" si="75"/>
        <v>45026</v>
      </c>
      <c r="I803" s="1">
        <f t="shared" si="76"/>
        <v>45017</v>
      </c>
      <c r="J803">
        <v>2000859.7399999995</v>
      </c>
      <c r="K803">
        <v>113604</v>
      </c>
      <c r="L803">
        <f t="shared" si="72"/>
        <v>17.612581775289598</v>
      </c>
      <c r="M803">
        <v>9467</v>
      </c>
      <c r="N803" s="2">
        <f t="shared" si="77"/>
        <v>211.35098130347518</v>
      </c>
      <c r="O803">
        <v>12</v>
      </c>
    </row>
    <row r="804" spans="1:15" x14ac:dyDescent="0.25">
      <c r="A804" t="s">
        <v>46</v>
      </c>
      <c r="B804" t="s">
        <v>14</v>
      </c>
      <c r="C804" t="s">
        <v>4</v>
      </c>
      <c r="D804" t="str">
        <f t="shared" si="73"/>
        <v>FAB1_Leche Clasica Entera 1 L</v>
      </c>
      <c r="E804">
        <v>2023</v>
      </c>
      <c r="F804">
        <v>16</v>
      </c>
      <c r="G804">
        <f t="shared" si="74"/>
        <v>4</v>
      </c>
      <c r="H804" s="1">
        <f t="shared" si="75"/>
        <v>45033</v>
      </c>
      <c r="I804" s="1">
        <f t="shared" si="76"/>
        <v>45017</v>
      </c>
      <c r="J804">
        <v>843547.44000000041</v>
      </c>
      <c r="K804">
        <v>44916</v>
      </c>
      <c r="L804">
        <f t="shared" si="72"/>
        <v>18.780555703980774</v>
      </c>
      <c r="M804">
        <v>3743</v>
      </c>
      <c r="N804" s="2">
        <f t="shared" si="77"/>
        <v>225.36666844776929</v>
      </c>
      <c r="O804">
        <v>12</v>
      </c>
    </row>
    <row r="805" spans="1:15" x14ac:dyDescent="0.25">
      <c r="A805" t="s">
        <v>46</v>
      </c>
      <c r="B805" t="s">
        <v>14</v>
      </c>
      <c r="C805" t="s">
        <v>4</v>
      </c>
      <c r="D805" t="str">
        <f t="shared" si="73"/>
        <v>FAB1_Leche Clasica Entera 1 L</v>
      </c>
      <c r="E805">
        <v>2023</v>
      </c>
      <c r="F805">
        <v>17</v>
      </c>
      <c r="G805">
        <f t="shared" si="74"/>
        <v>4</v>
      </c>
      <c r="H805" s="1">
        <f t="shared" si="75"/>
        <v>45040</v>
      </c>
      <c r="I805" s="1">
        <f t="shared" si="76"/>
        <v>45017</v>
      </c>
      <c r="J805">
        <v>4399966.6399999978</v>
      </c>
      <c r="K805">
        <v>256836</v>
      </c>
      <c r="L805">
        <f t="shared" si="72"/>
        <v>17.131424878132339</v>
      </c>
      <c r="M805">
        <v>21403</v>
      </c>
      <c r="N805" s="2">
        <f t="shared" si="77"/>
        <v>205.57709853758809</v>
      </c>
      <c r="O805">
        <v>12</v>
      </c>
    </row>
    <row r="806" spans="1:15" x14ac:dyDescent="0.25">
      <c r="A806" t="s">
        <v>46</v>
      </c>
      <c r="B806" t="s">
        <v>14</v>
      </c>
      <c r="C806" t="s">
        <v>4</v>
      </c>
      <c r="D806" t="str">
        <f t="shared" si="73"/>
        <v>FAB1_Leche Clasica Entera 1 L</v>
      </c>
      <c r="E806">
        <v>2023</v>
      </c>
      <c r="F806">
        <v>18</v>
      </c>
      <c r="G806">
        <f t="shared" si="74"/>
        <v>5</v>
      </c>
      <c r="H806" s="1">
        <f t="shared" si="75"/>
        <v>45047</v>
      </c>
      <c r="I806" s="1">
        <f t="shared" si="76"/>
        <v>45047</v>
      </c>
      <c r="J806">
        <v>1906072.4900000009</v>
      </c>
      <c r="K806">
        <v>104280</v>
      </c>
      <c r="L806">
        <f t="shared" si="72"/>
        <v>18.278408995013436</v>
      </c>
      <c r="M806">
        <v>8690</v>
      </c>
      <c r="N806" s="2">
        <f t="shared" si="77"/>
        <v>219.3409079401612</v>
      </c>
      <c r="O806">
        <v>12</v>
      </c>
    </row>
    <row r="807" spans="1:15" x14ac:dyDescent="0.25">
      <c r="A807" t="s">
        <v>46</v>
      </c>
      <c r="B807" t="s">
        <v>14</v>
      </c>
      <c r="C807" t="s">
        <v>4</v>
      </c>
      <c r="D807" t="str">
        <f t="shared" si="73"/>
        <v>FAB1_Leche Clasica Entera 1 L</v>
      </c>
      <c r="E807">
        <v>2023</v>
      </c>
      <c r="F807">
        <v>19</v>
      </c>
      <c r="G807">
        <f t="shared" si="74"/>
        <v>5</v>
      </c>
      <c r="H807" s="1">
        <f t="shared" si="75"/>
        <v>45054</v>
      </c>
      <c r="I807" s="1">
        <f t="shared" si="76"/>
        <v>45047</v>
      </c>
      <c r="J807">
        <v>678292.44</v>
      </c>
      <c r="K807">
        <v>35940</v>
      </c>
      <c r="L807">
        <f t="shared" si="72"/>
        <v>18.872911519198663</v>
      </c>
      <c r="M807">
        <v>2995</v>
      </c>
      <c r="N807" s="2">
        <f t="shared" si="77"/>
        <v>226.47493823038394</v>
      </c>
      <c r="O807">
        <v>12</v>
      </c>
    </row>
    <row r="808" spans="1:15" x14ac:dyDescent="0.25">
      <c r="A808" t="s">
        <v>46</v>
      </c>
      <c r="B808" t="s">
        <v>14</v>
      </c>
      <c r="C808" t="s">
        <v>4</v>
      </c>
      <c r="D808" t="str">
        <f t="shared" si="73"/>
        <v>FAB1_Leche Clasica Entera 1 L</v>
      </c>
      <c r="E808">
        <v>2023</v>
      </c>
      <c r="F808">
        <v>20</v>
      </c>
      <c r="G808">
        <f t="shared" si="74"/>
        <v>5</v>
      </c>
      <c r="H808" s="1">
        <f t="shared" si="75"/>
        <v>45061</v>
      </c>
      <c r="I808" s="1">
        <f t="shared" si="76"/>
        <v>45047</v>
      </c>
      <c r="J808">
        <v>1161872.4699999997</v>
      </c>
      <c r="K808">
        <v>63564</v>
      </c>
      <c r="L808">
        <f t="shared" si="72"/>
        <v>18.278781543011764</v>
      </c>
      <c r="M808">
        <v>5297</v>
      </c>
      <c r="N808" s="2">
        <f t="shared" si="77"/>
        <v>219.34537851614115</v>
      </c>
      <c r="O808">
        <v>12</v>
      </c>
    </row>
    <row r="809" spans="1:15" x14ac:dyDescent="0.25">
      <c r="A809" t="s">
        <v>46</v>
      </c>
      <c r="B809" t="s">
        <v>14</v>
      </c>
      <c r="C809" t="s">
        <v>4</v>
      </c>
      <c r="D809" t="str">
        <f t="shared" si="73"/>
        <v>FAB1_Leche Clasica Entera 1 L</v>
      </c>
      <c r="E809">
        <v>2023</v>
      </c>
      <c r="F809">
        <v>21</v>
      </c>
      <c r="G809">
        <f t="shared" si="74"/>
        <v>5</v>
      </c>
      <c r="H809" s="1">
        <f t="shared" si="75"/>
        <v>45068</v>
      </c>
      <c r="I809" s="1">
        <f t="shared" si="76"/>
        <v>45047</v>
      </c>
      <c r="J809">
        <v>2057075.1600000008</v>
      </c>
      <c r="K809">
        <v>116472</v>
      </c>
      <c r="L809">
        <f t="shared" si="72"/>
        <v>17.661542344941282</v>
      </c>
      <c r="M809">
        <v>9706</v>
      </c>
      <c r="N809" s="2">
        <f t="shared" si="77"/>
        <v>211.93850813929538</v>
      </c>
      <c r="O809">
        <v>12</v>
      </c>
    </row>
    <row r="810" spans="1:15" x14ac:dyDescent="0.25">
      <c r="A810" t="s">
        <v>46</v>
      </c>
      <c r="B810" t="s">
        <v>14</v>
      </c>
      <c r="C810" t="s">
        <v>4</v>
      </c>
      <c r="D810" t="str">
        <f t="shared" si="73"/>
        <v>FAB1_Leche Clasica Entera 1 L</v>
      </c>
      <c r="E810">
        <v>2023</v>
      </c>
      <c r="F810">
        <v>22</v>
      </c>
      <c r="G810">
        <f t="shared" si="74"/>
        <v>6</v>
      </c>
      <c r="H810" s="1">
        <f t="shared" si="75"/>
        <v>45075</v>
      </c>
      <c r="I810" s="1">
        <f t="shared" si="76"/>
        <v>45078</v>
      </c>
      <c r="J810">
        <v>1317914.2100000007</v>
      </c>
      <c r="K810">
        <v>72180</v>
      </c>
      <c r="L810">
        <f t="shared" si="72"/>
        <v>18.258717234691058</v>
      </c>
      <c r="M810">
        <v>6015</v>
      </c>
      <c r="N810" s="2">
        <f t="shared" si="77"/>
        <v>219.10460681629272</v>
      </c>
      <c r="O810">
        <v>12</v>
      </c>
    </row>
    <row r="811" spans="1:15" x14ac:dyDescent="0.25">
      <c r="A811" t="s">
        <v>46</v>
      </c>
      <c r="B811" t="s">
        <v>14</v>
      </c>
      <c r="C811" t="s">
        <v>4</v>
      </c>
      <c r="D811" t="str">
        <f t="shared" si="73"/>
        <v>FAB1_Leche Clasica Entera 1 L</v>
      </c>
      <c r="E811">
        <v>2023</v>
      </c>
      <c r="F811">
        <v>23</v>
      </c>
      <c r="G811">
        <f t="shared" si="74"/>
        <v>6</v>
      </c>
      <c r="H811" s="1">
        <f t="shared" si="75"/>
        <v>45082</v>
      </c>
      <c r="I811" s="1">
        <f t="shared" si="76"/>
        <v>45078</v>
      </c>
      <c r="J811">
        <v>852603.82000000018</v>
      </c>
      <c r="K811">
        <v>44796</v>
      </c>
      <c r="L811">
        <f t="shared" si="72"/>
        <v>19.033034645950536</v>
      </c>
      <c r="M811">
        <v>3733</v>
      </c>
      <c r="N811" s="2">
        <f t="shared" si="77"/>
        <v>228.39641575140644</v>
      </c>
      <c r="O811">
        <v>12</v>
      </c>
    </row>
    <row r="812" spans="1:15" x14ac:dyDescent="0.25">
      <c r="A812" t="s">
        <v>46</v>
      </c>
      <c r="B812" t="s">
        <v>14</v>
      </c>
      <c r="C812" t="s">
        <v>4</v>
      </c>
      <c r="D812" t="str">
        <f t="shared" si="73"/>
        <v>FAB1_Leche Clasica Entera 1 L</v>
      </c>
      <c r="E812">
        <v>2023</v>
      </c>
      <c r="F812">
        <v>24</v>
      </c>
      <c r="G812">
        <f t="shared" si="74"/>
        <v>6</v>
      </c>
      <c r="H812" s="1">
        <f t="shared" si="75"/>
        <v>45089</v>
      </c>
      <c r="I812" s="1">
        <f t="shared" si="76"/>
        <v>45078</v>
      </c>
      <c r="J812">
        <v>1755690.7100000011</v>
      </c>
      <c r="K812">
        <v>97596</v>
      </c>
      <c r="L812">
        <f t="shared" si="72"/>
        <v>17.989371593098088</v>
      </c>
      <c r="M812">
        <v>8133</v>
      </c>
      <c r="N812" s="2">
        <f t="shared" si="77"/>
        <v>215.87245911717707</v>
      </c>
      <c r="O812">
        <v>12</v>
      </c>
    </row>
    <row r="813" spans="1:15" x14ac:dyDescent="0.25">
      <c r="A813" t="s">
        <v>46</v>
      </c>
      <c r="B813" t="s">
        <v>14</v>
      </c>
      <c r="C813" t="s">
        <v>4</v>
      </c>
      <c r="D813" t="str">
        <f t="shared" si="73"/>
        <v>FAB1_Leche Clasica Entera 1 L</v>
      </c>
      <c r="E813">
        <v>2023</v>
      </c>
      <c r="F813">
        <v>25</v>
      </c>
      <c r="G813">
        <f t="shared" si="74"/>
        <v>6</v>
      </c>
      <c r="H813" s="1">
        <f t="shared" si="75"/>
        <v>45096</v>
      </c>
      <c r="I813" s="1">
        <f t="shared" si="76"/>
        <v>45078</v>
      </c>
      <c r="J813">
        <v>1357688.45</v>
      </c>
      <c r="K813">
        <v>75264</v>
      </c>
      <c r="L813">
        <f t="shared" si="72"/>
        <v>18.039015332695577</v>
      </c>
      <c r="M813">
        <v>6272</v>
      </c>
      <c r="N813" s="2">
        <f t="shared" si="77"/>
        <v>216.46818399234692</v>
      </c>
      <c r="O813">
        <v>12</v>
      </c>
    </row>
    <row r="814" spans="1:15" x14ac:dyDescent="0.25">
      <c r="A814" t="s">
        <v>46</v>
      </c>
      <c r="B814" t="s">
        <v>14</v>
      </c>
      <c r="C814" t="s">
        <v>4</v>
      </c>
      <c r="D814" t="str">
        <f t="shared" si="73"/>
        <v>FAB1_Leche Clasica Entera 1 L</v>
      </c>
      <c r="E814">
        <v>2023</v>
      </c>
      <c r="F814">
        <v>26</v>
      </c>
      <c r="G814">
        <f t="shared" si="74"/>
        <v>6</v>
      </c>
      <c r="H814" s="1">
        <f t="shared" si="75"/>
        <v>45103</v>
      </c>
      <c r="I814" s="1">
        <f t="shared" si="76"/>
        <v>45078</v>
      </c>
      <c r="J814">
        <v>1100031.7</v>
      </c>
      <c r="K814">
        <v>60516</v>
      </c>
      <c r="L814">
        <f t="shared" si="72"/>
        <v>18.177534866812081</v>
      </c>
      <c r="M814">
        <v>5043</v>
      </c>
      <c r="N814" s="2">
        <f t="shared" si="77"/>
        <v>218.13041840174498</v>
      </c>
      <c r="O814">
        <v>12</v>
      </c>
    </row>
    <row r="815" spans="1:15" x14ac:dyDescent="0.25">
      <c r="A815" t="s">
        <v>46</v>
      </c>
      <c r="B815" t="s">
        <v>14</v>
      </c>
      <c r="C815" t="s">
        <v>4</v>
      </c>
      <c r="D815" t="str">
        <f t="shared" si="73"/>
        <v>FAB1_Leche Clasica Entera 1 L</v>
      </c>
      <c r="E815">
        <v>2023</v>
      </c>
      <c r="F815">
        <v>27</v>
      </c>
      <c r="G815">
        <f t="shared" si="74"/>
        <v>7</v>
      </c>
      <c r="H815" s="1">
        <f t="shared" si="75"/>
        <v>45110</v>
      </c>
      <c r="I815" s="1">
        <f t="shared" si="76"/>
        <v>45108</v>
      </c>
      <c r="J815">
        <v>3568678.6200000024</v>
      </c>
      <c r="K815">
        <v>202140</v>
      </c>
      <c r="L815">
        <f t="shared" si="72"/>
        <v>17.654490056396568</v>
      </c>
      <c r="M815">
        <v>16845</v>
      </c>
      <c r="N815" s="2">
        <f t="shared" si="77"/>
        <v>211.85388067675882</v>
      </c>
      <c r="O815">
        <v>12</v>
      </c>
    </row>
    <row r="816" spans="1:15" x14ac:dyDescent="0.25">
      <c r="A816" t="s">
        <v>46</v>
      </c>
      <c r="B816" t="s">
        <v>14</v>
      </c>
      <c r="C816" t="s">
        <v>4</v>
      </c>
      <c r="D816" t="str">
        <f t="shared" si="73"/>
        <v>FAB1_Leche Clasica Entera 1 L</v>
      </c>
      <c r="E816">
        <v>2023</v>
      </c>
      <c r="F816">
        <v>28</v>
      </c>
      <c r="G816">
        <f t="shared" si="74"/>
        <v>7</v>
      </c>
      <c r="H816" s="1">
        <f t="shared" si="75"/>
        <v>45117</v>
      </c>
      <c r="I816" s="1">
        <f t="shared" si="76"/>
        <v>45108</v>
      </c>
      <c r="J816">
        <v>1302707.7900000003</v>
      </c>
      <c r="K816">
        <v>70272</v>
      </c>
      <c r="L816">
        <f t="shared" si="72"/>
        <v>18.538077612704921</v>
      </c>
      <c r="M816">
        <v>5856</v>
      </c>
      <c r="N816" s="2">
        <f t="shared" si="77"/>
        <v>222.45693135245907</v>
      </c>
      <c r="O816">
        <v>12</v>
      </c>
    </row>
    <row r="817" spans="1:15" x14ac:dyDescent="0.25">
      <c r="A817" t="s">
        <v>46</v>
      </c>
      <c r="B817" t="s">
        <v>14</v>
      </c>
      <c r="C817" t="s">
        <v>4</v>
      </c>
      <c r="D817" t="str">
        <f t="shared" si="73"/>
        <v>FAB1_Leche Clasica Entera 1 L</v>
      </c>
      <c r="E817">
        <v>2023</v>
      </c>
      <c r="F817">
        <v>29</v>
      </c>
      <c r="G817">
        <f t="shared" si="74"/>
        <v>7</v>
      </c>
      <c r="H817" s="1">
        <f t="shared" si="75"/>
        <v>45124</v>
      </c>
      <c r="I817" s="1">
        <f t="shared" si="76"/>
        <v>45108</v>
      </c>
      <c r="J817">
        <v>2120963.9300000006</v>
      </c>
      <c r="K817">
        <v>119976</v>
      </c>
      <c r="L817">
        <f t="shared" si="72"/>
        <v>17.678235063679409</v>
      </c>
      <c r="M817">
        <v>9998</v>
      </c>
      <c r="N817" s="2">
        <f t="shared" si="77"/>
        <v>212.13882076415288</v>
      </c>
      <c r="O817">
        <v>12</v>
      </c>
    </row>
    <row r="818" spans="1:15" x14ac:dyDescent="0.25">
      <c r="A818" t="s">
        <v>46</v>
      </c>
      <c r="B818" t="s">
        <v>14</v>
      </c>
      <c r="C818" t="s">
        <v>4</v>
      </c>
      <c r="D818" t="str">
        <f t="shared" si="73"/>
        <v>FAB1_Leche Clasica Entera 1 L</v>
      </c>
      <c r="E818">
        <v>2023</v>
      </c>
      <c r="F818">
        <v>30</v>
      </c>
      <c r="G818">
        <f t="shared" si="74"/>
        <v>7</v>
      </c>
      <c r="H818" s="1">
        <f t="shared" si="75"/>
        <v>45131</v>
      </c>
      <c r="I818" s="1">
        <f t="shared" si="76"/>
        <v>45108</v>
      </c>
      <c r="J818">
        <v>1374094.7200000007</v>
      </c>
      <c r="K818">
        <v>74772</v>
      </c>
      <c r="L818">
        <f t="shared" si="72"/>
        <v>18.3771294067298</v>
      </c>
      <c r="M818">
        <v>6231</v>
      </c>
      <c r="N818" s="2">
        <f t="shared" si="77"/>
        <v>220.5255528807576</v>
      </c>
      <c r="O818">
        <v>12</v>
      </c>
    </row>
    <row r="819" spans="1:15" x14ac:dyDescent="0.25">
      <c r="A819" t="s">
        <v>46</v>
      </c>
      <c r="B819" t="s">
        <v>14</v>
      </c>
      <c r="C819" t="s">
        <v>4</v>
      </c>
      <c r="D819" t="str">
        <f t="shared" si="73"/>
        <v>FAB1_Leche Clasica Entera 1 L</v>
      </c>
      <c r="E819">
        <v>2023</v>
      </c>
      <c r="F819">
        <v>31</v>
      </c>
      <c r="G819">
        <f t="shared" si="74"/>
        <v>8</v>
      </c>
      <c r="H819" s="1">
        <f t="shared" si="75"/>
        <v>45138</v>
      </c>
      <c r="I819" s="1">
        <f t="shared" si="76"/>
        <v>45139</v>
      </c>
      <c r="J819">
        <v>3308404.7600000044</v>
      </c>
      <c r="K819">
        <v>177300</v>
      </c>
      <c r="L819">
        <f t="shared" si="72"/>
        <v>18.659925324309107</v>
      </c>
      <c r="M819">
        <v>14775</v>
      </c>
      <c r="N819" s="2">
        <f t="shared" si="77"/>
        <v>223.91910389170926</v>
      </c>
      <c r="O819">
        <v>12</v>
      </c>
    </row>
    <row r="820" spans="1:15" x14ac:dyDescent="0.25">
      <c r="A820" t="s">
        <v>46</v>
      </c>
      <c r="B820" t="s">
        <v>14</v>
      </c>
      <c r="C820" t="s">
        <v>4</v>
      </c>
      <c r="D820" t="str">
        <f t="shared" si="73"/>
        <v>FAB1_Leche Clasica Entera 1 L</v>
      </c>
      <c r="E820">
        <v>2023</v>
      </c>
      <c r="F820">
        <v>32</v>
      </c>
      <c r="G820">
        <f t="shared" si="74"/>
        <v>8</v>
      </c>
      <c r="H820" s="1">
        <f t="shared" si="75"/>
        <v>45145</v>
      </c>
      <c r="I820" s="1">
        <f t="shared" si="76"/>
        <v>45139</v>
      </c>
      <c r="J820">
        <v>2602681.3600000031</v>
      </c>
      <c r="K820">
        <v>135432</v>
      </c>
      <c r="L820">
        <f t="shared" si="72"/>
        <v>19.217624785870424</v>
      </c>
      <c r="M820">
        <v>11286</v>
      </c>
      <c r="N820" s="2">
        <f t="shared" si="77"/>
        <v>230.61149743044507</v>
      </c>
      <c r="O820">
        <v>12</v>
      </c>
    </row>
    <row r="821" spans="1:15" x14ac:dyDescent="0.25">
      <c r="A821" t="s">
        <v>46</v>
      </c>
      <c r="B821" t="s">
        <v>14</v>
      </c>
      <c r="C821" t="s">
        <v>4</v>
      </c>
      <c r="D821" t="str">
        <f t="shared" si="73"/>
        <v>FAB1_Leche Clasica Entera 1 L</v>
      </c>
      <c r="E821">
        <v>2023</v>
      </c>
      <c r="F821">
        <v>33</v>
      </c>
      <c r="G821">
        <f t="shared" si="74"/>
        <v>8</v>
      </c>
      <c r="H821" s="1">
        <f t="shared" si="75"/>
        <v>45152</v>
      </c>
      <c r="I821" s="1">
        <f t="shared" si="76"/>
        <v>45139</v>
      </c>
      <c r="J821">
        <v>2312686.7600000021</v>
      </c>
      <c r="K821">
        <v>120660</v>
      </c>
      <c r="L821">
        <f t="shared" si="72"/>
        <v>19.16697132438258</v>
      </c>
      <c r="M821">
        <v>10055</v>
      </c>
      <c r="N821" s="2">
        <f t="shared" si="77"/>
        <v>230.00365589259096</v>
      </c>
      <c r="O821">
        <v>12</v>
      </c>
    </row>
    <row r="822" spans="1:15" x14ac:dyDescent="0.25">
      <c r="A822" t="s">
        <v>46</v>
      </c>
      <c r="B822" t="s">
        <v>14</v>
      </c>
      <c r="C822" t="s">
        <v>4</v>
      </c>
      <c r="D822" t="str">
        <f t="shared" si="73"/>
        <v>FAB1_Leche Clasica Entera 1 L</v>
      </c>
      <c r="E822">
        <v>2023</v>
      </c>
      <c r="F822">
        <v>34</v>
      </c>
      <c r="G822">
        <f t="shared" si="74"/>
        <v>8</v>
      </c>
      <c r="H822" s="1">
        <f t="shared" si="75"/>
        <v>45159</v>
      </c>
      <c r="I822" s="1">
        <f t="shared" si="76"/>
        <v>45139</v>
      </c>
      <c r="J822">
        <v>2015118.3000000007</v>
      </c>
      <c r="K822">
        <v>104604</v>
      </c>
      <c r="L822">
        <f t="shared" si="72"/>
        <v>19.264256624985666</v>
      </c>
      <c r="M822">
        <v>8717</v>
      </c>
      <c r="N822" s="2">
        <f t="shared" si="77"/>
        <v>231.17107949982801</v>
      </c>
      <c r="O822">
        <v>12</v>
      </c>
    </row>
    <row r="823" spans="1:15" x14ac:dyDescent="0.25">
      <c r="A823" t="s">
        <v>46</v>
      </c>
      <c r="B823" t="s">
        <v>14</v>
      </c>
      <c r="C823" t="s">
        <v>4</v>
      </c>
      <c r="D823" t="str">
        <f t="shared" si="73"/>
        <v>FAB1_Leche Clasica Entera 1 L</v>
      </c>
      <c r="E823">
        <v>2023</v>
      </c>
      <c r="F823">
        <v>35</v>
      </c>
      <c r="G823">
        <f t="shared" si="74"/>
        <v>8</v>
      </c>
      <c r="H823" s="1">
        <f t="shared" si="75"/>
        <v>45166</v>
      </c>
      <c r="I823" s="1">
        <f t="shared" si="76"/>
        <v>45139</v>
      </c>
      <c r="J823">
        <v>1969152.1400000006</v>
      </c>
      <c r="K823">
        <v>100056</v>
      </c>
      <c r="L823">
        <f t="shared" si="72"/>
        <v>19.680500319820908</v>
      </c>
      <c r="M823">
        <v>8338</v>
      </c>
      <c r="N823" s="2">
        <f t="shared" si="77"/>
        <v>236.16600383785087</v>
      </c>
      <c r="O823">
        <v>12</v>
      </c>
    </row>
    <row r="824" spans="1:15" x14ac:dyDescent="0.25">
      <c r="A824" t="s">
        <v>46</v>
      </c>
      <c r="B824" t="s">
        <v>14</v>
      </c>
      <c r="C824" t="s">
        <v>4</v>
      </c>
      <c r="D824" t="str">
        <f t="shared" si="73"/>
        <v>FAB1_Leche Clasica Entera 1 L</v>
      </c>
      <c r="E824">
        <v>2023</v>
      </c>
      <c r="F824">
        <v>36</v>
      </c>
      <c r="G824">
        <f t="shared" si="74"/>
        <v>9</v>
      </c>
      <c r="H824" s="1">
        <f t="shared" si="75"/>
        <v>45173</v>
      </c>
      <c r="I824" s="1">
        <f t="shared" si="76"/>
        <v>45170</v>
      </c>
      <c r="J824">
        <v>976921.34999999951</v>
      </c>
      <c r="K824">
        <v>46884</v>
      </c>
      <c r="L824">
        <f t="shared" si="72"/>
        <v>20.836988098285119</v>
      </c>
      <c r="M824">
        <v>3907</v>
      </c>
      <c r="N824" s="2">
        <f t="shared" si="77"/>
        <v>250.04385717942142</v>
      </c>
      <c r="O824">
        <v>12</v>
      </c>
    </row>
    <row r="825" spans="1:15" x14ac:dyDescent="0.25">
      <c r="A825" t="s">
        <v>46</v>
      </c>
      <c r="B825" t="s">
        <v>14</v>
      </c>
      <c r="C825" t="s">
        <v>4</v>
      </c>
      <c r="D825" t="str">
        <f t="shared" si="73"/>
        <v>FAB1_Leche Clasica Entera 1 L</v>
      </c>
      <c r="E825">
        <v>2023</v>
      </c>
      <c r="F825">
        <v>37</v>
      </c>
      <c r="G825">
        <f t="shared" si="74"/>
        <v>9</v>
      </c>
      <c r="H825" s="1">
        <f t="shared" si="75"/>
        <v>45180</v>
      </c>
      <c r="I825" s="1">
        <f t="shared" si="76"/>
        <v>45170</v>
      </c>
      <c r="J825">
        <v>5335983.310000007</v>
      </c>
      <c r="K825">
        <v>276168</v>
      </c>
      <c r="L825">
        <f t="shared" si="72"/>
        <v>19.321511942006339</v>
      </c>
      <c r="M825">
        <v>23014</v>
      </c>
      <c r="N825" s="2">
        <f t="shared" si="77"/>
        <v>231.85814330407609</v>
      </c>
      <c r="O825">
        <v>12</v>
      </c>
    </row>
    <row r="826" spans="1:15" x14ac:dyDescent="0.25">
      <c r="A826" t="s">
        <v>46</v>
      </c>
      <c r="B826" t="s">
        <v>14</v>
      </c>
      <c r="C826" t="s">
        <v>4</v>
      </c>
      <c r="D826" t="str">
        <f t="shared" si="73"/>
        <v>FAB1_Leche Clasica Entera 1 L</v>
      </c>
      <c r="E826">
        <v>2023</v>
      </c>
      <c r="F826">
        <v>38</v>
      </c>
      <c r="G826">
        <f t="shared" si="74"/>
        <v>9</v>
      </c>
      <c r="H826" s="1">
        <f t="shared" si="75"/>
        <v>45187</v>
      </c>
      <c r="I826" s="1">
        <f t="shared" si="76"/>
        <v>45170</v>
      </c>
      <c r="J826">
        <v>939901.54999999993</v>
      </c>
      <c r="K826">
        <v>44748</v>
      </c>
      <c r="L826">
        <f t="shared" si="72"/>
        <v>21.004325332975775</v>
      </c>
      <c r="M826">
        <v>3729</v>
      </c>
      <c r="N826" s="2">
        <f t="shared" si="77"/>
        <v>252.0519039957093</v>
      </c>
      <c r="O826">
        <v>12</v>
      </c>
    </row>
    <row r="827" spans="1:15" x14ac:dyDescent="0.25">
      <c r="A827" t="s">
        <v>46</v>
      </c>
      <c r="B827" t="s">
        <v>14</v>
      </c>
      <c r="C827" t="s">
        <v>4</v>
      </c>
      <c r="D827" t="str">
        <f t="shared" si="73"/>
        <v>FAB1_Leche Clasica Entera 1 L</v>
      </c>
      <c r="E827">
        <v>2023</v>
      </c>
      <c r="F827">
        <v>39</v>
      </c>
      <c r="G827">
        <f t="shared" si="74"/>
        <v>9</v>
      </c>
      <c r="H827" s="1">
        <f t="shared" si="75"/>
        <v>45194</v>
      </c>
      <c r="I827" s="1">
        <f t="shared" si="76"/>
        <v>45170</v>
      </c>
      <c r="J827">
        <v>884352.30999999971</v>
      </c>
      <c r="K827">
        <v>42156</v>
      </c>
      <c r="L827">
        <f t="shared" si="72"/>
        <v>20.978088765537521</v>
      </c>
      <c r="M827">
        <v>3513</v>
      </c>
      <c r="N827" s="2">
        <f t="shared" si="77"/>
        <v>251.73706518645025</v>
      </c>
      <c r="O827">
        <v>12</v>
      </c>
    </row>
    <row r="828" spans="1:15" x14ac:dyDescent="0.25">
      <c r="A828" t="s">
        <v>46</v>
      </c>
      <c r="B828" t="s">
        <v>14</v>
      </c>
      <c r="C828" t="s">
        <v>4</v>
      </c>
      <c r="D828" t="str">
        <f t="shared" si="73"/>
        <v>FAB1_Leche Clasica Entera 1 L</v>
      </c>
      <c r="E828">
        <v>2023</v>
      </c>
      <c r="F828">
        <v>40</v>
      </c>
      <c r="G828">
        <f t="shared" si="74"/>
        <v>10</v>
      </c>
      <c r="H828" s="1">
        <f t="shared" si="75"/>
        <v>45201</v>
      </c>
      <c r="I828" s="1">
        <f t="shared" si="76"/>
        <v>45200</v>
      </c>
      <c r="J828">
        <v>1135719.0899999999</v>
      </c>
      <c r="K828">
        <v>54324</v>
      </c>
      <c r="L828">
        <f t="shared" si="72"/>
        <v>20.906396620278326</v>
      </c>
      <c r="M828">
        <v>4527</v>
      </c>
      <c r="N828" s="2">
        <f t="shared" si="77"/>
        <v>250.87675944333992</v>
      </c>
      <c r="O828">
        <v>12</v>
      </c>
    </row>
    <row r="829" spans="1:15" x14ac:dyDescent="0.25">
      <c r="A829" t="s">
        <v>46</v>
      </c>
      <c r="B829" t="s">
        <v>14</v>
      </c>
      <c r="C829" t="s">
        <v>4</v>
      </c>
      <c r="D829" t="str">
        <f t="shared" si="73"/>
        <v>FAB1_Leche Clasica Entera 1 L</v>
      </c>
      <c r="E829">
        <v>2023</v>
      </c>
      <c r="F829">
        <v>41</v>
      </c>
      <c r="G829">
        <f t="shared" si="74"/>
        <v>10</v>
      </c>
      <c r="H829" s="1">
        <f t="shared" si="75"/>
        <v>45208</v>
      </c>
      <c r="I829" s="1">
        <f t="shared" si="76"/>
        <v>45200</v>
      </c>
      <c r="J829">
        <v>3593390.6200000024</v>
      </c>
      <c r="K829">
        <v>187476</v>
      </c>
      <c r="L829">
        <f t="shared" si="72"/>
        <v>19.167203375365393</v>
      </c>
      <c r="M829">
        <v>15623</v>
      </c>
      <c r="N829" s="2">
        <f t="shared" si="77"/>
        <v>230.00644050438473</v>
      </c>
      <c r="O829">
        <v>12</v>
      </c>
    </row>
    <row r="830" spans="1:15" x14ac:dyDescent="0.25">
      <c r="A830" t="s">
        <v>46</v>
      </c>
      <c r="B830" t="s">
        <v>14</v>
      </c>
      <c r="C830" t="s">
        <v>4</v>
      </c>
      <c r="D830" t="str">
        <f t="shared" si="73"/>
        <v>FAB1_Leche Clasica Entera 1 L</v>
      </c>
      <c r="E830">
        <v>2023</v>
      </c>
      <c r="F830">
        <v>42</v>
      </c>
      <c r="G830">
        <f t="shared" si="74"/>
        <v>10</v>
      </c>
      <c r="H830" s="1">
        <f t="shared" si="75"/>
        <v>45215</v>
      </c>
      <c r="I830" s="1">
        <f t="shared" si="76"/>
        <v>45200</v>
      </c>
      <c r="J830">
        <v>2071168.2500000009</v>
      </c>
      <c r="K830">
        <v>108444</v>
      </c>
      <c r="L830">
        <f t="shared" si="72"/>
        <v>19.09896582567962</v>
      </c>
      <c r="M830">
        <v>9037</v>
      </c>
      <c r="N830" s="2">
        <f t="shared" si="77"/>
        <v>229.18758990815547</v>
      </c>
      <c r="O830">
        <v>12</v>
      </c>
    </row>
    <row r="831" spans="1:15" x14ac:dyDescent="0.25">
      <c r="A831" t="s">
        <v>46</v>
      </c>
      <c r="B831" t="s">
        <v>14</v>
      </c>
      <c r="C831" t="s">
        <v>4</v>
      </c>
      <c r="D831" t="str">
        <f t="shared" si="73"/>
        <v>FAB1_Leche Clasica Entera 1 L</v>
      </c>
      <c r="E831">
        <v>2023</v>
      </c>
      <c r="F831">
        <v>43</v>
      </c>
      <c r="G831">
        <f t="shared" si="74"/>
        <v>10</v>
      </c>
      <c r="H831" s="1">
        <f t="shared" si="75"/>
        <v>45222</v>
      </c>
      <c r="I831" s="1">
        <f t="shared" si="76"/>
        <v>45200</v>
      </c>
      <c r="J831">
        <v>1247048.2499999998</v>
      </c>
      <c r="K831">
        <v>62424</v>
      </c>
      <c r="L831">
        <f t="shared" si="72"/>
        <v>19.977064109957706</v>
      </c>
      <c r="M831">
        <v>5202</v>
      </c>
      <c r="N831" s="2">
        <f t="shared" si="77"/>
        <v>239.72476931949245</v>
      </c>
      <c r="O831">
        <v>12</v>
      </c>
    </row>
    <row r="832" spans="1:15" x14ac:dyDescent="0.25">
      <c r="A832" t="s">
        <v>46</v>
      </c>
      <c r="B832" t="s">
        <v>14</v>
      </c>
      <c r="C832" t="s">
        <v>4</v>
      </c>
      <c r="D832" t="str">
        <f t="shared" si="73"/>
        <v>FAB1_Leche Clasica Entera 1 L</v>
      </c>
      <c r="E832">
        <v>2023</v>
      </c>
      <c r="F832">
        <v>44</v>
      </c>
      <c r="G832">
        <f t="shared" si="74"/>
        <v>11</v>
      </c>
      <c r="H832" s="1">
        <f t="shared" si="75"/>
        <v>45229</v>
      </c>
      <c r="I832" s="1">
        <f t="shared" si="76"/>
        <v>45231</v>
      </c>
      <c r="J832">
        <v>1035720.5199999998</v>
      </c>
      <c r="K832">
        <v>49836</v>
      </c>
      <c r="L832">
        <f t="shared" si="72"/>
        <v>20.782577253391118</v>
      </c>
      <c r="M832">
        <v>4153</v>
      </c>
      <c r="N832" s="2">
        <f t="shared" si="77"/>
        <v>249.39092704069341</v>
      </c>
      <c r="O832">
        <v>12</v>
      </c>
    </row>
    <row r="833" spans="1:15" x14ac:dyDescent="0.25">
      <c r="A833" t="s">
        <v>46</v>
      </c>
      <c r="B833" t="s">
        <v>14</v>
      </c>
      <c r="C833" t="s">
        <v>4</v>
      </c>
      <c r="D833" t="str">
        <f t="shared" si="73"/>
        <v>FAB1_Leche Clasica Entera 1 L</v>
      </c>
      <c r="E833">
        <v>2023</v>
      </c>
      <c r="F833">
        <v>45</v>
      </c>
      <c r="G833">
        <f t="shared" si="74"/>
        <v>11</v>
      </c>
      <c r="H833" s="1">
        <f t="shared" si="75"/>
        <v>45236</v>
      </c>
      <c r="I833" s="1">
        <f t="shared" si="76"/>
        <v>45231</v>
      </c>
      <c r="J833">
        <v>1165255.92</v>
      </c>
      <c r="K833">
        <v>55788</v>
      </c>
      <c r="L833">
        <f t="shared" si="72"/>
        <v>20.887214454721445</v>
      </c>
      <c r="M833">
        <v>4649</v>
      </c>
      <c r="N833" s="2">
        <f t="shared" si="77"/>
        <v>250.64657345665734</v>
      </c>
      <c r="O833">
        <v>12</v>
      </c>
    </row>
    <row r="834" spans="1:15" x14ac:dyDescent="0.25">
      <c r="A834" t="s">
        <v>46</v>
      </c>
      <c r="B834" t="s">
        <v>14</v>
      </c>
      <c r="C834" t="s">
        <v>4</v>
      </c>
      <c r="D834" t="str">
        <f t="shared" si="73"/>
        <v>FAB1_Leche Clasica Entera 1 L</v>
      </c>
      <c r="E834">
        <v>2023</v>
      </c>
      <c r="F834">
        <v>46</v>
      </c>
      <c r="G834">
        <f t="shared" si="74"/>
        <v>11</v>
      </c>
      <c r="H834" s="1">
        <f t="shared" si="75"/>
        <v>45243</v>
      </c>
      <c r="I834" s="1">
        <f t="shared" si="76"/>
        <v>45231</v>
      </c>
      <c r="J834">
        <v>1235240.2900000007</v>
      </c>
      <c r="K834">
        <v>58896</v>
      </c>
      <c r="L834">
        <f t="shared" ref="L834:L897" si="78">J834/K834</f>
        <v>20.973245891062223</v>
      </c>
      <c r="M834">
        <v>4908</v>
      </c>
      <c r="N834" s="2">
        <f t="shared" si="77"/>
        <v>251.6789506927467</v>
      </c>
      <c r="O834">
        <v>12</v>
      </c>
    </row>
    <row r="835" spans="1:15" x14ac:dyDescent="0.25">
      <c r="A835" t="s">
        <v>46</v>
      </c>
      <c r="B835" t="s">
        <v>14</v>
      </c>
      <c r="C835" t="s">
        <v>4</v>
      </c>
      <c r="D835" t="str">
        <f t="shared" ref="D835:D898" si="79">B835&amp;"_"&amp;C835</f>
        <v>FAB1_Leche Clasica Entera 1 L</v>
      </c>
      <c r="E835">
        <v>2023</v>
      </c>
      <c r="F835">
        <v>47</v>
      </c>
      <c r="G835">
        <f t="shared" ref="G835:G898" si="80">MONTH(DATE(E835,1,4)+(F835-1)*7-WEEKDAY(DATE(E835,1,4),2)+4)</f>
        <v>11</v>
      </c>
      <c r="H835" s="1">
        <f t="shared" ref="H835:H898" si="81">DATE(E835,1,-2)-WEEKDAY(DATE(E835,1,3))+F835*7</f>
        <v>45250</v>
      </c>
      <c r="I835" s="1">
        <f t="shared" ref="I835:I898" si="82">DATE(E835,G835,1)</f>
        <v>45231</v>
      </c>
      <c r="J835">
        <v>1487905.5000000005</v>
      </c>
      <c r="K835">
        <v>70944</v>
      </c>
      <c r="L835">
        <f t="shared" si="78"/>
        <v>20.972957543978357</v>
      </c>
      <c r="M835">
        <v>5912</v>
      </c>
      <c r="N835" s="2">
        <f t="shared" ref="N835:N898" si="83">J835/M835</f>
        <v>251.67549052774027</v>
      </c>
      <c r="O835">
        <v>12</v>
      </c>
    </row>
    <row r="836" spans="1:15" x14ac:dyDescent="0.25">
      <c r="A836" t="s">
        <v>46</v>
      </c>
      <c r="B836" t="s">
        <v>14</v>
      </c>
      <c r="C836" t="s">
        <v>4</v>
      </c>
      <c r="D836" t="str">
        <f t="shared" si="79"/>
        <v>FAB1_Leche Clasica Entera 1 L</v>
      </c>
      <c r="E836">
        <v>2023</v>
      </c>
      <c r="F836">
        <v>48</v>
      </c>
      <c r="G836">
        <f t="shared" si="80"/>
        <v>11</v>
      </c>
      <c r="H836" s="1">
        <f t="shared" si="81"/>
        <v>45257</v>
      </c>
      <c r="I836" s="1">
        <f t="shared" si="82"/>
        <v>45231</v>
      </c>
      <c r="J836">
        <v>896527.79999999981</v>
      </c>
      <c r="K836">
        <v>42792</v>
      </c>
      <c r="L836">
        <f t="shared" si="78"/>
        <v>20.950827257431293</v>
      </c>
      <c r="M836">
        <v>3566</v>
      </c>
      <c r="N836" s="2">
        <f t="shared" si="83"/>
        <v>251.40992708917548</v>
      </c>
      <c r="O836">
        <v>12</v>
      </c>
    </row>
    <row r="837" spans="1:15" x14ac:dyDescent="0.25">
      <c r="A837" t="s">
        <v>46</v>
      </c>
      <c r="B837" t="s">
        <v>14</v>
      </c>
      <c r="C837" t="s">
        <v>4</v>
      </c>
      <c r="D837" t="str">
        <f t="shared" si="79"/>
        <v>FAB1_Leche Clasica Entera 1 L</v>
      </c>
      <c r="E837">
        <v>2023</v>
      </c>
      <c r="F837">
        <v>49</v>
      </c>
      <c r="G837">
        <f t="shared" si="80"/>
        <v>12</v>
      </c>
      <c r="H837" s="1">
        <f t="shared" si="81"/>
        <v>45264</v>
      </c>
      <c r="I837" s="1">
        <f t="shared" si="82"/>
        <v>45261</v>
      </c>
      <c r="J837">
        <v>1342278.3900000004</v>
      </c>
      <c r="K837">
        <v>64908</v>
      </c>
      <c r="L837">
        <f t="shared" si="78"/>
        <v>20.679706507672403</v>
      </c>
      <c r="M837">
        <v>5409</v>
      </c>
      <c r="N837" s="2">
        <f t="shared" si="83"/>
        <v>248.15647809206885</v>
      </c>
      <c r="O837">
        <v>12</v>
      </c>
    </row>
    <row r="838" spans="1:15" x14ac:dyDescent="0.25">
      <c r="A838" t="s">
        <v>46</v>
      </c>
      <c r="B838" t="s">
        <v>14</v>
      </c>
      <c r="C838" t="s">
        <v>4</v>
      </c>
      <c r="D838" t="str">
        <f t="shared" si="79"/>
        <v>FAB1_Leche Clasica Entera 1 L</v>
      </c>
      <c r="E838">
        <v>2023</v>
      </c>
      <c r="F838">
        <v>50</v>
      </c>
      <c r="G838">
        <f t="shared" si="80"/>
        <v>12</v>
      </c>
      <c r="H838" s="1">
        <f t="shared" si="81"/>
        <v>45271</v>
      </c>
      <c r="I838" s="1">
        <f t="shared" si="82"/>
        <v>45261</v>
      </c>
      <c r="J838">
        <v>2092741.5400000012</v>
      </c>
      <c r="K838">
        <v>104304</v>
      </c>
      <c r="L838">
        <f t="shared" si="78"/>
        <v>20.063866582297909</v>
      </c>
      <c r="M838">
        <v>8692</v>
      </c>
      <c r="N838" s="2">
        <f t="shared" si="83"/>
        <v>240.76639898757492</v>
      </c>
      <c r="O838">
        <v>12</v>
      </c>
    </row>
    <row r="839" spans="1:15" x14ac:dyDescent="0.25">
      <c r="A839" t="s">
        <v>46</v>
      </c>
      <c r="B839" t="s">
        <v>14</v>
      </c>
      <c r="C839" t="s">
        <v>4</v>
      </c>
      <c r="D839" t="str">
        <f t="shared" si="79"/>
        <v>FAB1_Leche Clasica Entera 1 L</v>
      </c>
      <c r="E839">
        <v>2023</v>
      </c>
      <c r="F839">
        <v>51</v>
      </c>
      <c r="G839">
        <f t="shared" si="80"/>
        <v>12</v>
      </c>
      <c r="H839" s="1">
        <f t="shared" si="81"/>
        <v>45278</v>
      </c>
      <c r="I839" s="1">
        <f t="shared" si="82"/>
        <v>45261</v>
      </c>
      <c r="J839">
        <v>4456450.1100000078</v>
      </c>
      <c r="K839">
        <v>221004</v>
      </c>
      <c r="L839">
        <f t="shared" si="78"/>
        <v>20.16456765488411</v>
      </c>
      <c r="M839">
        <v>18417</v>
      </c>
      <c r="N839" s="2">
        <f t="shared" si="83"/>
        <v>241.97481185860931</v>
      </c>
      <c r="O839">
        <v>12</v>
      </c>
    </row>
    <row r="840" spans="1:15" x14ac:dyDescent="0.25">
      <c r="A840" t="s">
        <v>46</v>
      </c>
      <c r="B840" t="s">
        <v>14</v>
      </c>
      <c r="C840" t="s">
        <v>4</v>
      </c>
      <c r="D840" t="str">
        <f t="shared" si="79"/>
        <v>FAB1_Leche Clasica Entera 1 L</v>
      </c>
      <c r="E840">
        <v>2023</v>
      </c>
      <c r="F840">
        <v>52</v>
      </c>
      <c r="G840">
        <f t="shared" si="80"/>
        <v>12</v>
      </c>
      <c r="H840" s="1">
        <f t="shared" si="81"/>
        <v>45285</v>
      </c>
      <c r="I840" s="1">
        <f t="shared" si="82"/>
        <v>45261</v>
      </c>
      <c r="J840">
        <v>4717642.2500000075</v>
      </c>
      <c r="K840">
        <v>234564</v>
      </c>
      <c r="L840">
        <f t="shared" si="78"/>
        <v>20.112388303405499</v>
      </c>
      <c r="M840">
        <v>19547</v>
      </c>
      <c r="N840" s="2">
        <f t="shared" si="83"/>
        <v>241.34865964086598</v>
      </c>
      <c r="O840">
        <v>12</v>
      </c>
    </row>
    <row r="841" spans="1:15" x14ac:dyDescent="0.25">
      <c r="A841" t="s">
        <v>46</v>
      </c>
      <c r="B841" t="s">
        <v>14</v>
      </c>
      <c r="C841" t="s">
        <v>4</v>
      </c>
      <c r="D841" t="str">
        <f t="shared" si="79"/>
        <v>FAB1_Leche Clasica Entera 1 L</v>
      </c>
      <c r="E841">
        <v>2024</v>
      </c>
      <c r="F841">
        <v>1</v>
      </c>
      <c r="G841">
        <f t="shared" si="80"/>
        <v>1</v>
      </c>
      <c r="H841" s="1">
        <f t="shared" si="81"/>
        <v>45292</v>
      </c>
      <c r="I841" s="1">
        <f t="shared" si="82"/>
        <v>45292</v>
      </c>
      <c r="J841">
        <v>3450604.1600000085</v>
      </c>
      <c r="K841">
        <v>169884</v>
      </c>
      <c r="L841">
        <f t="shared" si="78"/>
        <v>20.311531162440303</v>
      </c>
      <c r="M841">
        <v>14157</v>
      </c>
      <c r="N841" s="2">
        <f t="shared" si="83"/>
        <v>243.73837394928364</v>
      </c>
      <c r="O841">
        <v>12</v>
      </c>
    </row>
    <row r="842" spans="1:15" x14ac:dyDescent="0.25">
      <c r="A842" t="s">
        <v>46</v>
      </c>
      <c r="B842" t="s">
        <v>14</v>
      </c>
      <c r="C842" t="s">
        <v>4</v>
      </c>
      <c r="D842" t="str">
        <f t="shared" si="79"/>
        <v>FAB1_Leche Clasica Entera 1 L</v>
      </c>
      <c r="E842">
        <v>2024</v>
      </c>
      <c r="F842">
        <v>2</v>
      </c>
      <c r="G842">
        <f t="shared" si="80"/>
        <v>1</v>
      </c>
      <c r="H842" s="1">
        <f t="shared" si="81"/>
        <v>45299</v>
      </c>
      <c r="I842" s="1">
        <f t="shared" si="82"/>
        <v>45292</v>
      </c>
      <c r="J842">
        <v>1292351.5200000005</v>
      </c>
      <c r="K842">
        <v>62088</v>
      </c>
      <c r="L842">
        <f t="shared" si="78"/>
        <v>20.81483571704678</v>
      </c>
      <c r="M842">
        <v>5174</v>
      </c>
      <c r="N842" s="2">
        <f t="shared" si="83"/>
        <v>249.77802860456137</v>
      </c>
      <c r="O842">
        <v>12</v>
      </c>
    </row>
    <row r="843" spans="1:15" x14ac:dyDescent="0.25">
      <c r="A843" t="s">
        <v>46</v>
      </c>
      <c r="B843" t="s">
        <v>14</v>
      </c>
      <c r="C843" t="s">
        <v>4</v>
      </c>
      <c r="D843" t="str">
        <f t="shared" si="79"/>
        <v>FAB1_Leche Clasica Entera 1 L</v>
      </c>
      <c r="E843">
        <v>2024</v>
      </c>
      <c r="F843">
        <v>3</v>
      </c>
      <c r="G843">
        <f t="shared" si="80"/>
        <v>1</v>
      </c>
      <c r="H843" s="1">
        <f t="shared" si="81"/>
        <v>45306</v>
      </c>
      <c r="I843" s="1">
        <f t="shared" si="82"/>
        <v>45292</v>
      </c>
      <c r="J843">
        <v>5886059.2900000168</v>
      </c>
      <c r="K843">
        <v>294216</v>
      </c>
      <c r="L843">
        <f t="shared" si="78"/>
        <v>20.005911609157955</v>
      </c>
      <c r="M843">
        <v>24518</v>
      </c>
      <c r="N843" s="2">
        <f t="shared" si="83"/>
        <v>240.07093930989546</v>
      </c>
      <c r="O843">
        <v>12</v>
      </c>
    </row>
    <row r="844" spans="1:15" x14ac:dyDescent="0.25">
      <c r="A844" t="s">
        <v>46</v>
      </c>
      <c r="B844" t="s">
        <v>14</v>
      </c>
      <c r="C844" t="s">
        <v>4</v>
      </c>
      <c r="D844" t="str">
        <f t="shared" si="79"/>
        <v>FAB1_Leche Clasica Entera 1 L</v>
      </c>
      <c r="E844">
        <v>2024</v>
      </c>
      <c r="F844">
        <v>4</v>
      </c>
      <c r="G844">
        <f t="shared" si="80"/>
        <v>1</v>
      </c>
      <c r="H844" s="1">
        <f t="shared" si="81"/>
        <v>45313</v>
      </c>
      <c r="I844" s="1">
        <f t="shared" si="82"/>
        <v>45292</v>
      </c>
      <c r="J844">
        <v>5254286.0300000124</v>
      </c>
      <c r="K844">
        <v>261180</v>
      </c>
      <c r="L844">
        <f t="shared" si="78"/>
        <v>20.117489968604076</v>
      </c>
      <c r="M844">
        <v>21765</v>
      </c>
      <c r="N844" s="2">
        <f t="shared" si="83"/>
        <v>241.40987962324891</v>
      </c>
      <c r="O844">
        <v>12</v>
      </c>
    </row>
    <row r="845" spans="1:15" x14ac:dyDescent="0.25">
      <c r="A845" t="s">
        <v>46</v>
      </c>
      <c r="B845" t="s">
        <v>14</v>
      </c>
      <c r="C845" t="s">
        <v>4</v>
      </c>
      <c r="D845" t="str">
        <f t="shared" si="79"/>
        <v>FAB1_Leche Clasica Entera 1 L</v>
      </c>
      <c r="E845">
        <v>2024</v>
      </c>
      <c r="F845">
        <v>5</v>
      </c>
      <c r="G845">
        <f t="shared" si="80"/>
        <v>2</v>
      </c>
      <c r="H845" s="1">
        <f t="shared" si="81"/>
        <v>45320</v>
      </c>
      <c r="I845" s="1">
        <f t="shared" si="82"/>
        <v>45323</v>
      </c>
      <c r="J845">
        <v>5601744.1300000139</v>
      </c>
      <c r="K845">
        <v>277920</v>
      </c>
      <c r="L845">
        <f t="shared" si="78"/>
        <v>20.155959016983353</v>
      </c>
      <c r="M845">
        <v>23160</v>
      </c>
      <c r="N845" s="2">
        <f t="shared" si="83"/>
        <v>241.87150820380026</v>
      </c>
      <c r="O845">
        <v>12</v>
      </c>
    </row>
    <row r="846" spans="1:15" x14ac:dyDescent="0.25">
      <c r="A846" t="s">
        <v>46</v>
      </c>
      <c r="B846" t="s">
        <v>14</v>
      </c>
      <c r="C846" t="s">
        <v>4</v>
      </c>
      <c r="D846" t="str">
        <f t="shared" si="79"/>
        <v>FAB1_Leche Clasica Entera 1 L</v>
      </c>
      <c r="E846">
        <v>2024</v>
      </c>
      <c r="F846">
        <v>6</v>
      </c>
      <c r="G846">
        <f t="shared" si="80"/>
        <v>2</v>
      </c>
      <c r="H846" s="1">
        <f t="shared" si="81"/>
        <v>45327</v>
      </c>
      <c r="I846" s="1">
        <f t="shared" si="82"/>
        <v>45323</v>
      </c>
      <c r="J846">
        <v>1333475.3900000011</v>
      </c>
      <c r="K846">
        <v>63732</v>
      </c>
      <c r="L846">
        <f t="shared" si="78"/>
        <v>20.92316873783972</v>
      </c>
      <c r="M846">
        <v>5311</v>
      </c>
      <c r="N846" s="2">
        <f t="shared" si="83"/>
        <v>251.07802485407663</v>
      </c>
      <c r="O846">
        <v>12</v>
      </c>
    </row>
    <row r="847" spans="1:15" x14ac:dyDescent="0.25">
      <c r="A847" t="s">
        <v>46</v>
      </c>
      <c r="B847" t="s">
        <v>14</v>
      </c>
      <c r="C847" t="s">
        <v>4</v>
      </c>
      <c r="D847" t="str">
        <f t="shared" si="79"/>
        <v>FAB1_Leche Clasica Entera 1 L</v>
      </c>
      <c r="E847">
        <v>2024</v>
      </c>
      <c r="F847">
        <v>7</v>
      </c>
      <c r="G847">
        <f t="shared" si="80"/>
        <v>2</v>
      </c>
      <c r="H847" s="1">
        <f t="shared" si="81"/>
        <v>45334</v>
      </c>
      <c r="I847" s="1">
        <f t="shared" si="82"/>
        <v>45323</v>
      </c>
      <c r="J847">
        <v>2120005.5200000005</v>
      </c>
      <c r="K847">
        <v>106824</v>
      </c>
      <c r="L847">
        <f t="shared" si="78"/>
        <v>19.845779225642183</v>
      </c>
      <c r="M847">
        <v>8902</v>
      </c>
      <c r="N847" s="2">
        <f t="shared" si="83"/>
        <v>238.14935070770619</v>
      </c>
      <c r="O847">
        <v>12</v>
      </c>
    </row>
    <row r="848" spans="1:15" x14ac:dyDescent="0.25">
      <c r="A848" t="s">
        <v>46</v>
      </c>
      <c r="B848" t="s">
        <v>14</v>
      </c>
      <c r="C848" t="s">
        <v>4</v>
      </c>
      <c r="D848" t="str">
        <f t="shared" si="79"/>
        <v>FAB1_Leche Clasica Entera 1 L</v>
      </c>
      <c r="E848">
        <v>2024</v>
      </c>
      <c r="F848">
        <v>8</v>
      </c>
      <c r="G848">
        <f t="shared" si="80"/>
        <v>2</v>
      </c>
      <c r="H848" s="1">
        <f t="shared" si="81"/>
        <v>45341</v>
      </c>
      <c r="I848" s="1">
        <f t="shared" si="82"/>
        <v>45323</v>
      </c>
      <c r="J848">
        <v>1500834.850000001</v>
      </c>
      <c r="K848">
        <v>75732</v>
      </c>
      <c r="L848">
        <f t="shared" si="78"/>
        <v>19.817710479057745</v>
      </c>
      <c r="M848">
        <v>6311</v>
      </c>
      <c r="N848" s="2">
        <f t="shared" si="83"/>
        <v>237.81252574869293</v>
      </c>
      <c r="O848">
        <v>12</v>
      </c>
    </row>
    <row r="849" spans="1:15" x14ac:dyDescent="0.25">
      <c r="A849" t="s">
        <v>46</v>
      </c>
      <c r="B849" t="s">
        <v>14</v>
      </c>
      <c r="C849" t="s">
        <v>4</v>
      </c>
      <c r="D849" t="str">
        <f t="shared" si="79"/>
        <v>FAB1_Leche Clasica Entera 1 L</v>
      </c>
      <c r="E849">
        <v>2024</v>
      </c>
      <c r="F849">
        <v>9</v>
      </c>
      <c r="G849">
        <f t="shared" si="80"/>
        <v>2</v>
      </c>
      <c r="H849" s="1">
        <f t="shared" si="81"/>
        <v>45348</v>
      </c>
      <c r="I849" s="1">
        <f t="shared" si="82"/>
        <v>45323</v>
      </c>
      <c r="J849">
        <v>991333.4099999991</v>
      </c>
      <c r="K849">
        <v>45300</v>
      </c>
      <c r="L849">
        <f t="shared" si="78"/>
        <v>21.883739735099319</v>
      </c>
      <c r="M849">
        <v>3775</v>
      </c>
      <c r="N849" s="2">
        <f t="shared" si="83"/>
        <v>262.60487682119179</v>
      </c>
      <c r="O849">
        <v>12</v>
      </c>
    </row>
    <row r="850" spans="1:15" x14ac:dyDescent="0.25">
      <c r="A850" t="s">
        <v>46</v>
      </c>
      <c r="B850" t="s">
        <v>14</v>
      </c>
      <c r="C850" t="s">
        <v>4</v>
      </c>
      <c r="D850" t="str">
        <f t="shared" si="79"/>
        <v>FAB1_Leche Clasica Entera 1 L</v>
      </c>
      <c r="E850">
        <v>2024</v>
      </c>
      <c r="F850">
        <v>10</v>
      </c>
      <c r="G850">
        <f t="shared" si="80"/>
        <v>3</v>
      </c>
      <c r="H850" s="1">
        <f t="shared" si="81"/>
        <v>45355</v>
      </c>
      <c r="I850" s="1">
        <f t="shared" si="82"/>
        <v>45352</v>
      </c>
      <c r="J850">
        <v>3491911.3000000026</v>
      </c>
      <c r="K850">
        <v>164136</v>
      </c>
      <c r="L850">
        <f t="shared" si="78"/>
        <v>21.274499805039738</v>
      </c>
      <c r="M850">
        <v>13678</v>
      </c>
      <c r="N850" s="2">
        <f t="shared" si="83"/>
        <v>255.29399766047686</v>
      </c>
      <c r="O850">
        <v>12</v>
      </c>
    </row>
    <row r="851" spans="1:15" x14ac:dyDescent="0.25">
      <c r="A851" t="s">
        <v>46</v>
      </c>
      <c r="B851" t="s">
        <v>14</v>
      </c>
      <c r="C851" t="s">
        <v>4</v>
      </c>
      <c r="D851" t="str">
        <f t="shared" si="79"/>
        <v>FAB1_Leche Clasica Entera 1 L</v>
      </c>
      <c r="E851">
        <v>2024</v>
      </c>
      <c r="F851">
        <v>11</v>
      </c>
      <c r="G851">
        <f t="shared" si="80"/>
        <v>3</v>
      </c>
      <c r="H851" s="1">
        <f t="shared" si="81"/>
        <v>45362</v>
      </c>
      <c r="I851" s="1">
        <f t="shared" si="82"/>
        <v>45352</v>
      </c>
      <c r="J851">
        <v>3311969.1500000041</v>
      </c>
      <c r="K851">
        <v>155484</v>
      </c>
      <c r="L851">
        <f t="shared" si="78"/>
        <v>21.301028723212703</v>
      </c>
      <c r="M851">
        <v>12957</v>
      </c>
      <c r="N851" s="2">
        <f t="shared" si="83"/>
        <v>255.61234467855246</v>
      </c>
      <c r="O851">
        <v>12</v>
      </c>
    </row>
    <row r="852" spans="1:15" x14ac:dyDescent="0.25">
      <c r="A852" t="s">
        <v>46</v>
      </c>
      <c r="B852" t="s">
        <v>14</v>
      </c>
      <c r="C852" t="s">
        <v>4</v>
      </c>
      <c r="D852" t="str">
        <f t="shared" si="79"/>
        <v>FAB1_Leche Clasica Entera 1 L</v>
      </c>
      <c r="E852">
        <v>2024</v>
      </c>
      <c r="F852">
        <v>12</v>
      </c>
      <c r="G852">
        <f t="shared" si="80"/>
        <v>3</v>
      </c>
      <c r="H852" s="1">
        <f t="shared" si="81"/>
        <v>45369</v>
      </c>
      <c r="I852" s="1">
        <f t="shared" si="82"/>
        <v>45352</v>
      </c>
      <c r="J852">
        <v>1190614.8000000005</v>
      </c>
      <c r="K852">
        <v>55020</v>
      </c>
      <c r="L852">
        <f t="shared" si="78"/>
        <v>21.63967284623774</v>
      </c>
      <c r="M852">
        <v>4585</v>
      </c>
      <c r="N852" s="2">
        <f t="shared" si="83"/>
        <v>259.67607415485287</v>
      </c>
      <c r="O852">
        <v>12</v>
      </c>
    </row>
    <row r="853" spans="1:15" x14ac:dyDescent="0.25">
      <c r="A853" t="s">
        <v>46</v>
      </c>
      <c r="B853" t="s">
        <v>14</v>
      </c>
      <c r="C853" t="s">
        <v>4</v>
      </c>
      <c r="D853" t="str">
        <f t="shared" si="79"/>
        <v>FAB1_Leche Clasica Entera 1 L</v>
      </c>
      <c r="E853">
        <v>2024</v>
      </c>
      <c r="F853">
        <v>13</v>
      </c>
      <c r="G853">
        <f t="shared" si="80"/>
        <v>3</v>
      </c>
      <c r="H853" s="1">
        <f t="shared" si="81"/>
        <v>45376</v>
      </c>
      <c r="I853" s="1">
        <f t="shared" si="82"/>
        <v>45352</v>
      </c>
      <c r="J853">
        <v>1026314.0099999988</v>
      </c>
      <c r="K853">
        <v>46416</v>
      </c>
      <c r="L853">
        <f t="shared" si="78"/>
        <v>22.111211866597699</v>
      </c>
      <c r="M853">
        <v>3868</v>
      </c>
      <c r="N853" s="2">
        <f t="shared" si="83"/>
        <v>265.33454239917239</v>
      </c>
      <c r="O853">
        <v>12</v>
      </c>
    </row>
    <row r="854" spans="1:15" x14ac:dyDescent="0.25">
      <c r="A854" t="s">
        <v>46</v>
      </c>
      <c r="B854" t="s">
        <v>14</v>
      </c>
      <c r="C854" t="s">
        <v>4</v>
      </c>
      <c r="D854" t="str">
        <f t="shared" si="79"/>
        <v>FAB1_Leche Clasica Entera 1 L</v>
      </c>
      <c r="E854">
        <v>2024</v>
      </c>
      <c r="F854">
        <v>14</v>
      </c>
      <c r="G854">
        <f t="shared" si="80"/>
        <v>4</v>
      </c>
      <c r="H854" s="1">
        <f t="shared" si="81"/>
        <v>45383</v>
      </c>
      <c r="I854" s="1">
        <f t="shared" si="82"/>
        <v>45383</v>
      </c>
      <c r="J854">
        <v>3926313.7500000028</v>
      </c>
      <c r="K854">
        <v>183648</v>
      </c>
      <c r="L854">
        <f t="shared" si="78"/>
        <v>21.379561715891285</v>
      </c>
      <c r="M854">
        <v>15304</v>
      </c>
      <c r="N854" s="2">
        <f t="shared" si="83"/>
        <v>256.55474059069542</v>
      </c>
      <c r="O854">
        <v>12</v>
      </c>
    </row>
    <row r="855" spans="1:15" x14ac:dyDescent="0.25">
      <c r="A855" t="s">
        <v>46</v>
      </c>
      <c r="B855" t="s">
        <v>14</v>
      </c>
      <c r="C855" t="s">
        <v>4</v>
      </c>
      <c r="D855" t="str">
        <f t="shared" si="79"/>
        <v>FAB1_Leche Clasica Entera 1 L</v>
      </c>
      <c r="E855">
        <v>2024</v>
      </c>
      <c r="F855">
        <v>15</v>
      </c>
      <c r="G855">
        <f t="shared" si="80"/>
        <v>4</v>
      </c>
      <c r="H855" s="1">
        <f t="shared" si="81"/>
        <v>45390</v>
      </c>
      <c r="I855" s="1">
        <f t="shared" si="82"/>
        <v>45383</v>
      </c>
      <c r="J855">
        <v>3636339.2800000012</v>
      </c>
      <c r="K855">
        <v>170604</v>
      </c>
      <c r="L855">
        <f t="shared" si="78"/>
        <v>21.31450188741179</v>
      </c>
      <c r="M855">
        <v>14217</v>
      </c>
      <c r="N855" s="2">
        <f t="shared" si="83"/>
        <v>255.7740226489415</v>
      </c>
      <c r="O855">
        <v>12</v>
      </c>
    </row>
    <row r="856" spans="1:15" x14ac:dyDescent="0.25">
      <c r="A856" t="s">
        <v>46</v>
      </c>
      <c r="B856" t="s">
        <v>14</v>
      </c>
      <c r="C856" t="s">
        <v>4</v>
      </c>
      <c r="D856" t="str">
        <f t="shared" si="79"/>
        <v>FAB1_Leche Clasica Entera 1 L</v>
      </c>
      <c r="E856">
        <v>2024</v>
      </c>
      <c r="F856">
        <v>16</v>
      </c>
      <c r="G856">
        <f t="shared" si="80"/>
        <v>4</v>
      </c>
      <c r="H856" s="1">
        <f t="shared" si="81"/>
        <v>45397</v>
      </c>
      <c r="I856" s="1">
        <f t="shared" si="82"/>
        <v>45383</v>
      </c>
      <c r="J856">
        <v>1724023.7699999977</v>
      </c>
      <c r="K856">
        <v>81408</v>
      </c>
      <c r="L856">
        <f t="shared" si="78"/>
        <v>21.177571860259405</v>
      </c>
      <c r="M856">
        <v>6784</v>
      </c>
      <c r="N856" s="2">
        <f t="shared" si="83"/>
        <v>254.13086232311286</v>
      </c>
      <c r="O856">
        <v>12</v>
      </c>
    </row>
    <row r="857" spans="1:15" x14ac:dyDescent="0.25">
      <c r="A857" t="s">
        <v>46</v>
      </c>
      <c r="B857" t="s">
        <v>14</v>
      </c>
      <c r="C857" t="s">
        <v>4</v>
      </c>
      <c r="D857" t="str">
        <f t="shared" si="79"/>
        <v>FAB1_Leche Clasica Entera 1 L</v>
      </c>
      <c r="E857">
        <v>2024</v>
      </c>
      <c r="F857">
        <v>17</v>
      </c>
      <c r="G857">
        <f t="shared" si="80"/>
        <v>4</v>
      </c>
      <c r="H857" s="1">
        <f t="shared" si="81"/>
        <v>45404</v>
      </c>
      <c r="I857" s="1">
        <f t="shared" si="82"/>
        <v>45383</v>
      </c>
      <c r="J857">
        <v>1359509.1099999992</v>
      </c>
      <c r="K857">
        <v>67092</v>
      </c>
      <c r="L857">
        <f t="shared" si="78"/>
        <v>20.2633564359387</v>
      </c>
      <c r="M857">
        <v>5591</v>
      </c>
      <c r="N857" s="2">
        <f t="shared" si="83"/>
        <v>243.16027723126439</v>
      </c>
      <c r="O857">
        <v>12</v>
      </c>
    </row>
    <row r="858" spans="1:15" x14ac:dyDescent="0.25">
      <c r="A858" t="s">
        <v>46</v>
      </c>
      <c r="B858" t="s">
        <v>14</v>
      </c>
      <c r="C858" t="s">
        <v>4</v>
      </c>
      <c r="D858" t="str">
        <f t="shared" si="79"/>
        <v>FAB1_Leche Clasica Entera 1 L</v>
      </c>
      <c r="E858">
        <v>2024</v>
      </c>
      <c r="F858">
        <v>18</v>
      </c>
      <c r="G858">
        <f t="shared" si="80"/>
        <v>5</v>
      </c>
      <c r="H858" s="1">
        <f t="shared" si="81"/>
        <v>45411</v>
      </c>
      <c r="I858" s="1">
        <f t="shared" si="82"/>
        <v>45413</v>
      </c>
      <c r="J858">
        <v>2005111.3599999992</v>
      </c>
      <c r="K858">
        <v>99288</v>
      </c>
      <c r="L858">
        <f t="shared" si="78"/>
        <v>20.194901297236314</v>
      </c>
      <c r="M858">
        <v>8274</v>
      </c>
      <c r="N858" s="2">
        <f t="shared" si="83"/>
        <v>242.33881556683576</v>
      </c>
      <c r="O858">
        <v>12</v>
      </c>
    </row>
    <row r="859" spans="1:15" x14ac:dyDescent="0.25">
      <c r="A859" t="s">
        <v>46</v>
      </c>
      <c r="B859" t="s">
        <v>14</v>
      </c>
      <c r="C859" t="s">
        <v>4</v>
      </c>
      <c r="D859" t="str">
        <f t="shared" si="79"/>
        <v>FAB1_Leche Clasica Entera 1 L</v>
      </c>
      <c r="E859">
        <v>2024</v>
      </c>
      <c r="F859">
        <v>19</v>
      </c>
      <c r="G859">
        <f t="shared" si="80"/>
        <v>5</v>
      </c>
      <c r="H859" s="1">
        <f t="shared" si="81"/>
        <v>45418</v>
      </c>
      <c r="I859" s="1">
        <f t="shared" si="82"/>
        <v>45413</v>
      </c>
      <c r="J859">
        <v>1305630.2600000009</v>
      </c>
      <c r="K859">
        <v>61332</v>
      </c>
      <c r="L859">
        <f t="shared" si="78"/>
        <v>21.287912672014624</v>
      </c>
      <c r="M859">
        <v>5111</v>
      </c>
      <c r="N859" s="2">
        <f t="shared" si="83"/>
        <v>255.4549520641755</v>
      </c>
      <c r="O859">
        <v>12</v>
      </c>
    </row>
    <row r="860" spans="1:15" x14ac:dyDescent="0.25">
      <c r="A860" t="s">
        <v>46</v>
      </c>
      <c r="B860" t="s">
        <v>14</v>
      </c>
      <c r="C860" t="s">
        <v>4</v>
      </c>
      <c r="D860" t="str">
        <f t="shared" si="79"/>
        <v>FAB1_Leche Clasica Entera 1 L</v>
      </c>
      <c r="E860">
        <v>2024</v>
      </c>
      <c r="F860">
        <v>20</v>
      </c>
      <c r="G860">
        <f t="shared" si="80"/>
        <v>5</v>
      </c>
      <c r="H860" s="1">
        <f t="shared" si="81"/>
        <v>45425</v>
      </c>
      <c r="I860" s="1">
        <f t="shared" si="82"/>
        <v>45413</v>
      </c>
      <c r="J860">
        <v>2163762.2200000002</v>
      </c>
      <c r="K860">
        <v>103908</v>
      </c>
      <c r="L860">
        <f t="shared" si="78"/>
        <v>20.823827039304003</v>
      </c>
      <c r="M860">
        <v>8659</v>
      </c>
      <c r="N860" s="2">
        <f t="shared" si="83"/>
        <v>249.88592447164802</v>
      </c>
      <c r="O860">
        <v>12</v>
      </c>
    </row>
    <row r="861" spans="1:15" x14ac:dyDescent="0.25">
      <c r="A861" t="s">
        <v>46</v>
      </c>
      <c r="B861" t="s">
        <v>14</v>
      </c>
      <c r="C861" t="s">
        <v>4</v>
      </c>
      <c r="D861" t="str">
        <f t="shared" si="79"/>
        <v>FAB1_Leche Clasica Entera 1 L</v>
      </c>
      <c r="E861">
        <v>2024</v>
      </c>
      <c r="F861">
        <v>21</v>
      </c>
      <c r="G861">
        <f t="shared" si="80"/>
        <v>5</v>
      </c>
      <c r="H861" s="1">
        <f t="shared" si="81"/>
        <v>45432</v>
      </c>
      <c r="I861" s="1">
        <f t="shared" si="82"/>
        <v>45413</v>
      </c>
      <c r="J861">
        <v>1035795.4600000007</v>
      </c>
      <c r="K861">
        <v>48096</v>
      </c>
      <c r="L861">
        <f t="shared" si="78"/>
        <v>21.536000083167014</v>
      </c>
      <c r="M861">
        <v>4008</v>
      </c>
      <c r="N861" s="2">
        <f t="shared" si="83"/>
        <v>258.43200099800418</v>
      </c>
      <c r="O861">
        <v>12</v>
      </c>
    </row>
    <row r="862" spans="1:15" x14ac:dyDescent="0.25">
      <c r="A862" t="s">
        <v>46</v>
      </c>
      <c r="B862" t="s">
        <v>14</v>
      </c>
      <c r="C862" t="s">
        <v>4</v>
      </c>
      <c r="D862" t="str">
        <f t="shared" si="79"/>
        <v>FAB1_Leche Clasica Entera 1 L</v>
      </c>
      <c r="E862">
        <v>2024</v>
      </c>
      <c r="F862">
        <v>22</v>
      </c>
      <c r="G862">
        <f t="shared" si="80"/>
        <v>5</v>
      </c>
      <c r="H862" s="1">
        <f t="shared" si="81"/>
        <v>45439</v>
      </c>
      <c r="I862" s="1">
        <f t="shared" si="82"/>
        <v>45413</v>
      </c>
      <c r="J862">
        <v>989975.81000000029</v>
      </c>
      <c r="K862">
        <v>44688</v>
      </c>
      <c r="L862">
        <f t="shared" si="78"/>
        <v>22.153056972789123</v>
      </c>
      <c r="M862">
        <v>3724</v>
      </c>
      <c r="N862" s="2">
        <f t="shared" si="83"/>
        <v>265.83668367346945</v>
      </c>
      <c r="O862">
        <v>12</v>
      </c>
    </row>
    <row r="863" spans="1:15" x14ac:dyDescent="0.25">
      <c r="A863" t="s">
        <v>46</v>
      </c>
      <c r="B863" t="s">
        <v>14</v>
      </c>
      <c r="C863" t="s">
        <v>4</v>
      </c>
      <c r="D863" t="str">
        <f t="shared" si="79"/>
        <v>FAB1_Leche Clasica Entera 1 L</v>
      </c>
      <c r="E863">
        <v>2024</v>
      </c>
      <c r="F863">
        <v>23</v>
      </c>
      <c r="G863">
        <f t="shared" si="80"/>
        <v>6</v>
      </c>
      <c r="H863" s="1">
        <f t="shared" si="81"/>
        <v>45446</v>
      </c>
      <c r="I863" s="1">
        <f t="shared" si="82"/>
        <v>45444</v>
      </c>
      <c r="J863">
        <v>1203762.8299999991</v>
      </c>
      <c r="K863">
        <v>54384</v>
      </c>
      <c r="L863">
        <f t="shared" si="78"/>
        <v>22.134503346572505</v>
      </c>
      <c r="M863">
        <v>4532</v>
      </c>
      <c r="N863" s="2">
        <f t="shared" si="83"/>
        <v>265.61404015887007</v>
      </c>
      <c r="O863">
        <v>12</v>
      </c>
    </row>
    <row r="864" spans="1:15" x14ac:dyDescent="0.25">
      <c r="A864" t="s">
        <v>46</v>
      </c>
      <c r="B864" t="s">
        <v>14</v>
      </c>
      <c r="C864" t="s">
        <v>4</v>
      </c>
      <c r="D864" t="str">
        <f t="shared" si="79"/>
        <v>FAB1_Leche Clasica Entera 1 L</v>
      </c>
      <c r="E864">
        <v>2024</v>
      </c>
      <c r="F864">
        <v>24</v>
      </c>
      <c r="G864">
        <f t="shared" si="80"/>
        <v>6</v>
      </c>
      <c r="H864" s="1">
        <f t="shared" si="81"/>
        <v>45453</v>
      </c>
      <c r="I864" s="1">
        <f t="shared" si="82"/>
        <v>45444</v>
      </c>
      <c r="J864">
        <v>1562484.9699999993</v>
      </c>
      <c r="K864">
        <v>74580</v>
      </c>
      <c r="L864">
        <f t="shared" si="78"/>
        <v>20.950455484043971</v>
      </c>
      <c r="M864">
        <v>6215</v>
      </c>
      <c r="N864" s="2">
        <f t="shared" si="83"/>
        <v>251.40546580852765</v>
      </c>
      <c r="O864">
        <v>12</v>
      </c>
    </row>
    <row r="865" spans="1:15" x14ac:dyDescent="0.25">
      <c r="A865" t="s">
        <v>46</v>
      </c>
      <c r="B865" t="s">
        <v>14</v>
      </c>
      <c r="C865" t="s">
        <v>4</v>
      </c>
      <c r="D865" t="str">
        <f t="shared" si="79"/>
        <v>FAB1_Leche Clasica Entera 1 L</v>
      </c>
      <c r="E865">
        <v>2024</v>
      </c>
      <c r="F865">
        <v>25</v>
      </c>
      <c r="G865">
        <f t="shared" si="80"/>
        <v>6</v>
      </c>
      <c r="H865" s="1">
        <f t="shared" si="81"/>
        <v>45460</v>
      </c>
      <c r="I865" s="1">
        <f t="shared" si="82"/>
        <v>45444</v>
      </c>
      <c r="J865">
        <v>1301304.2399999993</v>
      </c>
      <c r="K865">
        <v>61056</v>
      </c>
      <c r="L865">
        <f t="shared" si="78"/>
        <v>21.31329009433961</v>
      </c>
      <c r="M865">
        <v>5088</v>
      </c>
      <c r="N865" s="2">
        <f t="shared" si="83"/>
        <v>255.75948113207534</v>
      </c>
      <c r="O865">
        <v>12</v>
      </c>
    </row>
    <row r="866" spans="1:15" x14ac:dyDescent="0.25">
      <c r="A866" t="s">
        <v>46</v>
      </c>
      <c r="B866" t="s">
        <v>14</v>
      </c>
      <c r="C866" t="s">
        <v>4</v>
      </c>
      <c r="D866" t="str">
        <f t="shared" si="79"/>
        <v>FAB1_Leche Clasica Entera 1 L</v>
      </c>
      <c r="E866">
        <v>2024</v>
      </c>
      <c r="F866">
        <v>26</v>
      </c>
      <c r="G866">
        <f t="shared" si="80"/>
        <v>6</v>
      </c>
      <c r="H866" s="1">
        <f t="shared" si="81"/>
        <v>45467</v>
      </c>
      <c r="I866" s="1">
        <f t="shared" si="82"/>
        <v>45444</v>
      </c>
      <c r="J866">
        <v>1106233.6800000002</v>
      </c>
      <c r="K866">
        <v>52152</v>
      </c>
      <c r="L866">
        <f t="shared" si="78"/>
        <v>21.211721122871609</v>
      </c>
      <c r="M866">
        <v>4346</v>
      </c>
      <c r="N866" s="2">
        <f t="shared" si="83"/>
        <v>254.5406534744593</v>
      </c>
      <c r="O866">
        <v>12</v>
      </c>
    </row>
    <row r="867" spans="1:15" x14ac:dyDescent="0.25">
      <c r="A867" t="s">
        <v>46</v>
      </c>
      <c r="B867" t="s">
        <v>14</v>
      </c>
      <c r="C867" t="s">
        <v>4</v>
      </c>
      <c r="D867" t="str">
        <f t="shared" si="79"/>
        <v>FAB1_Leche Clasica Entera 1 L</v>
      </c>
      <c r="E867">
        <v>2024</v>
      </c>
      <c r="F867">
        <v>27</v>
      </c>
      <c r="G867">
        <f t="shared" si="80"/>
        <v>7</v>
      </c>
      <c r="H867" s="1">
        <f t="shared" si="81"/>
        <v>45474</v>
      </c>
      <c r="I867" s="1">
        <f t="shared" si="82"/>
        <v>45474</v>
      </c>
      <c r="J867">
        <v>1620038.45</v>
      </c>
      <c r="K867">
        <v>76308</v>
      </c>
      <c r="L867">
        <f t="shared" si="78"/>
        <v>21.230256984850868</v>
      </c>
      <c r="M867">
        <v>6359</v>
      </c>
      <c r="N867" s="2">
        <f t="shared" si="83"/>
        <v>254.76308381821039</v>
      </c>
      <c r="O867">
        <v>12</v>
      </c>
    </row>
    <row r="868" spans="1:15" x14ac:dyDescent="0.25">
      <c r="A868" t="s">
        <v>46</v>
      </c>
      <c r="B868" t="s">
        <v>14</v>
      </c>
      <c r="C868" t="s">
        <v>4</v>
      </c>
      <c r="D868" t="str">
        <f t="shared" si="79"/>
        <v>FAB1_Leche Clasica Entera 1 L</v>
      </c>
      <c r="E868">
        <v>2024</v>
      </c>
      <c r="F868">
        <v>28</v>
      </c>
      <c r="G868">
        <f t="shared" si="80"/>
        <v>7</v>
      </c>
      <c r="H868" s="1">
        <f t="shared" si="81"/>
        <v>45481</v>
      </c>
      <c r="I868" s="1">
        <f t="shared" si="82"/>
        <v>45474</v>
      </c>
      <c r="J868">
        <v>1716054.9299999978</v>
      </c>
      <c r="K868">
        <v>82944</v>
      </c>
      <c r="L868">
        <f t="shared" si="78"/>
        <v>20.689319661458306</v>
      </c>
      <c r="M868">
        <v>6912</v>
      </c>
      <c r="N868" s="2">
        <f t="shared" si="83"/>
        <v>248.27183593749967</v>
      </c>
      <c r="O868">
        <v>12</v>
      </c>
    </row>
    <row r="869" spans="1:15" x14ac:dyDescent="0.25">
      <c r="A869" t="s">
        <v>46</v>
      </c>
      <c r="B869" t="s">
        <v>14</v>
      </c>
      <c r="C869" t="s">
        <v>4</v>
      </c>
      <c r="D869" t="str">
        <f t="shared" si="79"/>
        <v>FAB1_Leche Clasica Entera 1 L</v>
      </c>
      <c r="E869">
        <v>2024</v>
      </c>
      <c r="F869">
        <v>29</v>
      </c>
      <c r="G869">
        <f t="shared" si="80"/>
        <v>7</v>
      </c>
      <c r="H869" s="1">
        <f t="shared" si="81"/>
        <v>45488</v>
      </c>
      <c r="I869" s="1">
        <f t="shared" si="82"/>
        <v>45474</v>
      </c>
      <c r="J869">
        <v>1981642.3400000005</v>
      </c>
      <c r="K869">
        <v>96048</v>
      </c>
      <c r="L869">
        <f t="shared" si="78"/>
        <v>20.631791812427124</v>
      </c>
      <c r="M869">
        <v>8004</v>
      </c>
      <c r="N869" s="2">
        <f t="shared" si="83"/>
        <v>247.58150174912549</v>
      </c>
      <c r="O869">
        <v>12</v>
      </c>
    </row>
    <row r="870" spans="1:15" x14ac:dyDescent="0.25">
      <c r="A870" t="s">
        <v>46</v>
      </c>
      <c r="B870" t="s">
        <v>14</v>
      </c>
      <c r="C870" t="s">
        <v>4</v>
      </c>
      <c r="D870" t="str">
        <f t="shared" si="79"/>
        <v>FAB1_Leche Clasica Entera 1 L</v>
      </c>
      <c r="E870">
        <v>2024</v>
      </c>
      <c r="F870">
        <v>30</v>
      </c>
      <c r="G870">
        <f t="shared" si="80"/>
        <v>7</v>
      </c>
      <c r="H870" s="1">
        <f t="shared" si="81"/>
        <v>45495</v>
      </c>
      <c r="I870" s="1">
        <f t="shared" si="82"/>
        <v>45474</v>
      </c>
      <c r="J870">
        <v>1886745.3899999997</v>
      </c>
      <c r="K870">
        <v>92160</v>
      </c>
      <c r="L870">
        <f t="shared" si="78"/>
        <v>20.472497721354163</v>
      </c>
      <c r="M870">
        <v>7680</v>
      </c>
      <c r="N870" s="2">
        <f t="shared" si="83"/>
        <v>245.66997265624997</v>
      </c>
      <c r="O870">
        <v>12</v>
      </c>
    </row>
    <row r="871" spans="1:15" x14ac:dyDescent="0.25">
      <c r="A871" t="s">
        <v>46</v>
      </c>
      <c r="B871" t="s">
        <v>14</v>
      </c>
      <c r="C871" t="s">
        <v>4</v>
      </c>
      <c r="D871" t="str">
        <f t="shared" si="79"/>
        <v>FAB1_Leche Clasica Entera 1 L</v>
      </c>
      <c r="E871">
        <v>2024</v>
      </c>
      <c r="F871">
        <v>31</v>
      </c>
      <c r="G871">
        <f t="shared" si="80"/>
        <v>8</v>
      </c>
      <c r="H871" s="1">
        <f t="shared" si="81"/>
        <v>45502</v>
      </c>
      <c r="I871" s="1">
        <f t="shared" si="82"/>
        <v>45505</v>
      </c>
      <c r="J871">
        <v>1840539.3299999998</v>
      </c>
      <c r="K871">
        <v>87120</v>
      </c>
      <c r="L871">
        <f t="shared" si="78"/>
        <v>21.126484504132229</v>
      </c>
      <c r="M871">
        <v>7260</v>
      </c>
      <c r="N871" s="2">
        <f t="shared" si="83"/>
        <v>253.51781404958675</v>
      </c>
      <c r="O871">
        <v>12</v>
      </c>
    </row>
    <row r="872" spans="1:15" x14ac:dyDescent="0.25">
      <c r="A872" t="s">
        <v>46</v>
      </c>
      <c r="B872" t="s">
        <v>14</v>
      </c>
      <c r="C872" t="s">
        <v>4</v>
      </c>
      <c r="D872" t="str">
        <f t="shared" si="79"/>
        <v>FAB1_Leche Clasica Entera 1 L</v>
      </c>
      <c r="E872">
        <v>2024</v>
      </c>
      <c r="F872">
        <v>32</v>
      </c>
      <c r="G872">
        <f t="shared" si="80"/>
        <v>8</v>
      </c>
      <c r="H872" s="1">
        <f t="shared" si="81"/>
        <v>45509</v>
      </c>
      <c r="I872" s="1">
        <f t="shared" si="82"/>
        <v>45505</v>
      </c>
      <c r="J872">
        <v>1548870.2999999986</v>
      </c>
      <c r="K872">
        <v>70164</v>
      </c>
      <c r="L872">
        <f t="shared" si="78"/>
        <v>22.074999999999982</v>
      </c>
      <c r="M872">
        <v>5847</v>
      </c>
      <c r="N872" s="2">
        <f t="shared" si="83"/>
        <v>264.89999999999975</v>
      </c>
      <c r="O872">
        <v>12</v>
      </c>
    </row>
    <row r="873" spans="1:15" x14ac:dyDescent="0.25">
      <c r="A873" t="s">
        <v>46</v>
      </c>
      <c r="B873" t="s">
        <v>14</v>
      </c>
      <c r="C873" t="s">
        <v>4</v>
      </c>
      <c r="D873" t="str">
        <f t="shared" si="79"/>
        <v>FAB1_Leche Clasica Entera 1 L</v>
      </c>
      <c r="E873">
        <v>2024</v>
      </c>
      <c r="F873">
        <v>33</v>
      </c>
      <c r="G873">
        <f t="shared" si="80"/>
        <v>8</v>
      </c>
      <c r="H873" s="1">
        <f t="shared" si="81"/>
        <v>45516</v>
      </c>
      <c r="I873" s="1">
        <f t="shared" si="82"/>
        <v>45505</v>
      </c>
      <c r="J873">
        <v>2467376.0599999991</v>
      </c>
      <c r="K873">
        <v>120108</v>
      </c>
      <c r="L873">
        <f t="shared" si="78"/>
        <v>20.542978486029234</v>
      </c>
      <c r="M873">
        <v>10009</v>
      </c>
      <c r="N873" s="2">
        <f t="shared" si="83"/>
        <v>246.51574183235078</v>
      </c>
      <c r="O873">
        <v>12</v>
      </c>
    </row>
    <row r="874" spans="1:15" x14ac:dyDescent="0.25">
      <c r="A874" t="s">
        <v>46</v>
      </c>
      <c r="B874" t="s">
        <v>14</v>
      </c>
      <c r="C874" t="s">
        <v>4</v>
      </c>
      <c r="D874" t="str">
        <f t="shared" si="79"/>
        <v>FAB1_Leche Clasica Entera 1 L</v>
      </c>
      <c r="E874">
        <v>2024</v>
      </c>
      <c r="F874">
        <v>34</v>
      </c>
      <c r="G874">
        <f t="shared" si="80"/>
        <v>8</v>
      </c>
      <c r="H874" s="1">
        <f t="shared" si="81"/>
        <v>45523</v>
      </c>
      <c r="I874" s="1">
        <f t="shared" si="82"/>
        <v>45505</v>
      </c>
      <c r="J874">
        <v>1828732.4299999997</v>
      </c>
      <c r="K874">
        <v>87084</v>
      </c>
      <c r="L874">
        <f t="shared" si="78"/>
        <v>20.999637476459508</v>
      </c>
      <c r="M874">
        <v>7257</v>
      </c>
      <c r="N874" s="2">
        <f t="shared" si="83"/>
        <v>251.99564971751408</v>
      </c>
      <c r="O874">
        <v>12</v>
      </c>
    </row>
    <row r="875" spans="1:15" x14ac:dyDescent="0.25">
      <c r="A875" t="s">
        <v>46</v>
      </c>
      <c r="B875" t="s">
        <v>14</v>
      </c>
      <c r="C875" t="s">
        <v>4</v>
      </c>
      <c r="D875" t="str">
        <f t="shared" si="79"/>
        <v>FAB1_Leche Clasica Entera 1 L</v>
      </c>
      <c r="E875">
        <v>2024</v>
      </c>
      <c r="F875">
        <v>35</v>
      </c>
      <c r="G875">
        <f t="shared" si="80"/>
        <v>8</v>
      </c>
      <c r="H875" s="1">
        <f t="shared" si="81"/>
        <v>45530</v>
      </c>
      <c r="I875" s="1">
        <f t="shared" si="82"/>
        <v>45505</v>
      </c>
      <c r="J875">
        <v>1429138.6299999997</v>
      </c>
      <c r="K875">
        <v>65988</v>
      </c>
      <c r="L875">
        <f t="shared" si="78"/>
        <v>21.65755334303206</v>
      </c>
      <c r="M875">
        <v>5499</v>
      </c>
      <c r="N875" s="2">
        <f t="shared" si="83"/>
        <v>259.89064011638476</v>
      </c>
      <c r="O875">
        <v>12</v>
      </c>
    </row>
    <row r="876" spans="1:15" x14ac:dyDescent="0.25">
      <c r="A876" t="s">
        <v>46</v>
      </c>
      <c r="B876" t="s">
        <v>14</v>
      </c>
      <c r="C876" t="s">
        <v>4</v>
      </c>
      <c r="D876" t="str">
        <f t="shared" si="79"/>
        <v>FAB1_Leche Clasica Entera 1 L</v>
      </c>
      <c r="E876">
        <v>2024</v>
      </c>
      <c r="F876">
        <v>36</v>
      </c>
      <c r="G876">
        <f t="shared" si="80"/>
        <v>9</v>
      </c>
      <c r="H876" s="1">
        <f t="shared" si="81"/>
        <v>45537</v>
      </c>
      <c r="I876" s="1">
        <f t="shared" si="82"/>
        <v>45536</v>
      </c>
      <c r="J876">
        <v>1863895.0799999994</v>
      </c>
      <c r="K876">
        <v>85692</v>
      </c>
      <c r="L876">
        <f t="shared" si="78"/>
        <v>21.751097885450211</v>
      </c>
      <c r="M876">
        <v>7141</v>
      </c>
      <c r="N876" s="2">
        <f t="shared" si="83"/>
        <v>261.01317462540254</v>
      </c>
      <c r="O876">
        <v>12</v>
      </c>
    </row>
    <row r="877" spans="1:15" x14ac:dyDescent="0.25">
      <c r="A877" t="s">
        <v>46</v>
      </c>
      <c r="B877" t="s">
        <v>14</v>
      </c>
      <c r="C877" t="s">
        <v>4</v>
      </c>
      <c r="D877" t="str">
        <f t="shared" si="79"/>
        <v>FAB1_Leche Clasica Entera 1 L</v>
      </c>
      <c r="E877">
        <v>2024</v>
      </c>
      <c r="F877">
        <v>37</v>
      </c>
      <c r="G877">
        <f t="shared" si="80"/>
        <v>9</v>
      </c>
      <c r="H877" s="1">
        <f t="shared" si="81"/>
        <v>45544</v>
      </c>
      <c r="I877" s="1">
        <f t="shared" si="82"/>
        <v>45536</v>
      </c>
      <c r="J877">
        <v>2192698.6899999985</v>
      </c>
      <c r="K877">
        <v>105264</v>
      </c>
      <c r="L877">
        <f t="shared" si="78"/>
        <v>20.830470911232695</v>
      </c>
      <c r="M877">
        <v>8772</v>
      </c>
      <c r="N877" s="2">
        <f t="shared" si="83"/>
        <v>249.96565093479236</v>
      </c>
      <c r="O877">
        <v>12</v>
      </c>
    </row>
    <row r="878" spans="1:15" x14ac:dyDescent="0.25">
      <c r="A878" t="s">
        <v>46</v>
      </c>
      <c r="B878" t="s">
        <v>14</v>
      </c>
      <c r="C878" t="s">
        <v>4</v>
      </c>
      <c r="D878" t="str">
        <f t="shared" si="79"/>
        <v>FAB1_Leche Clasica Entera 1 L</v>
      </c>
      <c r="E878">
        <v>2024</v>
      </c>
      <c r="F878">
        <v>38</v>
      </c>
      <c r="G878">
        <f t="shared" si="80"/>
        <v>9</v>
      </c>
      <c r="H878" s="1">
        <f t="shared" si="81"/>
        <v>45551</v>
      </c>
      <c r="I878" s="1">
        <f t="shared" si="82"/>
        <v>45536</v>
      </c>
      <c r="J878">
        <v>1475948.459999999</v>
      </c>
      <c r="K878">
        <v>64632</v>
      </c>
      <c r="L878">
        <f t="shared" si="78"/>
        <v>22.836187337541759</v>
      </c>
      <c r="M878">
        <v>5386</v>
      </c>
      <c r="N878" s="2">
        <f t="shared" si="83"/>
        <v>274.03424805050111</v>
      </c>
      <c r="O878">
        <v>12</v>
      </c>
    </row>
    <row r="879" spans="1:15" x14ac:dyDescent="0.25">
      <c r="A879" t="s">
        <v>46</v>
      </c>
      <c r="B879" t="s">
        <v>14</v>
      </c>
      <c r="C879" t="s">
        <v>4</v>
      </c>
      <c r="D879" t="str">
        <f t="shared" si="79"/>
        <v>FAB1_Leche Clasica Entera 1 L</v>
      </c>
      <c r="E879">
        <v>2024</v>
      </c>
      <c r="F879">
        <v>39</v>
      </c>
      <c r="G879">
        <f t="shared" si="80"/>
        <v>9</v>
      </c>
      <c r="H879" s="1">
        <f t="shared" si="81"/>
        <v>45558</v>
      </c>
      <c r="I879" s="1">
        <f t="shared" si="82"/>
        <v>45536</v>
      </c>
      <c r="J879">
        <v>1222611.8499999992</v>
      </c>
      <c r="K879">
        <v>53808</v>
      </c>
      <c r="L879">
        <f t="shared" si="78"/>
        <v>22.721748624739799</v>
      </c>
      <c r="M879">
        <v>4484</v>
      </c>
      <c r="N879" s="2">
        <f t="shared" si="83"/>
        <v>272.66098349687758</v>
      </c>
      <c r="O879">
        <v>12</v>
      </c>
    </row>
    <row r="880" spans="1:15" x14ac:dyDescent="0.25">
      <c r="A880" t="s">
        <v>46</v>
      </c>
      <c r="B880" t="s">
        <v>14</v>
      </c>
      <c r="C880" t="s">
        <v>4</v>
      </c>
      <c r="D880" t="str">
        <f t="shared" si="79"/>
        <v>FAB1_Leche Clasica Entera 1 L</v>
      </c>
      <c r="E880">
        <v>2024</v>
      </c>
      <c r="F880">
        <v>40</v>
      </c>
      <c r="G880">
        <f t="shared" si="80"/>
        <v>10</v>
      </c>
      <c r="H880" s="1">
        <f t="shared" si="81"/>
        <v>45565</v>
      </c>
      <c r="I880" s="1">
        <f t="shared" si="82"/>
        <v>45566</v>
      </c>
      <c r="J880">
        <v>1756875.6499999994</v>
      </c>
      <c r="K880">
        <v>77772</v>
      </c>
      <c r="L880">
        <f t="shared" si="78"/>
        <v>22.590079334464839</v>
      </c>
      <c r="M880">
        <v>6481</v>
      </c>
      <c r="N880" s="2">
        <f t="shared" si="83"/>
        <v>271.08095201357804</v>
      </c>
      <c r="O880">
        <v>12</v>
      </c>
    </row>
    <row r="881" spans="1:15" x14ac:dyDescent="0.25">
      <c r="A881" t="s">
        <v>46</v>
      </c>
      <c r="B881" t="s">
        <v>14</v>
      </c>
      <c r="C881" t="s">
        <v>4</v>
      </c>
      <c r="D881" t="str">
        <f t="shared" si="79"/>
        <v>FAB1_Leche Clasica Entera 1 L</v>
      </c>
      <c r="E881">
        <v>2024</v>
      </c>
      <c r="F881">
        <v>41</v>
      </c>
      <c r="G881">
        <f t="shared" si="80"/>
        <v>10</v>
      </c>
      <c r="H881" s="1">
        <f t="shared" si="81"/>
        <v>45572</v>
      </c>
      <c r="I881" s="1">
        <f t="shared" si="82"/>
        <v>45566</v>
      </c>
      <c r="J881">
        <v>1345870.7699999998</v>
      </c>
      <c r="K881">
        <v>59220</v>
      </c>
      <c r="L881">
        <f t="shared" si="78"/>
        <v>22.726625633232011</v>
      </c>
      <c r="M881">
        <v>4935</v>
      </c>
      <c r="N881" s="2">
        <f t="shared" si="83"/>
        <v>272.71950759878416</v>
      </c>
      <c r="O881">
        <v>12</v>
      </c>
    </row>
    <row r="882" spans="1:15" x14ac:dyDescent="0.25">
      <c r="A882" t="s">
        <v>46</v>
      </c>
      <c r="B882" t="s">
        <v>14</v>
      </c>
      <c r="C882" t="s">
        <v>4</v>
      </c>
      <c r="D882" t="str">
        <f t="shared" si="79"/>
        <v>FAB1_Leche Clasica Entera 1 L</v>
      </c>
      <c r="E882">
        <v>2024</v>
      </c>
      <c r="F882">
        <v>42</v>
      </c>
      <c r="G882">
        <f t="shared" si="80"/>
        <v>10</v>
      </c>
      <c r="H882" s="1">
        <f t="shared" si="81"/>
        <v>45579</v>
      </c>
      <c r="I882" s="1">
        <f t="shared" si="82"/>
        <v>45566</v>
      </c>
      <c r="J882">
        <v>2722451.100000001</v>
      </c>
      <c r="K882">
        <v>129084</v>
      </c>
      <c r="L882">
        <f t="shared" si="78"/>
        <v>21.090538718973701</v>
      </c>
      <c r="M882">
        <v>10757</v>
      </c>
      <c r="N882" s="2">
        <f t="shared" si="83"/>
        <v>253.08646462768439</v>
      </c>
      <c r="O882">
        <v>12</v>
      </c>
    </row>
    <row r="883" spans="1:15" x14ac:dyDescent="0.25">
      <c r="A883" t="s">
        <v>46</v>
      </c>
      <c r="B883" t="s">
        <v>14</v>
      </c>
      <c r="C883" t="s">
        <v>4</v>
      </c>
      <c r="D883" t="str">
        <f t="shared" si="79"/>
        <v>FAB1_Leche Clasica Entera 1 L</v>
      </c>
      <c r="E883">
        <v>2024</v>
      </c>
      <c r="F883">
        <v>43</v>
      </c>
      <c r="G883">
        <f t="shared" si="80"/>
        <v>10</v>
      </c>
      <c r="H883" s="1">
        <f t="shared" si="81"/>
        <v>45586</v>
      </c>
      <c r="I883" s="1">
        <f t="shared" si="82"/>
        <v>45566</v>
      </c>
      <c r="J883">
        <v>1452600.6600000006</v>
      </c>
      <c r="K883">
        <v>64944</v>
      </c>
      <c r="L883">
        <f t="shared" si="78"/>
        <v>22.366972468588333</v>
      </c>
      <c r="M883">
        <v>5412</v>
      </c>
      <c r="N883" s="2">
        <f t="shared" si="83"/>
        <v>268.40366962305995</v>
      </c>
      <c r="O883">
        <v>12</v>
      </c>
    </row>
    <row r="884" spans="1:15" x14ac:dyDescent="0.25">
      <c r="A884" t="s">
        <v>46</v>
      </c>
      <c r="B884" t="s">
        <v>14</v>
      </c>
      <c r="C884" t="s">
        <v>4</v>
      </c>
      <c r="D884" t="str">
        <f t="shared" si="79"/>
        <v>FAB1_Leche Clasica Entera 1 L</v>
      </c>
      <c r="E884">
        <v>2024</v>
      </c>
      <c r="F884">
        <v>44</v>
      </c>
      <c r="G884">
        <f t="shared" si="80"/>
        <v>10</v>
      </c>
      <c r="H884" s="1">
        <f t="shared" si="81"/>
        <v>45593</v>
      </c>
      <c r="I884" s="1">
        <f t="shared" si="82"/>
        <v>45566</v>
      </c>
      <c r="J884">
        <v>1599921.8200000005</v>
      </c>
      <c r="K884">
        <v>73728</v>
      </c>
      <c r="L884">
        <f t="shared" si="78"/>
        <v>21.700328504774312</v>
      </c>
      <c r="M884">
        <v>6144</v>
      </c>
      <c r="N884" s="2">
        <f t="shared" si="83"/>
        <v>260.40394205729177</v>
      </c>
      <c r="O884">
        <v>12</v>
      </c>
    </row>
    <row r="885" spans="1:15" x14ac:dyDescent="0.25">
      <c r="A885" t="s">
        <v>46</v>
      </c>
      <c r="B885" t="s">
        <v>14</v>
      </c>
      <c r="C885" t="s">
        <v>4</v>
      </c>
      <c r="D885" t="str">
        <f t="shared" si="79"/>
        <v>FAB1_Leche Clasica Entera 1 L</v>
      </c>
      <c r="E885">
        <v>2024</v>
      </c>
      <c r="F885">
        <v>45</v>
      </c>
      <c r="G885">
        <f t="shared" si="80"/>
        <v>11</v>
      </c>
      <c r="H885" s="1">
        <f t="shared" si="81"/>
        <v>45600</v>
      </c>
      <c r="I885" s="1">
        <f t="shared" si="82"/>
        <v>45597</v>
      </c>
      <c r="J885">
        <v>1539321.7599999991</v>
      </c>
      <c r="K885">
        <v>71328</v>
      </c>
      <c r="L885">
        <f t="shared" si="78"/>
        <v>21.580890533871678</v>
      </c>
      <c r="M885">
        <v>5944</v>
      </c>
      <c r="N885" s="2">
        <f t="shared" si="83"/>
        <v>258.97068640646012</v>
      </c>
      <c r="O885">
        <v>12</v>
      </c>
    </row>
    <row r="886" spans="1:15" x14ac:dyDescent="0.25">
      <c r="A886" t="s">
        <v>46</v>
      </c>
      <c r="B886" t="s">
        <v>14</v>
      </c>
      <c r="C886" t="s">
        <v>4</v>
      </c>
      <c r="D886" t="str">
        <f t="shared" si="79"/>
        <v>FAB1_Leche Clasica Entera 1 L</v>
      </c>
      <c r="E886">
        <v>2024</v>
      </c>
      <c r="F886">
        <v>46</v>
      </c>
      <c r="G886">
        <f t="shared" si="80"/>
        <v>11</v>
      </c>
      <c r="H886" s="1">
        <f t="shared" si="81"/>
        <v>45607</v>
      </c>
      <c r="I886" s="1">
        <f t="shared" si="82"/>
        <v>45597</v>
      </c>
      <c r="J886">
        <v>1796427.6999999983</v>
      </c>
      <c r="K886">
        <v>83352</v>
      </c>
      <c r="L886">
        <f t="shared" si="78"/>
        <v>21.552304683750819</v>
      </c>
      <c r="M886">
        <v>6946</v>
      </c>
      <c r="N886" s="2">
        <f t="shared" si="83"/>
        <v>258.62765620500983</v>
      </c>
      <c r="O886">
        <v>12</v>
      </c>
    </row>
    <row r="887" spans="1:15" x14ac:dyDescent="0.25">
      <c r="A887" t="s">
        <v>46</v>
      </c>
      <c r="B887" t="s">
        <v>14</v>
      </c>
      <c r="C887" t="s">
        <v>4</v>
      </c>
      <c r="D887" t="str">
        <f t="shared" si="79"/>
        <v>FAB1_Leche Clasica Entera 1 L</v>
      </c>
      <c r="E887">
        <v>2024</v>
      </c>
      <c r="F887">
        <v>47</v>
      </c>
      <c r="G887">
        <f t="shared" si="80"/>
        <v>11</v>
      </c>
      <c r="H887" s="1">
        <f t="shared" si="81"/>
        <v>45614</v>
      </c>
      <c r="I887" s="1">
        <f t="shared" si="82"/>
        <v>45597</v>
      </c>
      <c r="J887">
        <v>1835397.8899999994</v>
      </c>
      <c r="K887">
        <v>84720</v>
      </c>
      <c r="L887">
        <f t="shared" si="78"/>
        <v>21.6642810434372</v>
      </c>
      <c r="M887">
        <v>7060</v>
      </c>
      <c r="N887" s="2">
        <f t="shared" si="83"/>
        <v>259.97137252124639</v>
      </c>
      <c r="O887">
        <v>12</v>
      </c>
    </row>
    <row r="888" spans="1:15" x14ac:dyDescent="0.25">
      <c r="A888" t="s">
        <v>46</v>
      </c>
      <c r="B888" t="s">
        <v>14</v>
      </c>
      <c r="C888" t="s">
        <v>4</v>
      </c>
      <c r="D888" t="str">
        <f t="shared" si="79"/>
        <v>FAB1_Leche Clasica Entera 1 L</v>
      </c>
      <c r="E888">
        <v>2024</v>
      </c>
      <c r="F888">
        <v>48</v>
      </c>
      <c r="G888">
        <f t="shared" si="80"/>
        <v>11</v>
      </c>
      <c r="H888" s="1">
        <f t="shared" si="81"/>
        <v>45621</v>
      </c>
      <c r="I888" s="1">
        <f t="shared" si="82"/>
        <v>45597</v>
      </c>
      <c r="J888">
        <v>1389718.0599999998</v>
      </c>
      <c r="K888">
        <v>63960</v>
      </c>
      <c r="L888">
        <f t="shared" si="78"/>
        <v>21.727924640400246</v>
      </c>
      <c r="M888">
        <v>5330</v>
      </c>
      <c r="N888" s="2">
        <f t="shared" si="83"/>
        <v>260.73509568480296</v>
      </c>
      <c r="O888">
        <v>12</v>
      </c>
    </row>
    <row r="889" spans="1:15" x14ac:dyDescent="0.25">
      <c r="A889" t="s">
        <v>46</v>
      </c>
      <c r="B889" t="s">
        <v>14</v>
      </c>
      <c r="C889" t="s">
        <v>4</v>
      </c>
      <c r="D889" t="str">
        <f t="shared" si="79"/>
        <v>FAB1_Leche Clasica Entera 1 L</v>
      </c>
      <c r="E889">
        <v>2024</v>
      </c>
      <c r="F889">
        <v>49</v>
      </c>
      <c r="G889">
        <f t="shared" si="80"/>
        <v>12</v>
      </c>
      <c r="H889" s="1">
        <f t="shared" si="81"/>
        <v>45628</v>
      </c>
      <c r="I889" s="1">
        <f t="shared" si="82"/>
        <v>45627</v>
      </c>
      <c r="J889">
        <v>1077550.4999999993</v>
      </c>
      <c r="K889">
        <v>48756</v>
      </c>
      <c r="L889">
        <f t="shared" si="78"/>
        <v>22.10087989170562</v>
      </c>
      <c r="M889">
        <v>4063</v>
      </c>
      <c r="N889" s="2">
        <f t="shared" si="83"/>
        <v>265.21055870046746</v>
      </c>
      <c r="O889">
        <v>12</v>
      </c>
    </row>
    <row r="890" spans="1:15" x14ac:dyDescent="0.25">
      <c r="A890" t="s">
        <v>46</v>
      </c>
      <c r="B890" t="s">
        <v>14</v>
      </c>
      <c r="C890" t="s">
        <v>4</v>
      </c>
      <c r="D890" t="str">
        <f t="shared" si="79"/>
        <v>FAB1_Leche Clasica Entera 1 L</v>
      </c>
      <c r="E890">
        <v>2024</v>
      </c>
      <c r="F890">
        <v>50</v>
      </c>
      <c r="G890">
        <f t="shared" si="80"/>
        <v>12</v>
      </c>
      <c r="H890" s="1">
        <f t="shared" si="81"/>
        <v>45635</v>
      </c>
      <c r="I890" s="1">
        <f t="shared" si="82"/>
        <v>45627</v>
      </c>
      <c r="J890">
        <v>3053156.63</v>
      </c>
      <c r="K890">
        <v>147396</v>
      </c>
      <c r="L890">
        <f t="shared" si="78"/>
        <v>20.713972088794812</v>
      </c>
      <c r="M890">
        <v>12283</v>
      </c>
      <c r="N890" s="2">
        <f t="shared" si="83"/>
        <v>248.56766506553774</v>
      </c>
      <c r="O890">
        <v>12</v>
      </c>
    </row>
    <row r="891" spans="1:15" x14ac:dyDescent="0.25">
      <c r="A891" t="s">
        <v>46</v>
      </c>
      <c r="B891" t="s">
        <v>14</v>
      </c>
      <c r="C891" t="s">
        <v>4</v>
      </c>
      <c r="D891" t="str">
        <f t="shared" si="79"/>
        <v>FAB1_Leche Clasica Entera 1 L</v>
      </c>
      <c r="E891">
        <v>2024</v>
      </c>
      <c r="F891">
        <v>51</v>
      </c>
      <c r="G891">
        <f t="shared" si="80"/>
        <v>12</v>
      </c>
      <c r="H891" s="1">
        <f t="shared" si="81"/>
        <v>45642</v>
      </c>
      <c r="I891" s="1">
        <f t="shared" si="82"/>
        <v>45627</v>
      </c>
      <c r="J891">
        <v>1370591.2900000003</v>
      </c>
      <c r="K891">
        <v>61608</v>
      </c>
      <c r="L891">
        <f t="shared" si="78"/>
        <v>22.246969387092591</v>
      </c>
      <c r="M891">
        <v>5134</v>
      </c>
      <c r="N891" s="2">
        <f t="shared" si="83"/>
        <v>266.96363264511109</v>
      </c>
      <c r="O891">
        <v>12</v>
      </c>
    </row>
    <row r="892" spans="1:15" x14ac:dyDescent="0.25">
      <c r="A892" t="s">
        <v>46</v>
      </c>
      <c r="B892" t="s">
        <v>14</v>
      </c>
      <c r="C892" t="s">
        <v>4</v>
      </c>
      <c r="D892" t="str">
        <f t="shared" si="79"/>
        <v>FAB1_Leche Clasica Entera 1 L</v>
      </c>
      <c r="E892">
        <v>2024</v>
      </c>
      <c r="F892">
        <v>52</v>
      </c>
      <c r="G892">
        <f t="shared" si="80"/>
        <v>12</v>
      </c>
      <c r="H892" s="1">
        <f t="shared" si="81"/>
        <v>45649</v>
      </c>
      <c r="I892" s="1">
        <f t="shared" si="82"/>
        <v>45627</v>
      </c>
      <c r="J892">
        <v>2133726.1299999962</v>
      </c>
      <c r="K892">
        <v>101748</v>
      </c>
      <c r="L892">
        <f t="shared" si="78"/>
        <v>20.970693576286475</v>
      </c>
      <c r="M892">
        <v>8479</v>
      </c>
      <c r="N892" s="2">
        <f t="shared" si="83"/>
        <v>251.64832291543769</v>
      </c>
      <c r="O892">
        <v>12</v>
      </c>
    </row>
    <row r="893" spans="1:15" x14ac:dyDescent="0.25">
      <c r="A893" t="s">
        <v>46</v>
      </c>
      <c r="B893" t="s">
        <v>14</v>
      </c>
      <c r="C893" t="s">
        <v>4</v>
      </c>
      <c r="D893" t="str">
        <f t="shared" si="79"/>
        <v>FAB1_Leche Clasica Entera 1 L</v>
      </c>
      <c r="E893">
        <v>2025</v>
      </c>
      <c r="F893">
        <v>1</v>
      </c>
      <c r="G893">
        <f t="shared" si="80"/>
        <v>1</v>
      </c>
      <c r="H893" s="1">
        <f t="shared" si="81"/>
        <v>45656</v>
      </c>
      <c r="I893" s="1">
        <f t="shared" si="82"/>
        <v>45658</v>
      </c>
      <c r="J893">
        <v>1500261.0199999989</v>
      </c>
      <c r="K893">
        <v>68904</v>
      </c>
      <c r="L893">
        <f t="shared" si="78"/>
        <v>21.773206490189231</v>
      </c>
      <c r="M893">
        <v>5742</v>
      </c>
      <c r="N893" s="2">
        <f t="shared" si="83"/>
        <v>261.27847788227081</v>
      </c>
      <c r="O893">
        <v>12</v>
      </c>
    </row>
    <row r="894" spans="1:15" x14ac:dyDescent="0.25">
      <c r="A894" t="s">
        <v>46</v>
      </c>
      <c r="B894" t="s">
        <v>14</v>
      </c>
      <c r="C894" t="s">
        <v>4</v>
      </c>
      <c r="D894" t="str">
        <f t="shared" si="79"/>
        <v>FAB1_Leche Clasica Entera 1 L</v>
      </c>
      <c r="E894">
        <v>2025</v>
      </c>
      <c r="F894">
        <v>2</v>
      </c>
      <c r="G894">
        <f t="shared" si="80"/>
        <v>1</v>
      </c>
      <c r="H894" s="1">
        <f t="shared" si="81"/>
        <v>45663</v>
      </c>
      <c r="I894" s="1">
        <f t="shared" si="82"/>
        <v>45658</v>
      </c>
      <c r="J894">
        <v>1367521.1799999992</v>
      </c>
      <c r="K894">
        <v>61104</v>
      </c>
      <c r="L894">
        <f t="shared" si="78"/>
        <v>22.380223553286189</v>
      </c>
      <c r="M894">
        <v>5092</v>
      </c>
      <c r="N894" s="2">
        <f t="shared" si="83"/>
        <v>268.56268263943423</v>
      </c>
      <c r="O894">
        <v>12</v>
      </c>
    </row>
    <row r="895" spans="1:15" x14ac:dyDescent="0.25">
      <c r="A895" t="s">
        <v>46</v>
      </c>
      <c r="B895" t="s">
        <v>14</v>
      </c>
      <c r="C895" t="s">
        <v>4</v>
      </c>
      <c r="D895" t="str">
        <f t="shared" si="79"/>
        <v>FAB1_Leche Clasica Entera 1 L</v>
      </c>
      <c r="E895">
        <v>2025</v>
      </c>
      <c r="F895">
        <v>3</v>
      </c>
      <c r="G895">
        <f t="shared" si="80"/>
        <v>1</v>
      </c>
      <c r="H895" s="1">
        <f t="shared" si="81"/>
        <v>45670</v>
      </c>
      <c r="I895" s="1">
        <f t="shared" si="82"/>
        <v>45658</v>
      </c>
      <c r="J895">
        <v>2219712.2200000011</v>
      </c>
      <c r="K895">
        <v>106596</v>
      </c>
      <c r="L895">
        <f t="shared" si="78"/>
        <v>20.823597695973593</v>
      </c>
      <c r="M895">
        <v>8883</v>
      </c>
      <c r="N895" s="2">
        <f t="shared" si="83"/>
        <v>249.88317235168313</v>
      </c>
      <c r="O895">
        <v>12</v>
      </c>
    </row>
    <row r="896" spans="1:15" x14ac:dyDescent="0.25">
      <c r="A896" t="s">
        <v>46</v>
      </c>
      <c r="B896" t="s">
        <v>14</v>
      </c>
      <c r="C896" t="s">
        <v>4</v>
      </c>
      <c r="D896" t="str">
        <f t="shared" si="79"/>
        <v>FAB1_Leche Clasica Entera 1 L</v>
      </c>
      <c r="E896">
        <v>2025</v>
      </c>
      <c r="F896">
        <v>4</v>
      </c>
      <c r="G896">
        <f t="shared" si="80"/>
        <v>1</v>
      </c>
      <c r="H896" s="1">
        <f t="shared" si="81"/>
        <v>45677</v>
      </c>
      <c r="I896" s="1">
        <f t="shared" si="82"/>
        <v>45658</v>
      </c>
      <c r="J896">
        <v>1513298.5900000003</v>
      </c>
      <c r="K896">
        <v>68652</v>
      </c>
      <c r="L896">
        <f t="shared" si="78"/>
        <v>22.043037202120846</v>
      </c>
      <c r="M896">
        <v>5721</v>
      </c>
      <c r="N896" s="2">
        <f t="shared" si="83"/>
        <v>264.51644642545017</v>
      </c>
      <c r="O896">
        <v>12</v>
      </c>
    </row>
    <row r="897" spans="1:15" x14ac:dyDescent="0.25">
      <c r="A897" t="s">
        <v>46</v>
      </c>
      <c r="B897" t="s">
        <v>14</v>
      </c>
      <c r="C897" t="s">
        <v>4</v>
      </c>
      <c r="D897" t="str">
        <f t="shared" si="79"/>
        <v>FAB1_Leche Clasica Entera 1 L</v>
      </c>
      <c r="E897">
        <v>2025</v>
      </c>
      <c r="F897">
        <v>5</v>
      </c>
      <c r="G897">
        <f t="shared" si="80"/>
        <v>1</v>
      </c>
      <c r="H897" s="1">
        <f t="shared" si="81"/>
        <v>45684</v>
      </c>
      <c r="I897" s="1">
        <f t="shared" si="82"/>
        <v>45658</v>
      </c>
      <c r="J897">
        <v>2260140.8299999996</v>
      </c>
      <c r="K897">
        <v>103512</v>
      </c>
      <c r="L897">
        <f t="shared" si="78"/>
        <v>21.834577923332557</v>
      </c>
      <c r="M897">
        <v>8626</v>
      </c>
      <c r="N897" s="2">
        <f t="shared" si="83"/>
        <v>262.01493507999066</v>
      </c>
      <c r="O897">
        <v>12</v>
      </c>
    </row>
    <row r="898" spans="1:15" x14ac:dyDescent="0.25">
      <c r="A898" t="s">
        <v>46</v>
      </c>
      <c r="B898" t="s">
        <v>14</v>
      </c>
      <c r="C898" t="s">
        <v>4</v>
      </c>
      <c r="D898" t="str">
        <f t="shared" si="79"/>
        <v>FAB1_Leche Clasica Entera 1 L</v>
      </c>
      <c r="E898">
        <v>2025</v>
      </c>
      <c r="F898">
        <v>6</v>
      </c>
      <c r="G898">
        <f t="shared" si="80"/>
        <v>2</v>
      </c>
      <c r="H898" s="1">
        <f t="shared" si="81"/>
        <v>45691</v>
      </c>
      <c r="I898" s="1">
        <f t="shared" si="82"/>
        <v>45689</v>
      </c>
      <c r="J898">
        <v>1157020.3300000005</v>
      </c>
      <c r="K898">
        <v>48780</v>
      </c>
      <c r="L898">
        <f t="shared" ref="L898:L961" si="84">J898/K898</f>
        <v>23.719153956539575</v>
      </c>
      <c r="M898">
        <v>4065</v>
      </c>
      <c r="N898" s="2">
        <f t="shared" si="83"/>
        <v>284.62984747847491</v>
      </c>
      <c r="O898">
        <v>12</v>
      </c>
    </row>
    <row r="899" spans="1:15" x14ac:dyDescent="0.25">
      <c r="A899" t="s">
        <v>46</v>
      </c>
      <c r="B899" t="s">
        <v>14</v>
      </c>
      <c r="C899" t="s">
        <v>4</v>
      </c>
      <c r="D899" t="str">
        <f t="shared" ref="D899:D962" si="85">B899&amp;"_"&amp;C899</f>
        <v>FAB1_Leche Clasica Entera 1 L</v>
      </c>
      <c r="E899">
        <v>2025</v>
      </c>
      <c r="F899">
        <v>7</v>
      </c>
      <c r="G899">
        <f t="shared" ref="G899:G962" si="86">MONTH(DATE(E899,1,4)+(F899-1)*7-WEEKDAY(DATE(E899,1,4),2)+4)</f>
        <v>2</v>
      </c>
      <c r="H899" s="1">
        <f t="shared" ref="H899:H962" si="87">DATE(E899,1,-2)-WEEKDAY(DATE(E899,1,3))+F899*7</f>
        <v>45698</v>
      </c>
      <c r="I899" s="1">
        <f t="shared" ref="I899:I962" si="88">DATE(E899,G899,1)</f>
        <v>45689</v>
      </c>
      <c r="J899">
        <v>1922685.5199999989</v>
      </c>
      <c r="K899">
        <v>88272</v>
      </c>
      <c r="L899">
        <f t="shared" si="84"/>
        <v>21.781374841399298</v>
      </c>
      <c r="M899">
        <v>7356</v>
      </c>
      <c r="N899" s="2">
        <f t="shared" ref="N899:N962" si="89">J899/M899</f>
        <v>261.37649809679158</v>
      </c>
      <c r="O899">
        <v>12</v>
      </c>
    </row>
    <row r="900" spans="1:15" x14ac:dyDescent="0.25">
      <c r="A900" t="s">
        <v>46</v>
      </c>
      <c r="B900" t="s">
        <v>14</v>
      </c>
      <c r="C900" t="s">
        <v>4</v>
      </c>
      <c r="D900" t="str">
        <f t="shared" si="85"/>
        <v>FAB1_Leche Clasica Entera 1 L</v>
      </c>
      <c r="E900">
        <v>2025</v>
      </c>
      <c r="F900">
        <v>8</v>
      </c>
      <c r="G900">
        <f t="shared" si="86"/>
        <v>2</v>
      </c>
      <c r="H900" s="1">
        <f t="shared" si="87"/>
        <v>45705</v>
      </c>
      <c r="I900" s="1">
        <f t="shared" si="88"/>
        <v>45689</v>
      </c>
      <c r="J900">
        <v>1422964.6000000006</v>
      </c>
      <c r="K900">
        <v>62640</v>
      </c>
      <c r="L900">
        <f t="shared" si="84"/>
        <v>22.71654853128992</v>
      </c>
      <c r="M900">
        <v>5220</v>
      </c>
      <c r="N900" s="2">
        <f t="shared" si="89"/>
        <v>272.59858237547905</v>
      </c>
      <c r="O900">
        <v>12</v>
      </c>
    </row>
    <row r="901" spans="1:15" x14ac:dyDescent="0.25">
      <c r="A901" t="s">
        <v>46</v>
      </c>
      <c r="B901" t="s">
        <v>14</v>
      </c>
      <c r="C901" t="s">
        <v>4</v>
      </c>
      <c r="D901" t="str">
        <f t="shared" si="85"/>
        <v>FAB1_Leche Clasica Entera 1 L</v>
      </c>
      <c r="E901">
        <v>2025</v>
      </c>
      <c r="F901">
        <v>9</v>
      </c>
      <c r="G901">
        <f t="shared" si="86"/>
        <v>2</v>
      </c>
      <c r="H901" s="1">
        <f t="shared" si="87"/>
        <v>45712</v>
      </c>
      <c r="I901" s="1">
        <f t="shared" si="88"/>
        <v>45689</v>
      </c>
      <c r="J901">
        <v>1008414.8799999997</v>
      </c>
      <c r="K901">
        <v>42804</v>
      </c>
      <c r="L901">
        <f t="shared" si="84"/>
        <v>23.5588935613494</v>
      </c>
      <c r="M901">
        <v>3567</v>
      </c>
      <c r="N901" s="2">
        <f t="shared" si="89"/>
        <v>282.70672273619277</v>
      </c>
      <c r="O901">
        <v>12</v>
      </c>
    </row>
    <row r="902" spans="1:15" x14ac:dyDescent="0.25">
      <c r="A902" t="s">
        <v>46</v>
      </c>
      <c r="B902" t="s">
        <v>14</v>
      </c>
      <c r="C902" t="s">
        <v>4</v>
      </c>
      <c r="D902" t="str">
        <f t="shared" si="85"/>
        <v>FAB1_Leche Clasica Entera 1 L</v>
      </c>
      <c r="E902">
        <v>2025</v>
      </c>
      <c r="F902">
        <v>10</v>
      </c>
      <c r="G902">
        <f t="shared" si="86"/>
        <v>3</v>
      </c>
      <c r="H902" s="1">
        <f t="shared" si="87"/>
        <v>45719</v>
      </c>
      <c r="I902" s="1">
        <f t="shared" si="88"/>
        <v>45717</v>
      </c>
      <c r="J902">
        <v>1597586.699999999</v>
      </c>
      <c r="K902">
        <v>70860</v>
      </c>
      <c r="L902">
        <f t="shared" si="84"/>
        <v>22.545677392040631</v>
      </c>
      <c r="M902">
        <v>5905</v>
      </c>
      <c r="N902" s="2">
        <f t="shared" si="89"/>
        <v>270.54812870448757</v>
      </c>
      <c r="O902">
        <v>12</v>
      </c>
    </row>
    <row r="903" spans="1:15" x14ac:dyDescent="0.25">
      <c r="A903" t="s">
        <v>46</v>
      </c>
      <c r="B903" t="s">
        <v>14</v>
      </c>
      <c r="C903" t="s">
        <v>4</v>
      </c>
      <c r="D903" t="str">
        <f t="shared" si="85"/>
        <v>FAB1_Leche Clasica Entera 1 L</v>
      </c>
      <c r="E903">
        <v>2025</v>
      </c>
      <c r="F903">
        <v>11</v>
      </c>
      <c r="G903">
        <f t="shared" si="86"/>
        <v>3</v>
      </c>
      <c r="H903" s="1">
        <f t="shared" si="87"/>
        <v>45726</v>
      </c>
      <c r="I903" s="1">
        <f t="shared" si="88"/>
        <v>45717</v>
      </c>
      <c r="J903">
        <v>1602626.8199999989</v>
      </c>
      <c r="K903">
        <v>74052</v>
      </c>
      <c r="L903">
        <f t="shared" si="84"/>
        <v>21.641911359585141</v>
      </c>
      <c r="M903">
        <v>6171</v>
      </c>
      <c r="N903" s="2">
        <f t="shared" si="89"/>
        <v>259.7029363150217</v>
      </c>
      <c r="O903">
        <v>12</v>
      </c>
    </row>
    <row r="904" spans="1:15" x14ac:dyDescent="0.25">
      <c r="A904" t="s">
        <v>46</v>
      </c>
      <c r="B904" t="s">
        <v>14</v>
      </c>
      <c r="C904" t="s">
        <v>4</v>
      </c>
      <c r="D904" t="str">
        <f t="shared" si="85"/>
        <v>FAB1_Leche Clasica Entera 1 L</v>
      </c>
      <c r="E904">
        <v>2025</v>
      </c>
      <c r="F904">
        <v>12</v>
      </c>
      <c r="G904">
        <f t="shared" si="86"/>
        <v>3</v>
      </c>
      <c r="H904" s="1">
        <f t="shared" si="87"/>
        <v>45733</v>
      </c>
      <c r="I904" s="1">
        <f t="shared" si="88"/>
        <v>45717</v>
      </c>
      <c r="J904">
        <v>1506682.1699999985</v>
      </c>
      <c r="K904">
        <v>68112</v>
      </c>
      <c r="L904">
        <f t="shared" si="84"/>
        <v>22.120656712473551</v>
      </c>
      <c r="M904">
        <v>5676</v>
      </c>
      <c r="N904" s="2">
        <f t="shared" si="89"/>
        <v>265.44788054968262</v>
      </c>
      <c r="O904">
        <v>12</v>
      </c>
    </row>
    <row r="905" spans="1:15" x14ac:dyDescent="0.25">
      <c r="A905" t="s">
        <v>46</v>
      </c>
      <c r="B905" t="s">
        <v>14</v>
      </c>
      <c r="C905" t="s">
        <v>4</v>
      </c>
      <c r="D905" t="str">
        <f t="shared" si="85"/>
        <v>FAB1_Leche Clasica Entera 1 L</v>
      </c>
      <c r="E905">
        <v>2025</v>
      </c>
      <c r="F905">
        <v>13</v>
      </c>
      <c r="G905">
        <f t="shared" si="86"/>
        <v>3</v>
      </c>
      <c r="H905" s="1">
        <f t="shared" si="87"/>
        <v>45740</v>
      </c>
      <c r="I905" s="1">
        <f t="shared" si="88"/>
        <v>45717</v>
      </c>
      <c r="J905">
        <v>1336696.08</v>
      </c>
      <c r="K905">
        <v>61044</v>
      </c>
      <c r="L905">
        <f t="shared" si="84"/>
        <v>21.897255749950855</v>
      </c>
      <c r="M905">
        <v>5087</v>
      </c>
      <c r="N905" s="2">
        <f t="shared" si="89"/>
        <v>262.7670689994103</v>
      </c>
      <c r="O905">
        <v>12</v>
      </c>
    </row>
    <row r="906" spans="1:15" x14ac:dyDescent="0.25">
      <c r="A906" t="s">
        <v>46</v>
      </c>
      <c r="B906" t="s">
        <v>14</v>
      </c>
      <c r="C906" t="s">
        <v>4</v>
      </c>
      <c r="D906" t="str">
        <f t="shared" si="85"/>
        <v>FAB1_Leche Clasica Entera 1 L</v>
      </c>
      <c r="E906">
        <v>2025</v>
      </c>
      <c r="F906">
        <v>14</v>
      </c>
      <c r="G906">
        <f t="shared" si="86"/>
        <v>4</v>
      </c>
      <c r="H906" s="1">
        <f t="shared" si="87"/>
        <v>45747</v>
      </c>
      <c r="I906" s="1">
        <f t="shared" si="88"/>
        <v>45748</v>
      </c>
      <c r="J906">
        <v>1597840.5699999994</v>
      </c>
      <c r="K906">
        <v>70212</v>
      </c>
      <c r="L906">
        <f t="shared" si="84"/>
        <v>22.757371531931856</v>
      </c>
      <c r="M906">
        <v>5851</v>
      </c>
      <c r="N906" s="2">
        <f t="shared" si="89"/>
        <v>273.08845838318223</v>
      </c>
      <c r="O906">
        <v>12</v>
      </c>
    </row>
    <row r="907" spans="1:15" x14ac:dyDescent="0.25">
      <c r="A907" t="s">
        <v>46</v>
      </c>
      <c r="B907" t="s">
        <v>14</v>
      </c>
      <c r="C907" t="s">
        <v>4</v>
      </c>
      <c r="D907" t="str">
        <f t="shared" si="85"/>
        <v>FAB1_Leche Clasica Entera 1 L</v>
      </c>
      <c r="E907">
        <v>2025</v>
      </c>
      <c r="F907">
        <v>15</v>
      </c>
      <c r="G907">
        <f t="shared" si="86"/>
        <v>4</v>
      </c>
      <c r="H907" s="1">
        <f t="shared" si="87"/>
        <v>45754</v>
      </c>
      <c r="I907" s="1">
        <f t="shared" si="88"/>
        <v>45748</v>
      </c>
      <c r="J907">
        <v>1072472.2599999991</v>
      </c>
      <c r="K907">
        <v>45156</v>
      </c>
      <c r="L907">
        <f t="shared" si="84"/>
        <v>23.750382230489837</v>
      </c>
      <c r="M907">
        <v>3763</v>
      </c>
      <c r="N907" s="2">
        <f t="shared" si="89"/>
        <v>285.00458676587806</v>
      </c>
      <c r="O907">
        <v>12</v>
      </c>
    </row>
    <row r="908" spans="1:15" x14ac:dyDescent="0.25">
      <c r="A908" t="s">
        <v>46</v>
      </c>
      <c r="B908" t="s">
        <v>14</v>
      </c>
      <c r="C908" t="s">
        <v>4</v>
      </c>
      <c r="D908" t="str">
        <f t="shared" si="85"/>
        <v>FAB1_Leche Clasica Entera 1 L</v>
      </c>
      <c r="E908">
        <v>2025</v>
      </c>
      <c r="F908">
        <v>16</v>
      </c>
      <c r="G908">
        <f t="shared" si="86"/>
        <v>4</v>
      </c>
      <c r="H908" s="1">
        <f t="shared" si="87"/>
        <v>45761</v>
      </c>
      <c r="I908" s="1">
        <f t="shared" si="88"/>
        <v>45748</v>
      </c>
      <c r="J908">
        <v>1585229.9000000004</v>
      </c>
      <c r="K908">
        <v>68112</v>
      </c>
      <c r="L908">
        <f t="shared" si="84"/>
        <v>23.273870977214006</v>
      </c>
      <c r="M908">
        <v>5676</v>
      </c>
      <c r="N908" s="2">
        <f t="shared" si="89"/>
        <v>279.28645172656809</v>
      </c>
      <c r="O908">
        <v>12</v>
      </c>
    </row>
    <row r="909" spans="1:15" x14ac:dyDescent="0.25">
      <c r="A909" t="s">
        <v>46</v>
      </c>
      <c r="B909" t="s">
        <v>14</v>
      </c>
      <c r="C909" t="s">
        <v>4</v>
      </c>
      <c r="D909" t="str">
        <f t="shared" si="85"/>
        <v>FAB1_Leche Clasica Entera 1 L</v>
      </c>
      <c r="E909">
        <v>2025</v>
      </c>
      <c r="F909">
        <v>17</v>
      </c>
      <c r="G909">
        <f t="shared" si="86"/>
        <v>4</v>
      </c>
      <c r="H909" s="1">
        <f t="shared" si="87"/>
        <v>45768</v>
      </c>
      <c r="I909" s="1">
        <f t="shared" si="88"/>
        <v>45748</v>
      </c>
      <c r="J909">
        <v>1275308.2399999998</v>
      </c>
      <c r="K909">
        <v>55464</v>
      </c>
      <c r="L909">
        <f t="shared" si="84"/>
        <v>22.993441511611131</v>
      </c>
      <c r="M909">
        <v>4622</v>
      </c>
      <c r="N909" s="2">
        <f t="shared" si="89"/>
        <v>275.92129813933354</v>
      </c>
      <c r="O909">
        <v>12</v>
      </c>
    </row>
    <row r="910" spans="1:15" x14ac:dyDescent="0.25">
      <c r="A910" t="s">
        <v>46</v>
      </c>
      <c r="B910" t="s">
        <v>14</v>
      </c>
      <c r="C910" t="s">
        <v>4</v>
      </c>
      <c r="D910" t="str">
        <f t="shared" si="85"/>
        <v>FAB1_Leche Clasica Entera 1 L</v>
      </c>
      <c r="E910">
        <v>2025</v>
      </c>
      <c r="F910">
        <v>18</v>
      </c>
      <c r="G910">
        <f t="shared" si="86"/>
        <v>5</v>
      </c>
      <c r="H910" s="1">
        <f t="shared" si="87"/>
        <v>45775</v>
      </c>
      <c r="I910" s="1">
        <f t="shared" si="88"/>
        <v>45778</v>
      </c>
      <c r="J910">
        <v>2049354.29</v>
      </c>
      <c r="K910">
        <v>95580</v>
      </c>
      <c r="L910">
        <f t="shared" si="84"/>
        <v>21.441245971960662</v>
      </c>
      <c r="M910">
        <v>7965</v>
      </c>
      <c r="N910" s="2">
        <f t="shared" si="89"/>
        <v>257.29495166352791</v>
      </c>
      <c r="O910">
        <v>12</v>
      </c>
    </row>
    <row r="911" spans="1:15" x14ac:dyDescent="0.25">
      <c r="A911" t="s">
        <v>46</v>
      </c>
      <c r="B911" t="s">
        <v>14</v>
      </c>
      <c r="C911" t="s">
        <v>4</v>
      </c>
      <c r="D911" t="str">
        <f t="shared" si="85"/>
        <v>FAB1_Leche Clasica Entera 1 L</v>
      </c>
      <c r="E911">
        <v>2025</v>
      </c>
      <c r="F911">
        <v>19</v>
      </c>
      <c r="G911">
        <f t="shared" si="86"/>
        <v>5</v>
      </c>
      <c r="H911" s="1">
        <f t="shared" si="87"/>
        <v>45782</v>
      </c>
      <c r="I911" s="1">
        <f t="shared" si="88"/>
        <v>45778</v>
      </c>
      <c r="J911">
        <v>1839473.699999999</v>
      </c>
      <c r="K911">
        <v>85404</v>
      </c>
      <c r="L911">
        <f t="shared" si="84"/>
        <v>21.53849585499507</v>
      </c>
      <c r="M911">
        <v>7117</v>
      </c>
      <c r="N911" s="2">
        <f t="shared" si="89"/>
        <v>258.46195025994086</v>
      </c>
      <c r="O911">
        <v>12</v>
      </c>
    </row>
    <row r="912" spans="1:15" x14ac:dyDescent="0.25">
      <c r="A912" t="s">
        <v>46</v>
      </c>
      <c r="B912" t="s">
        <v>14</v>
      </c>
      <c r="C912" t="s">
        <v>4</v>
      </c>
      <c r="D912" t="str">
        <f t="shared" si="85"/>
        <v>FAB1_Leche Clasica Entera 1 L</v>
      </c>
      <c r="E912">
        <v>2025</v>
      </c>
      <c r="F912">
        <v>20</v>
      </c>
      <c r="G912">
        <f t="shared" si="86"/>
        <v>5</v>
      </c>
      <c r="H912" s="1">
        <f t="shared" si="87"/>
        <v>45789</v>
      </c>
      <c r="I912" s="1">
        <f t="shared" si="88"/>
        <v>45778</v>
      </c>
      <c r="J912">
        <v>1532395.88</v>
      </c>
      <c r="K912">
        <v>70104</v>
      </c>
      <c r="L912">
        <f t="shared" si="84"/>
        <v>21.858893643729314</v>
      </c>
      <c r="M912">
        <v>5842</v>
      </c>
      <c r="N912" s="2">
        <f t="shared" si="89"/>
        <v>262.30672372475181</v>
      </c>
      <c r="O912">
        <v>12</v>
      </c>
    </row>
    <row r="913" spans="1:15" x14ac:dyDescent="0.25">
      <c r="A913" t="s">
        <v>46</v>
      </c>
      <c r="B913" t="s">
        <v>14</v>
      </c>
      <c r="C913" t="s">
        <v>4</v>
      </c>
      <c r="D913" t="str">
        <f t="shared" si="85"/>
        <v>FAB1_Leche Clasica Entera 1 L</v>
      </c>
      <c r="E913">
        <v>2025</v>
      </c>
      <c r="F913">
        <v>21</v>
      </c>
      <c r="G913">
        <f t="shared" si="86"/>
        <v>5</v>
      </c>
      <c r="H913" s="1">
        <f t="shared" si="87"/>
        <v>45796</v>
      </c>
      <c r="I913" s="1">
        <f t="shared" si="88"/>
        <v>45778</v>
      </c>
      <c r="J913">
        <v>1630409.1600000001</v>
      </c>
      <c r="K913">
        <v>75864</v>
      </c>
      <c r="L913">
        <f t="shared" si="84"/>
        <v>21.491210060107562</v>
      </c>
      <c r="M913">
        <v>6322</v>
      </c>
      <c r="N913" s="2">
        <f t="shared" si="89"/>
        <v>257.89452072129075</v>
      </c>
      <c r="O913">
        <v>12</v>
      </c>
    </row>
    <row r="914" spans="1:15" x14ac:dyDescent="0.25">
      <c r="A914" t="s">
        <v>46</v>
      </c>
      <c r="B914" t="s">
        <v>14</v>
      </c>
      <c r="C914" t="s">
        <v>4</v>
      </c>
      <c r="D914" t="str">
        <f t="shared" si="85"/>
        <v>FAB1_Leche Clasica Entera 1 L</v>
      </c>
      <c r="E914">
        <v>2025</v>
      </c>
      <c r="F914">
        <v>22</v>
      </c>
      <c r="G914">
        <f t="shared" si="86"/>
        <v>5</v>
      </c>
      <c r="H914" s="1">
        <f t="shared" si="87"/>
        <v>45803</v>
      </c>
      <c r="I914" s="1">
        <f t="shared" si="88"/>
        <v>45778</v>
      </c>
      <c r="J914">
        <v>1193243.3399999996</v>
      </c>
      <c r="K914">
        <v>52044</v>
      </c>
      <c r="L914">
        <f t="shared" si="84"/>
        <v>22.927587041733911</v>
      </c>
      <c r="M914">
        <v>4337</v>
      </c>
      <c r="N914" s="2">
        <f t="shared" si="89"/>
        <v>275.13104450080692</v>
      </c>
      <c r="O914">
        <v>12</v>
      </c>
    </row>
    <row r="915" spans="1:15" x14ac:dyDescent="0.25">
      <c r="A915" t="s">
        <v>46</v>
      </c>
      <c r="B915" t="s">
        <v>14</v>
      </c>
      <c r="C915" t="s">
        <v>4</v>
      </c>
      <c r="D915" t="str">
        <f t="shared" si="85"/>
        <v>FAB1_Leche Clasica Entera 1 L</v>
      </c>
      <c r="E915">
        <v>2025</v>
      </c>
      <c r="F915">
        <v>23</v>
      </c>
      <c r="G915">
        <f t="shared" si="86"/>
        <v>6</v>
      </c>
      <c r="H915" s="1">
        <f t="shared" si="87"/>
        <v>45810</v>
      </c>
      <c r="I915" s="1">
        <f t="shared" si="88"/>
        <v>45809</v>
      </c>
      <c r="J915">
        <v>1494893.59</v>
      </c>
      <c r="K915">
        <v>63732</v>
      </c>
      <c r="L915">
        <f t="shared" si="84"/>
        <v>23.455934067658319</v>
      </c>
      <c r="M915">
        <v>5311</v>
      </c>
      <c r="N915" s="2">
        <f t="shared" si="89"/>
        <v>281.47120881189983</v>
      </c>
      <c r="O915">
        <v>12</v>
      </c>
    </row>
    <row r="916" spans="1:15" x14ac:dyDescent="0.25">
      <c r="A916" t="s">
        <v>46</v>
      </c>
      <c r="B916" t="s">
        <v>14</v>
      </c>
      <c r="C916" t="s">
        <v>4</v>
      </c>
      <c r="D916" t="str">
        <f t="shared" si="85"/>
        <v>FAB1_Leche Clasica Entera 1 L</v>
      </c>
      <c r="E916">
        <v>2025</v>
      </c>
      <c r="F916">
        <v>24</v>
      </c>
      <c r="G916">
        <f t="shared" si="86"/>
        <v>6</v>
      </c>
      <c r="H916" s="1">
        <f t="shared" si="87"/>
        <v>45817</v>
      </c>
      <c r="I916" s="1">
        <f t="shared" si="88"/>
        <v>45809</v>
      </c>
      <c r="J916">
        <v>1453849.74</v>
      </c>
      <c r="K916">
        <v>64824</v>
      </c>
      <c r="L916">
        <f t="shared" si="84"/>
        <v>22.427646242132543</v>
      </c>
      <c r="M916">
        <v>5402</v>
      </c>
      <c r="N916" s="2">
        <f t="shared" si="89"/>
        <v>269.13175490559053</v>
      </c>
      <c r="O916">
        <v>12</v>
      </c>
    </row>
    <row r="917" spans="1:15" x14ac:dyDescent="0.25">
      <c r="A917" t="s">
        <v>46</v>
      </c>
      <c r="B917" t="s">
        <v>14</v>
      </c>
      <c r="C917" t="s">
        <v>4</v>
      </c>
      <c r="D917" t="str">
        <f t="shared" si="85"/>
        <v>FAB1_Leche Clasica Entera 1 L</v>
      </c>
      <c r="E917">
        <v>2025</v>
      </c>
      <c r="F917">
        <v>25</v>
      </c>
      <c r="G917">
        <f t="shared" si="86"/>
        <v>6</v>
      </c>
      <c r="H917" s="1">
        <f t="shared" si="87"/>
        <v>45824</v>
      </c>
      <c r="I917" s="1">
        <f t="shared" si="88"/>
        <v>45809</v>
      </c>
      <c r="J917">
        <v>1469162.9599999986</v>
      </c>
      <c r="K917">
        <v>68028</v>
      </c>
      <c r="L917">
        <f t="shared" si="84"/>
        <v>21.596444993238059</v>
      </c>
      <c r="M917">
        <v>5669</v>
      </c>
      <c r="N917" s="2">
        <f t="shared" si="89"/>
        <v>259.15733991885668</v>
      </c>
      <c r="O917">
        <v>12</v>
      </c>
    </row>
    <row r="918" spans="1:15" x14ac:dyDescent="0.25">
      <c r="A918" t="s">
        <v>46</v>
      </c>
      <c r="B918" t="s">
        <v>14</v>
      </c>
      <c r="C918" t="s">
        <v>4</v>
      </c>
      <c r="D918" t="str">
        <f t="shared" si="85"/>
        <v>FAB1_Leche Clasica Entera 1 L</v>
      </c>
      <c r="E918">
        <v>2025</v>
      </c>
      <c r="F918">
        <v>26</v>
      </c>
      <c r="G918">
        <f t="shared" si="86"/>
        <v>6</v>
      </c>
      <c r="H918" s="1">
        <f t="shared" si="87"/>
        <v>45831</v>
      </c>
      <c r="I918" s="1">
        <f t="shared" si="88"/>
        <v>45809</v>
      </c>
      <c r="J918">
        <v>1269239.3900000006</v>
      </c>
      <c r="K918">
        <v>58704</v>
      </c>
      <c r="L918">
        <f t="shared" si="84"/>
        <v>21.621003509130563</v>
      </c>
      <c r="M918">
        <v>4892</v>
      </c>
      <c r="N918" s="2">
        <f t="shared" si="89"/>
        <v>259.45204210956678</v>
      </c>
      <c r="O918">
        <v>12</v>
      </c>
    </row>
    <row r="919" spans="1:15" x14ac:dyDescent="0.25">
      <c r="A919" t="s">
        <v>46</v>
      </c>
      <c r="B919" t="s">
        <v>14</v>
      </c>
      <c r="C919" t="s">
        <v>4</v>
      </c>
      <c r="D919" t="str">
        <f t="shared" si="85"/>
        <v>FAB1_Leche Clasica Entera 1 L</v>
      </c>
      <c r="E919">
        <v>2025</v>
      </c>
      <c r="F919">
        <v>27</v>
      </c>
      <c r="G919">
        <f t="shared" si="86"/>
        <v>7</v>
      </c>
      <c r="H919" s="1">
        <f t="shared" si="87"/>
        <v>45838</v>
      </c>
      <c r="I919" s="1">
        <f t="shared" si="88"/>
        <v>45839</v>
      </c>
      <c r="J919">
        <v>1675162.4399999978</v>
      </c>
      <c r="K919">
        <v>77520</v>
      </c>
      <c r="L919">
        <f t="shared" si="84"/>
        <v>21.609422600619169</v>
      </c>
      <c r="M919">
        <v>6460</v>
      </c>
      <c r="N919" s="2">
        <f t="shared" si="89"/>
        <v>259.31307120743003</v>
      </c>
      <c r="O919">
        <v>12</v>
      </c>
    </row>
    <row r="920" spans="1:15" x14ac:dyDescent="0.25">
      <c r="A920" t="s">
        <v>46</v>
      </c>
      <c r="B920" t="s">
        <v>14</v>
      </c>
      <c r="C920" t="s">
        <v>4</v>
      </c>
      <c r="D920" t="str">
        <f t="shared" si="85"/>
        <v>FAB1_Leche Clasica Entera 1 L</v>
      </c>
      <c r="E920">
        <v>2025</v>
      </c>
      <c r="F920">
        <v>28</v>
      </c>
      <c r="G920">
        <f t="shared" si="86"/>
        <v>7</v>
      </c>
      <c r="H920" s="1">
        <f t="shared" si="87"/>
        <v>45845</v>
      </c>
      <c r="I920" s="1">
        <f t="shared" si="88"/>
        <v>45839</v>
      </c>
      <c r="J920">
        <v>1712427.8699999973</v>
      </c>
      <c r="K920">
        <v>80304</v>
      </c>
      <c r="L920">
        <f t="shared" si="84"/>
        <v>21.324315974297637</v>
      </c>
      <c r="M920">
        <v>6692</v>
      </c>
      <c r="N920" s="2">
        <f t="shared" si="89"/>
        <v>255.89179169157163</v>
      </c>
      <c r="O920">
        <v>12</v>
      </c>
    </row>
    <row r="921" spans="1:15" x14ac:dyDescent="0.25">
      <c r="A921" t="s">
        <v>46</v>
      </c>
      <c r="B921" t="s">
        <v>14</v>
      </c>
      <c r="C921" t="s">
        <v>4</v>
      </c>
      <c r="D921" t="str">
        <f t="shared" si="85"/>
        <v>FAB1_Leche Clasica Entera 1 L</v>
      </c>
      <c r="E921">
        <v>2025</v>
      </c>
      <c r="F921">
        <v>29</v>
      </c>
      <c r="G921">
        <f t="shared" si="86"/>
        <v>7</v>
      </c>
      <c r="H921" s="1">
        <f t="shared" si="87"/>
        <v>45852</v>
      </c>
      <c r="I921" s="1">
        <f t="shared" si="88"/>
        <v>45839</v>
      </c>
      <c r="J921">
        <v>1928858.2599999995</v>
      </c>
      <c r="K921">
        <v>89664</v>
      </c>
      <c r="L921">
        <f t="shared" si="84"/>
        <v>21.512070173090645</v>
      </c>
      <c r="M921">
        <v>7472</v>
      </c>
      <c r="N921" s="2">
        <f t="shared" si="89"/>
        <v>258.14484207708773</v>
      </c>
      <c r="O921">
        <v>12</v>
      </c>
    </row>
    <row r="922" spans="1:15" x14ac:dyDescent="0.25">
      <c r="A922" t="s">
        <v>46</v>
      </c>
      <c r="B922" t="s">
        <v>14</v>
      </c>
      <c r="C922" t="s">
        <v>4</v>
      </c>
      <c r="D922" t="str">
        <f t="shared" si="85"/>
        <v>FAB1_Leche Clasica Entera 1 L</v>
      </c>
      <c r="E922">
        <v>2025</v>
      </c>
      <c r="F922">
        <v>30</v>
      </c>
      <c r="G922">
        <f t="shared" si="86"/>
        <v>7</v>
      </c>
      <c r="H922" s="1">
        <f t="shared" si="87"/>
        <v>45859</v>
      </c>
      <c r="I922" s="1">
        <f t="shared" si="88"/>
        <v>45839</v>
      </c>
      <c r="J922">
        <v>1286427.2399999998</v>
      </c>
      <c r="K922">
        <v>57924</v>
      </c>
      <c r="L922">
        <f t="shared" si="84"/>
        <v>22.2088812927284</v>
      </c>
      <c r="M922">
        <v>4827</v>
      </c>
      <c r="N922" s="2">
        <f t="shared" si="89"/>
        <v>266.50657551274077</v>
      </c>
      <c r="O922">
        <v>12</v>
      </c>
    </row>
    <row r="923" spans="1:15" x14ac:dyDescent="0.25">
      <c r="A923" t="s">
        <v>46</v>
      </c>
      <c r="B923" t="s">
        <v>14</v>
      </c>
      <c r="C923" t="s">
        <v>4</v>
      </c>
      <c r="D923" t="str">
        <f t="shared" si="85"/>
        <v>FAB1_Leche Clasica Entera 1 L</v>
      </c>
      <c r="E923">
        <v>2025</v>
      </c>
      <c r="F923">
        <v>31</v>
      </c>
      <c r="G923">
        <f t="shared" si="86"/>
        <v>7</v>
      </c>
      <c r="H923" s="1">
        <f t="shared" si="87"/>
        <v>45866</v>
      </c>
      <c r="I923" s="1">
        <f t="shared" si="88"/>
        <v>45839</v>
      </c>
      <c r="J923">
        <v>1459971.3699999992</v>
      </c>
      <c r="K923">
        <v>66024</v>
      </c>
      <c r="L923">
        <f t="shared" si="84"/>
        <v>22.112737337937705</v>
      </c>
      <c r="M923">
        <v>5502</v>
      </c>
      <c r="N923" s="2">
        <f t="shared" si="89"/>
        <v>265.35284805525248</v>
      </c>
      <c r="O923">
        <v>12</v>
      </c>
    </row>
    <row r="924" spans="1:15" x14ac:dyDescent="0.25">
      <c r="A924" t="s">
        <v>46</v>
      </c>
      <c r="B924" t="s">
        <v>14</v>
      </c>
      <c r="C924" t="s">
        <v>5</v>
      </c>
      <c r="D924" t="str">
        <f t="shared" si="85"/>
        <v>FAB1_Leche Clasica Extra Deslactosada 1 L</v>
      </c>
      <c r="E924">
        <v>2022</v>
      </c>
      <c r="F924">
        <v>34</v>
      </c>
      <c r="G924">
        <f t="shared" si="86"/>
        <v>8</v>
      </c>
      <c r="H924" s="1">
        <f t="shared" si="87"/>
        <v>44795</v>
      </c>
      <c r="I924" s="1">
        <f t="shared" si="88"/>
        <v>44774</v>
      </c>
      <c r="J924">
        <v>309</v>
      </c>
      <c r="K924">
        <v>12</v>
      </c>
      <c r="L924">
        <f t="shared" si="84"/>
        <v>25.75</v>
      </c>
      <c r="M924">
        <v>1</v>
      </c>
      <c r="N924" s="2">
        <f t="shared" si="89"/>
        <v>309</v>
      </c>
      <c r="O924">
        <v>12</v>
      </c>
    </row>
    <row r="925" spans="1:15" x14ac:dyDescent="0.25">
      <c r="A925" t="s">
        <v>46</v>
      </c>
      <c r="B925" t="s">
        <v>14</v>
      </c>
      <c r="C925" t="s">
        <v>5</v>
      </c>
      <c r="D925" t="str">
        <f t="shared" si="85"/>
        <v>FAB1_Leche Clasica Extra Deslactosada 1 L</v>
      </c>
      <c r="E925">
        <v>2022</v>
      </c>
      <c r="F925">
        <v>35</v>
      </c>
      <c r="G925">
        <f t="shared" si="86"/>
        <v>9</v>
      </c>
      <c r="H925" s="1">
        <f t="shared" si="87"/>
        <v>44802</v>
      </c>
      <c r="I925" s="1">
        <f t="shared" si="88"/>
        <v>44805</v>
      </c>
      <c r="J925">
        <v>33990</v>
      </c>
      <c r="K925">
        <v>1320</v>
      </c>
      <c r="L925">
        <f t="shared" si="84"/>
        <v>25.75</v>
      </c>
      <c r="M925">
        <v>110</v>
      </c>
      <c r="N925" s="2">
        <f t="shared" si="89"/>
        <v>309</v>
      </c>
      <c r="O925">
        <v>12</v>
      </c>
    </row>
    <row r="926" spans="1:15" x14ac:dyDescent="0.25">
      <c r="A926" t="s">
        <v>46</v>
      </c>
      <c r="B926" t="s">
        <v>14</v>
      </c>
      <c r="C926" t="s">
        <v>5</v>
      </c>
      <c r="D926" t="str">
        <f t="shared" si="85"/>
        <v>FAB1_Leche Clasica Extra Deslactosada 1 L</v>
      </c>
      <c r="E926">
        <v>2022</v>
      </c>
      <c r="F926">
        <v>36</v>
      </c>
      <c r="G926">
        <f t="shared" si="86"/>
        <v>9</v>
      </c>
      <c r="H926" s="1">
        <f t="shared" si="87"/>
        <v>44809</v>
      </c>
      <c r="I926" s="1">
        <f t="shared" si="88"/>
        <v>44805</v>
      </c>
      <c r="J926">
        <v>52838.99</v>
      </c>
      <c r="K926">
        <v>2052</v>
      </c>
      <c r="L926">
        <f t="shared" si="84"/>
        <v>25.749995126705652</v>
      </c>
      <c r="M926">
        <v>171</v>
      </c>
      <c r="N926" s="2">
        <f t="shared" si="89"/>
        <v>308.99994152046781</v>
      </c>
      <c r="O926">
        <v>12</v>
      </c>
    </row>
    <row r="927" spans="1:15" x14ac:dyDescent="0.25">
      <c r="A927" t="s">
        <v>46</v>
      </c>
      <c r="B927" t="s">
        <v>14</v>
      </c>
      <c r="C927" t="s">
        <v>5</v>
      </c>
      <c r="D927" t="str">
        <f t="shared" si="85"/>
        <v>FAB1_Leche Clasica Extra Deslactosada 1 L</v>
      </c>
      <c r="E927">
        <v>2022</v>
      </c>
      <c r="F927">
        <v>37</v>
      </c>
      <c r="G927">
        <f t="shared" si="86"/>
        <v>9</v>
      </c>
      <c r="H927" s="1">
        <f t="shared" si="87"/>
        <v>44816</v>
      </c>
      <c r="I927" s="1">
        <f t="shared" si="88"/>
        <v>44805</v>
      </c>
      <c r="J927">
        <v>53917.94999999999</v>
      </c>
      <c r="K927">
        <v>2100</v>
      </c>
      <c r="L927">
        <f t="shared" si="84"/>
        <v>25.675214285714279</v>
      </c>
      <c r="M927">
        <v>175</v>
      </c>
      <c r="N927" s="2">
        <f t="shared" si="89"/>
        <v>308.10257142857137</v>
      </c>
      <c r="O927">
        <v>12</v>
      </c>
    </row>
    <row r="928" spans="1:15" x14ac:dyDescent="0.25">
      <c r="A928" t="s">
        <v>46</v>
      </c>
      <c r="B928" t="s">
        <v>14</v>
      </c>
      <c r="C928" t="s">
        <v>5</v>
      </c>
      <c r="D928" t="str">
        <f t="shared" si="85"/>
        <v>FAB1_Leche Clasica Extra Deslactosada 1 L</v>
      </c>
      <c r="E928">
        <v>2022</v>
      </c>
      <c r="F928">
        <v>38</v>
      </c>
      <c r="G928">
        <f t="shared" si="86"/>
        <v>9</v>
      </c>
      <c r="H928" s="1">
        <f t="shared" si="87"/>
        <v>44823</v>
      </c>
      <c r="I928" s="1">
        <f t="shared" si="88"/>
        <v>44805</v>
      </c>
      <c r="J928">
        <v>63078.559999999998</v>
      </c>
      <c r="K928">
        <v>2448</v>
      </c>
      <c r="L928">
        <f t="shared" si="84"/>
        <v>25.767385620915032</v>
      </c>
      <c r="M928">
        <v>204</v>
      </c>
      <c r="N928" s="2">
        <f t="shared" si="89"/>
        <v>309.20862745098037</v>
      </c>
      <c r="O928">
        <v>12</v>
      </c>
    </row>
    <row r="929" spans="1:15" x14ac:dyDescent="0.25">
      <c r="A929" t="s">
        <v>46</v>
      </c>
      <c r="B929" t="s">
        <v>14</v>
      </c>
      <c r="C929" t="s">
        <v>5</v>
      </c>
      <c r="D929" t="str">
        <f t="shared" si="85"/>
        <v>FAB1_Leche Clasica Extra Deslactosada 1 L</v>
      </c>
      <c r="E929">
        <v>2022</v>
      </c>
      <c r="F929">
        <v>39</v>
      </c>
      <c r="G929">
        <f t="shared" si="86"/>
        <v>9</v>
      </c>
      <c r="H929" s="1">
        <f t="shared" si="87"/>
        <v>44830</v>
      </c>
      <c r="I929" s="1">
        <f t="shared" si="88"/>
        <v>44805</v>
      </c>
      <c r="J929">
        <v>85909.05</v>
      </c>
      <c r="K929">
        <v>3336</v>
      </c>
      <c r="L929">
        <f t="shared" si="84"/>
        <v>25.75211330935252</v>
      </c>
      <c r="M929">
        <v>278</v>
      </c>
      <c r="N929" s="2">
        <f t="shared" si="89"/>
        <v>309.02535971223023</v>
      </c>
      <c r="O929">
        <v>12</v>
      </c>
    </row>
    <row r="930" spans="1:15" x14ac:dyDescent="0.25">
      <c r="A930" t="s">
        <v>46</v>
      </c>
      <c r="B930" t="s">
        <v>14</v>
      </c>
      <c r="C930" t="s">
        <v>5</v>
      </c>
      <c r="D930" t="str">
        <f t="shared" si="85"/>
        <v>FAB1_Leche Clasica Extra Deslactosada 1 L</v>
      </c>
      <c r="E930">
        <v>2022</v>
      </c>
      <c r="F930">
        <v>40</v>
      </c>
      <c r="G930">
        <f t="shared" si="86"/>
        <v>10</v>
      </c>
      <c r="H930" s="1">
        <f t="shared" si="87"/>
        <v>44837</v>
      </c>
      <c r="I930" s="1">
        <f t="shared" si="88"/>
        <v>44835</v>
      </c>
      <c r="J930">
        <v>132445.04999999999</v>
      </c>
      <c r="K930">
        <v>5184</v>
      </c>
      <c r="L930">
        <f t="shared" si="84"/>
        <v>25.548813657407404</v>
      </c>
      <c r="M930">
        <v>432</v>
      </c>
      <c r="N930" s="2">
        <f t="shared" si="89"/>
        <v>306.58576388888883</v>
      </c>
      <c r="O930">
        <v>12</v>
      </c>
    </row>
    <row r="931" spans="1:15" x14ac:dyDescent="0.25">
      <c r="A931" t="s">
        <v>46</v>
      </c>
      <c r="B931" t="s">
        <v>14</v>
      </c>
      <c r="C931" t="s">
        <v>5</v>
      </c>
      <c r="D931" t="str">
        <f t="shared" si="85"/>
        <v>FAB1_Leche Clasica Extra Deslactosada 1 L</v>
      </c>
      <c r="E931">
        <v>2022</v>
      </c>
      <c r="F931">
        <v>41</v>
      </c>
      <c r="G931">
        <f t="shared" si="86"/>
        <v>10</v>
      </c>
      <c r="H931" s="1">
        <f t="shared" si="87"/>
        <v>44844</v>
      </c>
      <c r="I931" s="1">
        <f t="shared" si="88"/>
        <v>44835</v>
      </c>
      <c r="J931">
        <v>93755.46</v>
      </c>
      <c r="K931">
        <v>3792</v>
      </c>
      <c r="L931">
        <f t="shared" si="84"/>
        <v>24.724541139240507</v>
      </c>
      <c r="M931">
        <v>316</v>
      </c>
      <c r="N931" s="2">
        <f t="shared" si="89"/>
        <v>296.69449367088612</v>
      </c>
      <c r="O931">
        <v>12</v>
      </c>
    </row>
    <row r="932" spans="1:15" x14ac:dyDescent="0.25">
      <c r="A932" t="s">
        <v>46</v>
      </c>
      <c r="B932" t="s">
        <v>14</v>
      </c>
      <c r="C932" t="s">
        <v>5</v>
      </c>
      <c r="D932" t="str">
        <f t="shared" si="85"/>
        <v>FAB1_Leche Clasica Extra Deslactosada 1 L</v>
      </c>
      <c r="E932">
        <v>2022</v>
      </c>
      <c r="F932">
        <v>42</v>
      </c>
      <c r="G932">
        <f t="shared" si="86"/>
        <v>10</v>
      </c>
      <c r="H932" s="1">
        <f t="shared" si="87"/>
        <v>44851</v>
      </c>
      <c r="I932" s="1">
        <f t="shared" si="88"/>
        <v>44835</v>
      </c>
      <c r="J932">
        <v>84542.389999999985</v>
      </c>
      <c r="K932">
        <v>3384</v>
      </c>
      <c r="L932">
        <f t="shared" si="84"/>
        <v>24.982975768321509</v>
      </c>
      <c r="M932">
        <v>282</v>
      </c>
      <c r="N932" s="2">
        <f t="shared" si="89"/>
        <v>299.79570921985811</v>
      </c>
      <c r="O932">
        <v>12</v>
      </c>
    </row>
    <row r="933" spans="1:15" x14ac:dyDescent="0.25">
      <c r="A933" t="s">
        <v>46</v>
      </c>
      <c r="B933" t="s">
        <v>14</v>
      </c>
      <c r="C933" t="s">
        <v>5</v>
      </c>
      <c r="D933" t="str">
        <f t="shared" si="85"/>
        <v>FAB1_Leche Clasica Extra Deslactosada 1 L</v>
      </c>
      <c r="E933">
        <v>2022</v>
      </c>
      <c r="F933">
        <v>43</v>
      </c>
      <c r="G933">
        <f t="shared" si="86"/>
        <v>10</v>
      </c>
      <c r="H933" s="1">
        <f t="shared" si="87"/>
        <v>44858</v>
      </c>
      <c r="I933" s="1">
        <f t="shared" si="88"/>
        <v>44835</v>
      </c>
      <c r="J933">
        <v>71716.369999999981</v>
      </c>
      <c r="K933">
        <v>2784</v>
      </c>
      <c r="L933">
        <f t="shared" si="84"/>
        <v>25.760190373563212</v>
      </c>
      <c r="M933">
        <v>232</v>
      </c>
      <c r="N933" s="2">
        <f t="shared" si="89"/>
        <v>309.12228448275852</v>
      </c>
      <c r="O933">
        <v>12</v>
      </c>
    </row>
    <row r="934" spans="1:15" x14ac:dyDescent="0.25">
      <c r="A934" t="s">
        <v>46</v>
      </c>
      <c r="B934" t="s">
        <v>14</v>
      </c>
      <c r="C934" t="s">
        <v>5</v>
      </c>
      <c r="D934" t="str">
        <f t="shared" si="85"/>
        <v>FAB1_Leche Clasica Extra Deslactosada 1 L</v>
      </c>
      <c r="E934">
        <v>2022</v>
      </c>
      <c r="F934">
        <v>44</v>
      </c>
      <c r="G934">
        <f t="shared" si="86"/>
        <v>11</v>
      </c>
      <c r="H934" s="1">
        <f t="shared" si="87"/>
        <v>44865</v>
      </c>
      <c r="I934" s="1">
        <f t="shared" si="88"/>
        <v>44866</v>
      </c>
      <c r="J934">
        <v>118389.55</v>
      </c>
      <c r="K934">
        <v>4596</v>
      </c>
      <c r="L934">
        <f t="shared" si="84"/>
        <v>25.759258050478678</v>
      </c>
      <c r="M934">
        <v>383</v>
      </c>
      <c r="N934" s="2">
        <f t="shared" si="89"/>
        <v>309.11109660574414</v>
      </c>
      <c r="O934">
        <v>12</v>
      </c>
    </row>
    <row r="935" spans="1:15" x14ac:dyDescent="0.25">
      <c r="A935" t="s">
        <v>46</v>
      </c>
      <c r="B935" t="s">
        <v>14</v>
      </c>
      <c r="C935" t="s">
        <v>5</v>
      </c>
      <c r="D935" t="str">
        <f t="shared" si="85"/>
        <v>FAB1_Leche Clasica Extra Deslactosada 1 L</v>
      </c>
      <c r="E935">
        <v>2022</v>
      </c>
      <c r="F935">
        <v>45</v>
      </c>
      <c r="G935">
        <f t="shared" si="86"/>
        <v>11</v>
      </c>
      <c r="H935" s="1">
        <f t="shared" si="87"/>
        <v>44872</v>
      </c>
      <c r="I935" s="1">
        <f t="shared" si="88"/>
        <v>44866</v>
      </c>
      <c r="J935">
        <v>95595.150000000009</v>
      </c>
      <c r="K935">
        <v>3708</v>
      </c>
      <c r="L935">
        <f t="shared" si="84"/>
        <v>25.780784789644017</v>
      </c>
      <c r="M935">
        <v>309</v>
      </c>
      <c r="N935" s="2">
        <f t="shared" si="89"/>
        <v>309.3694174757282</v>
      </c>
      <c r="O935">
        <v>12</v>
      </c>
    </row>
    <row r="936" spans="1:15" x14ac:dyDescent="0.25">
      <c r="A936" t="s">
        <v>46</v>
      </c>
      <c r="B936" t="s">
        <v>14</v>
      </c>
      <c r="C936" t="s">
        <v>5</v>
      </c>
      <c r="D936" t="str">
        <f t="shared" si="85"/>
        <v>FAB1_Leche Clasica Extra Deslactosada 1 L</v>
      </c>
      <c r="E936">
        <v>2022</v>
      </c>
      <c r="F936">
        <v>46</v>
      </c>
      <c r="G936">
        <f t="shared" si="86"/>
        <v>11</v>
      </c>
      <c r="H936" s="1">
        <f t="shared" si="87"/>
        <v>44879</v>
      </c>
      <c r="I936" s="1">
        <f t="shared" si="88"/>
        <v>44866</v>
      </c>
      <c r="J936">
        <v>115924</v>
      </c>
      <c r="K936">
        <v>4764</v>
      </c>
      <c r="L936">
        <f t="shared" si="84"/>
        <v>24.333333333333332</v>
      </c>
      <c r="M936">
        <v>397</v>
      </c>
      <c r="N936" s="2">
        <f t="shared" si="89"/>
        <v>292</v>
      </c>
      <c r="O936">
        <v>12</v>
      </c>
    </row>
    <row r="937" spans="1:15" x14ac:dyDescent="0.25">
      <c r="A937" t="s">
        <v>46</v>
      </c>
      <c r="B937" t="s">
        <v>14</v>
      </c>
      <c r="C937" t="s">
        <v>5</v>
      </c>
      <c r="D937" t="str">
        <f t="shared" si="85"/>
        <v>FAB1_Leche Clasica Extra Deslactosada 1 L</v>
      </c>
      <c r="E937">
        <v>2022</v>
      </c>
      <c r="F937">
        <v>47</v>
      </c>
      <c r="G937">
        <f t="shared" si="86"/>
        <v>11</v>
      </c>
      <c r="H937" s="1">
        <f t="shared" si="87"/>
        <v>44886</v>
      </c>
      <c r="I937" s="1">
        <f t="shared" si="88"/>
        <v>44866</v>
      </c>
      <c r="J937">
        <v>100230.11000000002</v>
      </c>
      <c r="K937">
        <v>4080</v>
      </c>
      <c r="L937">
        <f t="shared" si="84"/>
        <v>24.566203431372553</v>
      </c>
      <c r="M937">
        <v>340</v>
      </c>
      <c r="N937" s="2">
        <f t="shared" si="89"/>
        <v>294.79444117647063</v>
      </c>
      <c r="O937">
        <v>12</v>
      </c>
    </row>
    <row r="938" spans="1:15" x14ac:dyDescent="0.25">
      <c r="A938" t="s">
        <v>46</v>
      </c>
      <c r="B938" t="s">
        <v>14</v>
      </c>
      <c r="C938" t="s">
        <v>5</v>
      </c>
      <c r="D938" t="str">
        <f t="shared" si="85"/>
        <v>FAB1_Leche Clasica Extra Deslactosada 1 L</v>
      </c>
      <c r="E938">
        <v>2022</v>
      </c>
      <c r="F938">
        <v>48</v>
      </c>
      <c r="G938">
        <f t="shared" si="86"/>
        <v>12</v>
      </c>
      <c r="H938" s="1">
        <f t="shared" si="87"/>
        <v>44893</v>
      </c>
      <c r="I938" s="1">
        <f t="shared" si="88"/>
        <v>44896</v>
      </c>
      <c r="J938">
        <v>79651.299999999988</v>
      </c>
      <c r="K938">
        <v>3240</v>
      </c>
      <c r="L938">
        <f t="shared" si="84"/>
        <v>24.583734567901232</v>
      </c>
      <c r="M938">
        <v>270</v>
      </c>
      <c r="N938" s="2">
        <f t="shared" si="89"/>
        <v>295.00481481481478</v>
      </c>
      <c r="O938">
        <v>12</v>
      </c>
    </row>
    <row r="939" spans="1:15" x14ac:dyDescent="0.25">
      <c r="A939" t="s">
        <v>46</v>
      </c>
      <c r="B939" t="s">
        <v>14</v>
      </c>
      <c r="C939" t="s">
        <v>5</v>
      </c>
      <c r="D939" t="str">
        <f t="shared" si="85"/>
        <v>FAB1_Leche Clasica Extra Deslactosada 1 L</v>
      </c>
      <c r="E939">
        <v>2022</v>
      </c>
      <c r="F939">
        <v>49</v>
      </c>
      <c r="G939">
        <f t="shared" si="86"/>
        <v>12</v>
      </c>
      <c r="H939" s="1">
        <f t="shared" si="87"/>
        <v>44900</v>
      </c>
      <c r="I939" s="1">
        <f t="shared" si="88"/>
        <v>44896</v>
      </c>
      <c r="J939">
        <v>85559.47</v>
      </c>
      <c r="K939">
        <v>3432</v>
      </c>
      <c r="L939">
        <f t="shared" si="84"/>
        <v>24.929915501165503</v>
      </c>
      <c r="M939">
        <v>286</v>
      </c>
      <c r="N939" s="2">
        <f t="shared" si="89"/>
        <v>299.15898601398601</v>
      </c>
      <c r="O939">
        <v>12</v>
      </c>
    </row>
    <row r="940" spans="1:15" x14ac:dyDescent="0.25">
      <c r="A940" t="s">
        <v>46</v>
      </c>
      <c r="B940" t="s">
        <v>14</v>
      </c>
      <c r="C940" t="s">
        <v>5</v>
      </c>
      <c r="D940" t="str">
        <f t="shared" si="85"/>
        <v>FAB1_Leche Clasica Extra Deslactosada 1 L</v>
      </c>
      <c r="E940">
        <v>2022</v>
      </c>
      <c r="F940">
        <v>50</v>
      </c>
      <c r="G940">
        <f t="shared" si="86"/>
        <v>12</v>
      </c>
      <c r="H940" s="1">
        <f t="shared" si="87"/>
        <v>44907</v>
      </c>
      <c r="I940" s="1">
        <f t="shared" si="88"/>
        <v>44896</v>
      </c>
      <c r="J940">
        <v>92960.51999999999</v>
      </c>
      <c r="K940">
        <v>3696</v>
      </c>
      <c r="L940">
        <f t="shared" si="84"/>
        <v>25.15165584415584</v>
      </c>
      <c r="M940">
        <v>308</v>
      </c>
      <c r="N940" s="2">
        <f t="shared" si="89"/>
        <v>301.81987012987008</v>
      </c>
      <c r="O940">
        <v>12</v>
      </c>
    </row>
    <row r="941" spans="1:15" x14ac:dyDescent="0.25">
      <c r="A941" t="s">
        <v>46</v>
      </c>
      <c r="B941" t="s">
        <v>14</v>
      </c>
      <c r="C941" t="s">
        <v>5</v>
      </c>
      <c r="D941" t="str">
        <f t="shared" si="85"/>
        <v>FAB1_Leche Clasica Extra Deslactosada 1 L</v>
      </c>
      <c r="E941">
        <v>2022</v>
      </c>
      <c r="F941">
        <v>51</v>
      </c>
      <c r="G941">
        <f t="shared" si="86"/>
        <v>12</v>
      </c>
      <c r="H941" s="1">
        <f t="shared" si="87"/>
        <v>44914</v>
      </c>
      <c r="I941" s="1">
        <f t="shared" si="88"/>
        <v>44896</v>
      </c>
      <c r="J941">
        <v>127757.43000000002</v>
      </c>
      <c r="K941">
        <v>5016</v>
      </c>
      <c r="L941">
        <f t="shared" si="84"/>
        <v>25.469982057416271</v>
      </c>
      <c r="M941">
        <v>418</v>
      </c>
      <c r="N941" s="2">
        <f t="shared" si="89"/>
        <v>305.63978468899529</v>
      </c>
      <c r="O941">
        <v>12</v>
      </c>
    </row>
    <row r="942" spans="1:15" x14ac:dyDescent="0.25">
      <c r="A942" t="s">
        <v>46</v>
      </c>
      <c r="B942" t="s">
        <v>14</v>
      </c>
      <c r="C942" t="s">
        <v>5</v>
      </c>
      <c r="D942" t="str">
        <f t="shared" si="85"/>
        <v>FAB1_Leche Clasica Extra Deslactosada 1 L</v>
      </c>
      <c r="E942">
        <v>2022</v>
      </c>
      <c r="F942">
        <v>52</v>
      </c>
      <c r="G942">
        <f t="shared" si="86"/>
        <v>12</v>
      </c>
      <c r="H942" s="1">
        <f t="shared" si="87"/>
        <v>44921</v>
      </c>
      <c r="I942" s="1">
        <f t="shared" si="88"/>
        <v>44896</v>
      </c>
      <c r="J942">
        <v>75207.539999999994</v>
      </c>
      <c r="K942">
        <v>2940</v>
      </c>
      <c r="L942">
        <f t="shared" si="84"/>
        <v>25.580795918367343</v>
      </c>
      <c r="M942">
        <v>245</v>
      </c>
      <c r="N942" s="2">
        <f t="shared" si="89"/>
        <v>306.96955102040812</v>
      </c>
      <c r="O942">
        <v>12</v>
      </c>
    </row>
    <row r="943" spans="1:15" x14ac:dyDescent="0.25">
      <c r="A943" t="s">
        <v>46</v>
      </c>
      <c r="B943" t="s">
        <v>14</v>
      </c>
      <c r="C943" t="s">
        <v>5</v>
      </c>
      <c r="D943" t="str">
        <f t="shared" si="85"/>
        <v>FAB1_Leche Clasica Extra Deslactosada 1 L</v>
      </c>
      <c r="E943">
        <v>2023</v>
      </c>
      <c r="F943">
        <v>1</v>
      </c>
      <c r="G943">
        <f t="shared" si="86"/>
        <v>1</v>
      </c>
      <c r="H943" s="1">
        <f t="shared" si="87"/>
        <v>44928</v>
      </c>
      <c r="I943" s="1">
        <f t="shared" si="88"/>
        <v>44927</v>
      </c>
      <c r="J943">
        <v>84901.33</v>
      </c>
      <c r="K943">
        <v>3324</v>
      </c>
      <c r="L943">
        <f t="shared" si="84"/>
        <v>25.54191636582431</v>
      </c>
      <c r="M943">
        <v>277</v>
      </c>
      <c r="N943" s="2">
        <f t="shared" si="89"/>
        <v>306.50299638989168</v>
      </c>
      <c r="O943">
        <v>12</v>
      </c>
    </row>
    <row r="944" spans="1:15" x14ac:dyDescent="0.25">
      <c r="A944" t="s">
        <v>46</v>
      </c>
      <c r="B944" t="s">
        <v>14</v>
      </c>
      <c r="C944" t="s">
        <v>5</v>
      </c>
      <c r="D944" t="str">
        <f t="shared" si="85"/>
        <v>FAB1_Leche Clasica Extra Deslactosada 1 L</v>
      </c>
      <c r="E944">
        <v>2023</v>
      </c>
      <c r="F944">
        <v>2</v>
      </c>
      <c r="G944">
        <f t="shared" si="86"/>
        <v>1</v>
      </c>
      <c r="H944" s="1">
        <f t="shared" si="87"/>
        <v>44935</v>
      </c>
      <c r="I944" s="1">
        <f t="shared" si="88"/>
        <v>44927</v>
      </c>
      <c r="J944">
        <v>74928.05</v>
      </c>
      <c r="K944">
        <v>3072</v>
      </c>
      <c r="L944">
        <f t="shared" si="84"/>
        <v>24.390641276041666</v>
      </c>
      <c r="M944">
        <v>256</v>
      </c>
      <c r="N944" s="2">
        <f t="shared" si="89"/>
        <v>292.68769531250001</v>
      </c>
      <c r="O944">
        <v>12</v>
      </c>
    </row>
    <row r="945" spans="1:15" x14ac:dyDescent="0.25">
      <c r="A945" t="s">
        <v>46</v>
      </c>
      <c r="B945" t="s">
        <v>14</v>
      </c>
      <c r="C945" t="s">
        <v>5</v>
      </c>
      <c r="D945" t="str">
        <f t="shared" si="85"/>
        <v>FAB1_Leche Clasica Extra Deslactosada 1 L</v>
      </c>
      <c r="E945">
        <v>2023</v>
      </c>
      <c r="F945">
        <v>3</v>
      </c>
      <c r="G945">
        <f t="shared" si="86"/>
        <v>1</v>
      </c>
      <c r="H945" s="1">
        <f t="shared" si="87"/>
        <v>44942</v>
      </c>
      <c r="I945" s="1">
        <f t="shared" si="88"/>
        <v>44927</v>
      </c>
      <c r="J945">
        <v>126052.6</v>
      </c>
      <c r="K945">
        <v>5520</v>
      </c>
      <c r="L945">
        <f t="shared" si="84"/>
        <v>22.835615942028987</v>
      </c>
      <c r="M945">
        <v>460</v>
      </c>
      <c r="N945" s="2">
        <f t="shared" si="89"/>
        <v>274.02739130434782</v>
      </c>
      <c r="O945">
        <v>12</v>
      </c>
    </row>
    <row r="946" spans="1:15" x14ac:dyDescent="0.25">
      <c r="A946" t="s">
        <v>46</v>
      </c>
      <c r="B946" t="s">
        <v>14</v>
      </c>
      <c r="C946" t="s">
        <v>5</v>
      </c>
      <c r="D946" t="str">
        <f t="shared" si="85"/>
        <v>FAB1_Leche Clasica Extra Deslactosada 1 L</v>
      </c>
      <c r="E946">
        <v>2023</v>
      </c>
      <c r="F946">
        <v>4</v>
      </c>
      <c r="G946">
        <f t="shared" si="86"/>
        <v>1</v>
      </c>
      <c r="H946" s="1">
        <f t="shared" si="87"/>
        <v>44949</v>
      </c>
      <c r="I946" s="1">
        <f t="shared" si="88"/>
        <v>44927</v>
      </c>
      <c r="J946">
        <v>79765.510000000009</v>
      </c>
      <c r="K946">
        <v>3492</v>
      </c>
      <c r="L946">
        <f t="shared" si="84"/>
        <v>22.842356815578469</v>
      </c>
      <c r="M946">
        <v>291</v>
      </c>
      <c r="N946" s="2">
        <f t="shared" si="89"/>
        <v>274.10828178694163</v>
      </c>
      <c r="O946">
        <v>12</v>
      </c>
    </row>
    <row r="947" spans="1:15" x14ac:dyDescent="0.25">
      <c r="A947" t="s">
        <v>46</v>
      </c>
      <c r="B947" t="s">
        <v>14</v>
      </c>
      <c r="C947" t="s">
        <v>5</v>
      </c>
      <c r="D947" t="str">
        <f t="shared" si="85"/>
        <v>FAB1_Leche Clasica Extra Deslactosada 1 L</v>
      </c>
      <c r="E947">
        <v>2023</v>
      </c>
      <c r="F947">
        <v>5</v>
      </c>
      <c r="G947">
        <f t="shared" si="86"/>
        <v>2</v>
      </c>
      <c r="H947" s="1">
        <f t="shared" si="87"/>
        <v>44956</v>
      </c>
      <c r="I947" s="1">
        <f t="shared" si="88"/>
        <v>44958</v>
      </c>
      <c r="J947">
        <v>68215.179999999993</v>
      </c>
      <c r="K947">
        <v>2928</v>
      </c>
      <c r="L947">
        <f t="shared" si="84"/>
        <v>23.297534153005461</v>
      </c>
      <c r="M947">
        <v>244</v>
      </c>
      <c r="N947" s="2">
        <f t="shared" si="89"/>
        <v>279.57040983606555</v>
      </c>
      <c r="O947">
        <v>12</v>
      </c>
    </row>
    <row r="948" spans="1:15" x14ac:dyDescent="0.25">
      <c r="A948" t="s">
        <v>46</v>
      </c>
      <c r="B948" t="s">
        <v>14</v>
      </c>
      <c r="C948" t="s">
        <v>5</v>
      </c>
      <c r="D948" t="str">
        <f t="shared" si="85"/>
        <v>FAB1_Leche Clasica Extra Deslactosada 1 L</v>
      </c>
      <c r="E948">
        <v>2023</v>
      </c>
      <c r="F948">
        <v>6</v>
      </c>
      <c r="G948">
        <f t="shared" si="86"/>
        <v>2</v>
      </c>
      <c r="H948" s="1">
        <f t="shared" si="87"/>
        <v>44963</v>
      </c>
      <c r="I948" s="1">
        <f t="shared" si="88"/>
        <v>44958</v>
      </c>
      <c r="J948">
        <v>52528.799999999988</v>
      </c>
      <c r="K948">
        <v>2232</v>
      </c>
      <c r="L948">
        <f t="shared" si="84"/>
        <v>23.534408602150531</v>
      </c>
      <c r="M948">
        <v>186</v>
      </c>
      <c r="N948" s="2">
        <f t="shared" si="89"/>
        <v>282.41290322580642</v>
      </c>
      <c r="O948">
        <v>12</v>
      </c>
    </row>
    <row r="949" spans="1:15" x14ac:dyDescent="0.25">
      <c r="A949" t="s">
        <v>46</v>
      </c>
      <c r="B949" t="s">
        <v>14</v>
      </c>
      <c r="C949" t="s">
        <v>5</v>
      </c>
      <c r="D949" t="str">
        <f t="shared" si="85"/>
        <v>FAB1_Leche Clasica Extra Deslactosada 1 L</v>
      </c>
      <c r="E949">
        <v>2023</v>
      </c>
      <c r="F949">
        <v>7</v>
      </c>
      <c r="G949">
        <f t="shared" si="86"/>
        <v>2</v>
      </c>
      <c r="H949" s="1">
        <f t="shared" si="87"/>
        <v>44970</v>
      </c>
      <c r="I949" s="1">
        <f t="shared" si="88"/>
        <v>44958</v>
      </c>
      <c r="J949">
        <v>32133.15</v>
      </c>
      <c r="K949">
        <v>1344</v>
      </c>
      <c r="L949">
        <f t="shared" si="84"/>
        <v>23.908593750000001</v>
      </c>
      <c r="M949">
        <v>112</v>
      </c>
      <c r="N949" s="2">
        <f t="shared" si="89"/>
        <v>286.90312499999999</v>
      </c>
      <c r="O949">
        <v>12</v>
      </c>
    </row>
    <row r="950" spans="1:15" x14ac:dyDescent="0.25">
      <c r="A950" t="s">
        <v>46</v>
      </c>
      <c r="B950" t="s">
        <v>14</v>
      </c>
      <c r="C950" t="s">
        <v>5</v>
      </c>
      <c r="D950" t="str">
        <f t="shared" si="85"/>
        <v>FAB1_Leche Clasica Extra Deslactosada 1 L</v>
      </c>
      <c r="E950">
        <v>2023</v>
      </c>
      <c r="F950">
        <v>8</v>
      </c>
      <c r="G950">
        <f t="shared" si="86"/>
        <v>2</v>
      </c>
      <c r="H950" s="1">
        <f t="shared" si="87"/>
        <v>44977</v>
      </c>
      <c r="I950" s="1">
        <f t="shared" si="88"/>
        <v>44958</v>
      </c>
      <c r="J950">
        <v>16686</v>
      </c>
      <c r="K950">
        <v>648</v>
      </c>
      <c r="L950">
        <f t="shared" si="84"/>
        <v>25.75</v>
      </c>
      <c r="M950">
        <v>54</v>
      </c>
      <c r="N950" s="2">
        <f t="shared" si="89"/>
        <v>309</v>
      </c>
      <c r="O950">
        <v>12</v>
      </c>
    </row>
    <row r="951" spans="1:15" x14ac:dyDescent="0.25">
      <c r="A951" t="s">
        <v>46</v>
      </c>
      <c r="B951" t="s">
        <v>14</v>
      </c>
      <c r="C951" t="s">
        <v>5</v>
      </c>
      <c r="D951" t="str">
        <f t="shared" si="85"/>
        <v>FAB1_Leche Clasica Extra Deslactosada 1 L</v>
      </c>
      <c r="E951">
        <v>2023</v>
      </c>
      <c r="F951">
        <v>9</v>
      </c>
      <c r="G951">
        <f t="shared" si="86"/>
        <v>3</v>
      </c>
      <c r="H951" s="1">
        <f t="shared" si="87"/>
        <v>44984</v>
      </c>
      <c r="I951" s="1">
        <f t="shared" si="88"/>
        <v>44986</v>
      </c>
      <c r="J951">
        <v>37697.979999999996</v>
      </c>
      <c r="K951">
        <v>1464</v>
      </c>
      <c r="L951">
        <f t="shared" si="84"/>
        <v>25.749986338797811</v>
      </c>
      <c r="M951">
        <v>122</v>
      </c>
      <c r="N951" s="2">
        <f t="shared" si="89"/>
        <v>308.99983606557373</v>
      </c>
      <c r="O951">
        <v>12</v>
      </c>
    </row>
    <row r="952" spans="1:15" x14ac:dyDescent="0.25">
      <c r="A952" t="s">
        <v>46</v>
      </c>
      <c r="B952" t="s">
        <v>14</v>
      </c>
      <c r="C952" t="s">
        <v>5</v>
      </c>
      <c r="D952" t="str">
        <f t="shared" si="85"/>
        <v>FAB1_Leche Clasica Extra Deslactosada 1 L</v>
      </c>
      <c r="E952">
        <v>2023</v>
      </c>
      <c r="F952">
        <v>10</v>
      </c>
      <c r="G952">
        <f t="shared" si="86"/>
        <v>3</v>
      </c>
      <c r="H952" s="1">
        <f t="shared" si="87"/>
        <v>44991</v>
      </c>
      <c r="I952" s="1">
        <f t="shared" si="88"/>
        <v>44986</v>
      </c>
      <c r="J952">
        <v>61807.009999999995</v>
      </c>
      <c r="K952">
        <v>2400</v>
      </c>
      <c r="L952">
        <f t="shared" si="84"/>
        <v>25.752920833333331</v>
      </c>
      <c r="M952">
        <v>200</v>
      </c>
      <c r="N952" s="2">
        <f t="shared" si="89"/>
        <v>309.03504999999996</v>
      </c>
      <c r="O952">
        <v>12</v>
      </c>
    </row>
    <row r="953" spans="1:15" x14ac:dyDescent="0.25">
      <c r="A953" t="s">
        <v>46</v>
      </c>
      <c r="B953" t="s">
        <v>14</v>
      </c>
      <c r="C953" t="s">
        <v>5</v>
      </c>
      <c r="D953" t="str">
        <f t="shared" si="85"/>
        <v>FAB1_Leche Clasica Extra Deslactosada 1 L</v>
      </c>
      <c r="E953">
        <v>2023</v>
      </c>
      <c r="F953">
        <v>11</v>
      </c>
      <c r="G953">
        <f t="shared" si="86"/>
        <v>3</v>
      </c>
      <c r="H953" s="1">
        <f t="shared" si="87"/>
        <v>44998</v>
      </c>
      <c r="I953" s="1">
        <f t="shared" si="88"/>
        <v>44986</v>
      </c>
      <c r="J953">
        <v>74254.439999999988</v>
      </c>
      <c r="K953">
        <v>3072</v>
      </c>
      <c r="L953">
        <f t="shared" si="84"/>
        <v>24.171367187499996</v>
      </c>
      <c r="M953">
        <v>256</v>
      </c>
      <c r="N953" s="2">
        <f t="shared" si="89"/>
        <v>290.05640624999995</v>
      </c>
      <c r="O953">
        <v>12</v>
      </c>
    </row>
    <row r="954" spans="1:15" x14ac:dyDescent="0.25">
      <c r="A954" t="s">
        <v>46</v>
      </c>
      <c r="B954" t="s">
        <v>14</v>
      </c>
      <c r="C954" t="s">
        <v>5</v>
      </c>
      <c r="D954" t="str">
        <f t="shared" si="85"/>
        <v>FAB1_Leche Clasica Extra Deslactosada 1 L</v>
      </c>
      <c r="E954">
        <v>2023</v>
      </c>
      <c r="F954">
        <v>12</v>
      </c>
      <c r="G954">
        <f t="shared" si="86"/>
        <v>3</v>
      </c>
      <c r="H954" s="1">
        <f t="shared" si="87"/>
        <v>45005</v>
      </c>
      <c r="I954" s="1">
        <f t="shared" si="88"/>
        <v>44986</v>
      </c>
      <c r="J954">
        <v>71695.31</v>
      </c>
      <c r="K954">
        <v>3084</v>
      </c>
      <c r="L954">
        <f t="shared" si="84"/>
        <v>23.247506485084305</v>
      </c>
      <c r="M954">
        <v>257</v>
      </c>
      <c r="N954" s="2">
        <f t="shared" si="89"/>
        <v>278.97007782101167</v>
      </c>
      <c r="O954">
        <v>12</v>
      </c>
    </row>
    <row r="955" spans="1:15" x14ac:dyDescent="0.25">
      <c r="A955" t="s">
        <v>46</v>
      </c>
      <c r="B955" t="s">
        <v>14</v>
      </c>
      <c r="C955" t="s">
        <v>5</v>
      </c>
      <c r="D955" t="str">
        <f t="shared" si="85"/>
        <v>FAB1_Leche Clasica Extra Deslactosada 1 L</v>
      </c>
      <c r="E955">
        <v>2023</v>
      </c>
      <c r="F955">
        <v>13</v>
      </c>
      <c r="G955">
        <f t="shared" si="86"/>
        <v>3</v>
      </c>
      <c r="H955" s="1">
        <f t="shared" si="87"/>
        <v>45012</v>
      </c>
      <c r="I955" s="1">
        <f t="shared" si="88"/>
        <v>44986</v>
      </c>
      <c r="J955">
        <v>59243.319999999992</v>
      </c>
      <c r="K955">
        <v>2508</v>
      </c>
      <c r="L955">
        <f t="shared" si="84"/>
        <v>23.621738437001593</v>
      </c>
      <c r="M955">
        <v>209</v>
      </c>
      <c r="N955" s="2">
        <f t="shared" si="89"/>
        <v>283.4608612440191</v>
      </c>
      <c r="O955">
        <v>12</v>
      </c>
    </row>
    <row r="956" spans="1:15" x14ac:dyDescent="0.25">
      <c r="A956" t="s">
        <v>46</v>
      </c>
      <c r="B956" t="s">
        <v>14</v>
      </c>
      <c r="C956" t="s">
        <v>5</v>
      </c>
      <c r="D956" t="str">
        <f t="shared" si="85"/>
        <v>FAB1_Leche Clasica Extra Deslactosada 1 L</v>
      </c>
      <c r="E956">
        <v>2023</v>
      </c>
      <c r="F956">
        <v>14</v>
      </c>
      <c r="G956">
        <f t="shared" si="86"/>
        <v>4</v>
      </c>
      <c r="H956" s="1">
        <f t="shared" si="87"/>
        <v>45019</v>
      </c>
      <c r="I956" s="1">
        <f t="shared" si="88"/>
        <v>45017</v>
      </c>
      <c r="J956">
        <v>80861.929999999993</v>
      </c>
      <c r="K956">
        <v>3144</v>
      </c>
      <c r="L956">
        <f t="shared" si="84"/>
        <v>25.719443384223915</v>
      </c>
      <c r="M956">
        <v>262</v>
      </c>
      <c r="N956" s="2">
        <f t="shared" si="89"/>
        <v>308.63332061068701</v>
      </c>
      <c r="O956">
        <v>12</v>
      </c>
    </row>
    <row r="957" spans="1:15" x14ac:dyDescent="0.25">
      <c r="A957" t="s">
        <v>46</v>
      </c>
      <c r="B957" t="s">
        <v>14</v>
      </c>
      <c r="C957" t="s">
        <v>5</v>
      </c>
      <c r="D957" t="str">
        <f t="shared" si="85"/>
        <v>FAB1_Leche Clasica Extra Deslactosada 1 L</v>
      </c>
      <c r="E957">
        <v>2023</v>
      </c>
      <c r="F957">
        <v>15</v>
      </c>
      <c r="G957">
        <f t="shared" si="86"/>
        <v>4</v>
      </c>
      <c r="H957" s="1">
        <f t="shared" si="87"/>
        <v>45026</v>
      </c>
      <c r="I957" s="1">
        <f t="shared" si="88"/>
        <v>45017</v>
      </c>
      <c r="J957">
        <v>66092.570000000007</v>
      </c>
      <c r="K957">
        <v>2568</v>
      </c>
      <c r="L957">
        <f t="shared" si="84"/>
        <v>25.736982087227418</v>
      </c>
      <c r="M957">
        <v>214</v>
      </c>
      <c r="N957" s="2">
        <f t="shared" si="89"/>
        <v>308.84378504672901</v>
      </c>
      <c r="O957">
        <v>12</v>
      </c>
    </row>
    <row r="958" spans="1:15" x14ac:dyDescent="0.25">
      <c r="A958" t="s">
        <v>46</v>
      </c>
      <c r="B958" t="s">
        <v>14</v>
      </c>
      <c r="C958" t="s">
        <v>5</v>
      </c>
      <c r="D958" t="str">
        <f t="shared" si="85"/>
        <v>FAB1_Leche Clasica Extra Deslactosada 1 L</v>
      </c>
      <c r="E958">
        <v>2023</v>
      </c>
      <c r="F958">
        <v>16</v>
      </c>
      <c r="G958">
        <f t="shared" si="86"/>
        <v>4</v>
      </c>
      <c r="H958" s="1">
        <f t="shared" si="87"/>
        <v>45033</v>
      </c>
      <c r="I958" s="1">
        <f t="shared" si="88"/>
        <v>45017</v>
      </c>
      <c r="J958">
        <v>80632.22</v>
      </c>
      <c r="K958">
        <v>3132</v>
      </c>
      <c r="L958">
        <f t="shared" si="84"/>
        <v>25.744642401021711</v>
      </c>
      <c r="M958">
        <v>261</v>
      </c>
      <c r="N958" s="2">
        <f t="shared" si="89"/>
        <v>308.93570881226054</v>
      </c>
      <c r="O958">
        <v>12</v>
      </c>
    </row>
    <row r="959" spans="1:15" x14ac:dyDescent="0.25">
      <c r="A959" t="s">
        <v>46</v>
      </c>
      <c r="B959" t="s">
        <v>14</v>
      </c>
      <c r="C959" t="s">
        <v>5</v>
      </c>
      <c r="D959" t="str">
        <f t="shared" si="85"/>
        <v>FAB1_Leche Clasica Extra Deslactosada 1 L</v>
      </c>
      <c r="E959">
        <v>2023</v>
      </c>
      <c r="F959">
        <v>17</v>
      </c>
      <c r="G959">
        <f t="shared" si="86"/>
        <v>4</v>
      </c>
      <c r="H959" s="1">
        <f t="shared" si="87"/>
        <v>45040</v>
      </c>
      <c r="I959" s="1">
        <f t="shared" si="88"/>
        <v>45017</v>
      </c>
      <c r="J959">
        <v>88262.680000000008</v>
      </c>
      <c r="K959">
        <v>3456</v>
      </c>
      <c r="L959">
        <f t="shared" si="84"/>
        <v>25.538969907407409</v>
      </c>
      <c r="M959">
        <v>288</v>
      </c>
      <c r="N959" s="2">
        <f t="shared" si="89"/>
        <v>306.46763888888893</v>
      </c>
      <c r="O959">
        <v>12</v>
      </c>
    </row>
    <row r="960" spans="1:15" x14ac:dyDescent="0.25">
      <c r="A960" t="s">
        <v>46</v>
      </c>
      <c r="B960" t="s">
        <v>14</v>
      </c>
      <c r="C960" t="s">
        <v>5</v>
      </c>
      <c r="D960" t="str">
        <f t="shared" si="85"/>
        <v>FAB1_Leche Clasica Extra Deslactosada 1 L</v>
      </c>
      <c r="E960">
        <v>2023</v>
      </c>
      <c r="F960">
        <v>18</v>
      </c>
      <c r="G960">
        <f t="shared" si="86"/>
        <v>5</v>
      </c>
      <c r="H960" s="1">
        <f t="shared" si="87"/>
        <v>45047</v>
      </c>
      <c r="I960" s="1">
        <f t="shared" si="88"/>
        <v>45047</v>
      </c>
      <c r="J960">
        <v>90448.469999999987</v>
      </c>
      <c r="K960">
        <v>3600</v>
      </c>
      <c r="L960">
        <f t="shared" si="84"/>
        <v>25.124574999999997</v>
      </c>
      <c r="M960">
        <v>300</v>
      </c>
      <c r="N960" s="2">
        <f t="shared" si="89"/>
        <v>301.49489999999997</v>
      </c>
      <c r="O960">
        <v>12</v>
      </c>
    </row>
    <row r="961" spans="1:15" x14ac:dyDescent="0.25">
      <c r="A961" t="s">
        <v>46</v>
      </c>
      <c r="B961" t="s">
        <v>14</v>
      </c>
      <c r="C961" t="s">
        <v>5</v>
      </c>
      <c r="D961" t="str">
        <f t="shared" si="85"/>
        <v>FAB1_Leche Clasica Extra Deslactosada 1 L</v>
      </c>
      <c r="E961">
        <v>2023</v>
      </c>
      <c r="F961">
        <v>19</v>
      </c>
      <c r="G961">
        <f t="shared" si="86"/>
        <v>5</v>
      </c>
      <c r="H961" s="1">
        <f t="shared" si="87"/>
        <v>45054</v>
      </c>
      <c r="I961" s="1">
        <f t="shared" si="88"/>
        <v>45047</v>
      </c>
      <c r="J961">
        <v>73603.98</v>
      </c>
      <c r="K961">
        <v>3228</v>
      </c>
      <c r="L961">
        <f t="shared" si="84"/>
        <v>22.801728624535315</v>
      </c>
      <c r="M961">
        <v>269</v>
      </c>
      <c r="N961" s="2">
        <f t="shared" si="89"/>
        <v>273.62074349442378</v>
      </c>
      <c r="O961">
        <v>12</v>
      </c>
    </row>
    <row r="962" spans="1:15" x14ac:dyDescent="0.25">
      <c r="A962" t="s">
        <v>46</v>
      </c>
      <c r="B962" t="s">
        <v>14</v>
      </c>
      <c r="C962" t="s">
        <v>5</v>
      </c>
      <c r="D962" t="str">
        <f t="shared" si="85"/>
        <v>FAB1_Leche Clasica Extra Deslactosada 1 L</v>
      </c>
      <c r="E962">
        <v>2023</v>
      </c>
      <c r="F962">
        <v>20</v>
      </c>
      <c r="G962">
        <f t="shared" si="86"/>
        <v>5</v>
      </c>
      <c r="H962" s="1">
        <f t="shared" si="87"/>
        <v>45061</v>
      </c>
      <c r="I962" s="1">
        <f t="shared" si="88"/>
        <v>45047</v>
      </c>
      <c r="J962">
        <v>65521.4</v>
      </c>
      <c r="K962">
        <v>2868</v>
      </c>
      <c r="L962">
        <f t="shared" ref="L962:L1025" si="90">J962/K962</f>
        <v>22.845676429567643</v>
      </c>
      <c r="M962">
        <v>239</v>
      </c>
      <c r="N962" s="2">
        <f t="shared" si="89"/>
        <v>274.1481171548117</v>
      </c>
      <c r="O962">
        <v>12</v>
      </c>
    </row>
    <row r="963" spans="1:15" x14ac:dyDescent="0.25">
      <c r="A963" t="s">
        <v>46</v>
      </c>
      <c r="B963" t="s">
        <v>14</v>
      </c>
      <c r="C963" t="s">
        <v>5</v>
      </c>
      <c r="D963" t="str">
        <f t="shared" ref="D963:D1026" si="91">B963&amp;"_"&amp;C963</f>
        <v>FAB1_Leche Clasica Extra Deslactosada 1 L</v>
      </c>
      <c r="E963">
        <v>2023</v>
      </c>
      <c r="F963">
        <v>21</v>
      </c>
      <c r="G963">
        <f t="shared" ref="G963:G1026" si="92">MONTH(DATE(E963,1,4)+(F963-1)*7-WEEKDAY(DATE(E963,1,4),2)+4)</f>
        <v>5</v>
      </c>
      <c r="H963" s="1">
        <f t="shared" ref="H963:H1026" si="93">DATE(E963,1,-2)-WEEKDAY(DATE(E963,1,3))+F963*7</f>
        <v>45068</v>
      </c>
      <c r="I963" s="1">
        <f t="shared" ref="I963:I1026" si="94">DATE(E963,G963,1)</f>
        <v>45047</v>
      </c>
      <c r="J963">
        <v>73566.749999999985</v>
      </c>
      <c r="K963">
        <v>3264</v>
      </c>
      <c r="L963">
        <f t="shared" si="90"/>
        <v>22.538832720588232</v>
      </c>
      <c r="M963">
        <v>272</v>
      </c>
      <c r="N963" s="2">
        <f t="shared" ref="N963:N1026" si="95">J963/M963</f>
        <v>270.46599264705878</v>
      </c>
      <c r="O963">
        <v>12</v>
      </c>
    </row>
    <row r="964" spans="1:15" x14ac:dyDescent="0.25">
      <c r="A964" t="s">
        <v>46</v>
      </c>
      <c r="B964" t="s">
        <v>14</v>
      </c>
      <c r="C964" t="s">
        <v>5</v>
      </c>
      <c r="D964" t="str">
        <f t="shared" si="91"/>
        <v>FAB1_Leche Clasica Extra Deslactosada 1 L</v>
      </c>
      <c r="E964">
        <v>2023</v>
      </c>
      <c r="F964">
        <v>22</v>
      </c>
      <c r="G964">
        <f t="shared" si="92"/>
        <v>6</v>
      </c>
      <c r="H964" s="1">
        <f t="shared" si="93"/>
        <v>45075</v>
      </c>
      <c r="I964" s="1">
        <f t="shared" si="94"/>
        <v>45078</v>
      </c>
      <c r="J964">
        <v>70810.850000000006</v>
      </c>
      <c r="K964">
        <v>3108</v>
      </c>
      <c r="L964">
        <f t="shared" si="90"/>
        <v>22.783413770913771</v>
      </c>
      <c r="M964">
        <v>259</v>
      </c>
      <c r="N964" s="2">
        <f t="shared" si="95"/>
        <v>273.40096525096527</v>
      </c>
      <c r="O964">
        <v>12</v>
      </c>
    </row>
    <row r="965" spans="1:15" x14ac:dyDescent="0.25">
      <c r="A965" t="s">
        <v>46</v>
      </c>
      <c r="B965" t="s">
        <v>14</v>
      </c>
      <c r="C965" t="s">
        <v>5</v>
      </c>
      <c r="D965" t="str">
        <f t="shared" si="91"/>
        <v>FAB1_Leche Clasica Extra Deslactosada 1 L</v>
      </c>
      <c r="E965">
        <v>2023</v>
      </c>
      <c r="F965">
        <v>23</v>
      </c>
      <c r="G965">
        <f t="shared" si="92"/>
        <v>6</v>
      </c>
      <c r="H965" s="1">
        <f t="shared" si="93"/>
        <v>45082</v>
      </c>
      <c r="I965" s="1">
        <f t="shared" si="94"/>
        <v>45078</v>
      </c>
      <c r="J965">
        <v>78344.94</v>
      </c>
      <c r="K965">
        <v>3300</v>
      </c>
      <c r="L965">
        <f t="shared" si="90"/>
        <v>23.740890909090911</v>
      </c>
      <c r="M965">
        <v>275</v>
      </c>
      <c r="N965" s="2">
        <f t="shared" si="95"/>
        <v>284.89069090909089</v>
      </c>
      <c r="O965">
        <v>12</v>
      </c>
    </row>
    <row r="966" spans="1:15" x14ac:dyDescent="0.25">
      <c r="A966" t="s">
        <v>46</v>
      </c>
      <c r="B966" t="s">
        <v>14</v>
      </c>
      <c r="C966" t="s">
        <v>5</v>
      </c>
      <c r="D966" t="str">
        <f t="shared" si="91"/>
        <v>FAB1_Leche Clasica Extra Deslactosada 1 L</v>
      </c>
      <c r="E966">
        <v>2023</v>
      </c>
      <c r="F966">
        <v>24</v>
      </c>
      <c r="G966">
        <f t="shared" si="92"/>
        <v>6</v>
      </c>
      <c r="H966" s="1">
        <f t="shared" si="93"/>
        <v>45089</v>
      </c>
      <c r="I966" s="1">
        <f t="shared" si="94"/>
        <v>45078</v>
      </c>
      <c r="J966">
        <v>75974.600000000006</v>
      </c>
      <c r="K966">
        <v>3336</v>
      </c>
      <c r="L966">
        <f t="shared" si="90"/>
        <v>22.77416067146283</v>
      </c>
      <c r="M966">
        <v>278</v>
      </c>
      <c r="N966" s="2">
        <f t="shared" si="95"/>
        <v>273.28992805755399</v>
      </c>
      <c r="O966">
        <v>12</v>
      </c>
    </row>
    <row r="967" spans="1:15" x14ac:dyDescent="0.25">
      <c r="A967" t="s">
        <v>46</v>
      </c>
      <c r="B967" t="s">
        <v>14</v>
      </c>
      <c r="C967" t="s">
        <v>5</v>
      </c>
      <c r="D967" t="str">
        <f t="shared" si="91"/>
        <v>FAB1_Leche Clasica Extra Deslactosada 1 L</v>
      </c>
      <c r="E967">
        <v>2023</v>
      </c>
      <c r="F967">
        <v>25</v>
      </c>
      <c r="G967">
        <f t="shared" si="92"/>
        <v>6</v>
      </c>
      <c r="H967" s="1">
        <f t="shared" si="93"/>
        <v>45096</v>
      </c>
      <c r="I967" s="1">
        <f t="shared" si="94"/>
        <v>45078</v>
      </c>
      <c r="J967">
        <v>85636.2</v>
      </c>
      <c r="K967">
        <v>3768</v>
      </c>
      <c r="L967">
        <f t="shared" si="90"/>
        <v>22.727229299363056</v>
      </c>
      <c r="M967">
        <v>314</v>
      </c>
      <c r="N967" s="2">
        <f t="shared" si="95"/>
        <v>272.72675159235666</v>
      </c>
      <c r="O967">
        <v>12</v>
      </c>
    </row>
    <row r="968" spans="1:15" x14ac:dyDescent="0.25">
      <c r="A968" t="s">
        <v>46</v>
      </c>
      <c r="B968" t="s">
        <v>14</v>
      </c>
      <c r="C968" t="s">
        <v>5</v>
      </c>
      <c r="D968" t="str">
        <f t="shared" si="91"/>
        <v>FAB1_Leche Clasica Extra Deslactosada 1 L</v>
      </c>
      <c r="E968">
        <v>2023</v>
      </c>
      <c r="F968">
        <v>26</v>
      </c>
      <c r="G968">
        <f t="shared" si="92"/>
        <v>6</v>
      </c>
      <c r="H968" s="1">
        <f t="shared" si="93"/>
        <v>45103</v>
      </c>
      <c r="I968" s="1">
        <f t="shared" si="94"/>
        <v>45078</v>
      </c>
      <c r="J968">
        <v>73912.800000000017</v>
      </c>
      <c r="K968">
        <v>3240</v>
      </c>
      <c r="L968">
        <f t="shared" si="90"/>
        <v>22.812592592592598</v>
      </c>
      <c r="M968">
        <v>270</v>
      </c>
      <c r="N968" s="2">
        <f t="shared" si="95"/>
        <v>273.75111111111119</v>
      </c>
      <c r="O968">
        <v>12</v>
      </c>
    </row>
    <row r="969" spans="1:15" x14ac:dyDescent="0.25">
      <c r="A969" t="s">
        <v>46</v>
      </c>
      <c r="B969" t="s">
        <v>14</v>
      </c>
      <c r="C969" t="s">
        <v>5</v>
      </c>
      <c r="D969" t="str">
        <f t="shared" si="91"/>
        <v>FAB1_Leche Clasica Extra Deslactosada 1 L</v>
      </c>
      <c r="E969">
        <v>2023</v>
      </c>
      <c r="F969">
        <v>27</v>
      </c>
      <c r="G969">
        <f t="shared" si="92"/>
        <v>7</v>
      </c>
      <c r="H969" s="1">
        <f t="shared" si="93"/>
        <v>45110</v>
      </c>
      <c r="I969" s="1">
        <f t="shared" si="94"/>
        <v>45108</v>
      </c>
      <c r="J969">
        <v>92359.830000000031</v>
      </c>
      <c r="K969">
        <v>3900</v>
      </c>
      <c r="L969">
        <f t="shared" si="90"/>
        <v>23.6820076923077</v>
      </c>
      <c r="M969">
        <v>325</v>
      </c>
      <c r="N969" s="2">
        <f t="shared" si="95"/>
        <v>284.18409230769242</v>
      </c>
      <c r="O969">
        <v>12</v>
      </c>
    </row>
    <row r="970" spans="1:15" x14ac:dyDescent="0.25">
      <c r="A970" t="s">
        <v>46</v>
      </c>
      <c r="B970" t="s">
        <v>14</v>
      </c>
      <c r="C970" t="s">
        <v>5</v>
      </c>
      <c r="D970" t="str">
        <f t="shared" si="91"/>
        <v>FAB1_Leche Clasica Extra Deslactosada 1 L</v>
      </c>
      <c r="E970">
        <v>2023</v>
      </c>
      <c r="F970">
        <v>28</v>
      </c>
      <c r="G970">
        <f t="shared" si="92"/>
        <v>7</v>
      </c>
      <c r="H970" s="1">
        <f t="shared" si="93"/>
        <v>45117</v>
      </c>
      <c r="I970" s="1">
        <f t="shared" si="94"/>
        <v>45108</v>
      </c>
      <c r="J970">
        <v>88426.16</v>
      </c>
      <c r="K970">
        <v>4044</v>
      </c>
      <c r="L970">
        <f t="shared" si="90"/>
        <v>21.866013847675571</v>
      </c>
      <c r="M970">
        <v>337</v>
      </c>
      <c r="N970" s="2">
        <f t="shared" si="95"/>
        <v>262.39216617210684</v>
      </c>
      <c r="O970">
        <v>12</v>
      </c>
    </row>
    <row r="971" spans="1:15" x14ac:dyDescent="0.25">
      <c r="A971" t="s">
        <v>46</v>
      </c>
      <c r="B971" t="s">
        <v>14</v>
      </c>
      <c r="C971" t="s">
        <v>5</v>
      </c>
      <c r="D971" t="str">
        <f t="shared" si="91"/>
        <v>FAB1_Leche Clasica Extra Deslactosada 1 L</v>
      </c>
      <c r="E971">
        <v>2023</v>
      </c>
      <c r="F971">
        <v>29</v>
      </c>
      <c r="G971">
        <f t="shared" si="92"/>
        <v>7</v>
      </c>
      <c r="H971" s="1">
        <f t="shared" si="93"/>
        <v>45124</v>
      </c>
      <c r="I971" s="1">
        <f t="shared" si="94"/>
        <v>45108</v>
      </c>
      <c r="J971">
        <v>99951</v>
      </c>
      <c r="K971">
        <v>4548</v>
      </c>
      <c r="L971">
        <f t="shared" si="90"/>
        <v>21.976912928759894</v>
      </c>
      <c r="M971">
        <v>379</v>
      </c>
      <c r="N971" s="2">
        <f t="shared" si="95"/>
        <v>263.72295514511876</v>
      </c>
      <c r="O971">
        <v>12</v>
      </c>
    </row>
    <row r="972" spans="1:15" x14ac:dyDescent="0.25">
      <c r="A972" t="s">
        <v>46</v>
      </c>
      <c r="B972" t="s">
        <v>14</v>
      </c>
      <c r="C972" t="s">
        <v>5</v>
      </c>
      <c r="D972" t="str">
        <f t="shared" si="91"/>
        <v>FAB1_Leche Clasica Extra Deslactosada 1 L</v>
      </c>
      <c r="E972">
        <v>2023</v>
      </c>
      <c r="F972">
        <v>30</v>
      </c>
      <c r="G972">
        <f t="shared" si="92"/>
        <v>7</v>
      </c>
      <c r="H972" s="1">
        <f t="shared" si="93"/>
        <v>45131</v>
      </c>
      <c r="I972" s="1">
        <f t="shared" si="94"/>
        <v>45108</v>
      </c>
      <c r="J972">
        <v>94565.87000000001</v>
      </c>
      <c r="K972">
        <v>4296</v>
      </c>
      <c r="L972">
        <f t="shared" si="90"/>
        <v>22.012539571694603</v>
      </c>
      <c r="M972">
        <v>358</v>
      </c>
      <c r="N972" s="2">
        <f t="shared" si="95"/>
        <v>264.15047486033524</v>
      </c>
      <c r="O972">
        <v>12</v>
      </c>
    </row>
    <row r="973" spans="1:15" x14ac:dyDescent="0.25">
      <c r="A973" t="s">
        <v>46</v>
      </c>
      <c r="B973" t="s">
        <v>14</v>
      </c>
      <c r="C973" t="s">
        <v>5</v>
      </c>
      <c r="D973" t="str">
        <f t="shared" si="91"/>
        <v>FAB1_Leche Clasica Extra Deslactosada 1 L</v>
      </c>
      <c r="E973">
        <v>2023</v>
      </c>
      <c r="F973">
        <v>31</v>
      </c>
      <c r="G973">
        <f t="shared" si="92"/>
        <v>8</v>
      </c>
      <c r="H973" s="1">
        <f t="shared" si="93"/>
        <v>45138</v>
      </c>
      <c r="I973" s="1">
        <f t="shared" si="94"/>
        <v>45139</v>
      </c>
      <c r="J973">
        <v>101767.49</v>
      </c>
      <c r="K973">
        <v>4260</v>
      </c>
      <c r="L973">
        <f t="shared" si="90"/>
        <v>23.889082159624415</v>
      </c>
      <c r="M973">
        <v>355</v>
      </c>
      <c r="N973" s="2">
        <f t="shared" si="95"/>
        <v>286.66898591549295</v>
      </c>
      <c r="O973">
        <v>12</v>
      </c>
    </row>
    <row r="974" spans="1:15" x14ac:dyDescent="0.25">
      <c r="A974" t="s">
        <v>46</v>
      </c>
      <c r="B974" t="s">
        <v>14</v>
      </c>
      <c r="C974" t="s">
        <v>5</v>
      </c>
      <c r="D974" t="str">
        <f t="shared" si="91"/>
        <v>FAB1_Leche Clasica Extra Deslactosada 1 L</v>
      </c>
      <c r="E974">
        <v>2023</v>
      </c>
      <c r="F974">
        <v>32</v>
      </c>
      <c r="G974">
        <f t="shared" si="92"/>
        <v>8</v>
      </c>
      <c r="H974" s="1">
        <f t="shared" si="93"/>
        <v>45145</v>
      </c>
      <c r="I974" s="1">
        <f t="shared" si="94"/>
        <v>45139</v>
      </c>
      <c r="J974">
        <v>86838.16</v>
      </c>
      <c r="K974">
        <v>3216</v>
      </c>
      <c r="L974">
        <f t="shared" si="90"/>
        <v>27.001915422885574</v>
      </c>
      <c r="M974">
        <v>268</v>
      </c>
      <c r="N974" s="2">
        <f t="shared" si="95"/>
        <v>324.02298507462689</v>
      </c>
      <c r="O974">
        <v>12</v>
      </c>
    </row>
    <row r="975" spans="1:15" x14ac:dyDescent="0.25">
      <c r="A975" t="s">
        <v>46</v>
      </c>
      <c r="B975" t="s">
        <v>14</v>
      </c>
      <c r="C975" t="s">
        <v>5</v>
      </c>
      <c r="D975" t="str">
        <f t="shared" si="91"/>
        <v>FAB1_Leche Clasica Extra Deslactosada 1 L</v>
      </c>
      <c r="E975">
        <v>2023</v>
      </c>
      <c r="F975">
        <v>33</v>
      </c>
      <c r="G975">
        <f t="shared" si="92"/>
        <v>8</v>
      </c>
      <c r="H975" s="1">
        <f t="shared" si="93"/>
        <v>45152</v>
      </c>
      <c r="I975" s="1">
        <f t="shared" si="94"/>
        <v>45139</v>
      </c>
      <c r="J975">
        <v>106326.80000000002</v>
      </c>
      <c r="K975">
        <v>4068</v>
      </c>
      <c r="L975">
        <f t="shared" si="90"/>
        <v>26.137364798426749</v>
      </c>
      <c r="M975">
        <v>339</v>
      </c>
      <c r="N975" s="2">
        <f t="shared" si="95"/>
        <v>313.648377581121</v>
      </c>
      <c r="O975">
        <v>12</v>
      </c>
    </row>
    <row r="976" spans="1:15" x14ac:dyDescent="0.25">
      <c r="A976" t="s">
        <v>46</v>
      </c>
      <c r="B976" t="s">
        <v>14</v>
      </c>
      <c r="C976" t="s">
        <v>5</v>
      </c>
      <c r="D976" t="str">
        <f t="shared" si="91"/>
        <v>FAB1_Leche Clasica Extra Deslactosada 1 L</v>
      </c>
      <c r="E976">
        <v>2023</v>
      </c>
      <c r="F976">
        <v>34</v>
      </c>
      <c r="G976">
        <f t="shared" si="92"/>
        <v>8</v>
      </c>
      <c r="H976" s="1">
        <f t="shared" si="93"/>
        <v>45159</v>
      </c>
      <c r="I976" s="1">
        <f t="shared" si="94"/>
        <v>45139</v>
      </c>
      <c r="J976">
        <v>96437.999999999985</v>
      </c>
      <c r="K976">
        <v>3852</v>
      </c>
      <c r="L976">
        <f t="shared" si="90"/>
        <v>25.035825545171335</v>
      </c>
      <c r="M976">
        <v>321</v>
      </c>
      <c r="N976" s="2">
        <f t="shared" si="95"/>
        <v>300.42990654205602</v>
      </c>
      <c r="O976">
        <v>12</v>
      </c>
    </row>
    <row r="977" spans="1:15" x14ac:dyDescent="0.25">
      <c r="A977" t="s">
        <v>46</v>
      </c>
      <c r="B977" t="s">
        <v>14</v>
      </c>
      <c r="C977" t="s">
        <v>5</v>
      </c>
      <c r="D977" t="str">
        <f t="shared" si="91"/>
        <v>FAB1_Leche Clasica Extra Deslactosada 1 L</v>
      </c>
      <c r="E977">
        <v>2023</v>
      </c>
      <c r="F977">
        <v>35</v>
      </c>
      <c r="G977">
        <f t="shared" si="92"/>
        <v>8</v>
      </c>
      <c r="H977" s="1">
        <f t="shared" si="93"/>
        <v>45166</v>
      </c>
      <c r="I977" s="1">
        <f t="shared" si="94"/>
        <v>45139</v>
      </c>
      <c r="J977">
        <v>104156.68999999999</v>
      </c>
      <c r="K977">
        <v>4308</v>
      </c>
      <c r="L977">
        <f t="shared" si="90"/>
        <v>24.17750464252553</v>
      </c>
      <c r="M977">
        <v>359</v>
      </c>
      <c r="N977" s="2">
        <f t="shared" si="95"/>
        <v>290.13005571030635</v>
      </c>
      <c r="O977">
        <v>12</v>
      </c>
    </row>
    <row r="978" spans="1:15" x14ac:dyDescent="0.25">
      <c r="A978" t="s">
        <v>46</v>
      </c>
      <c r="B978" t="s">
        <v>14</v>
      </c>
      <c r="C978" t="s">
        <v>5</v>
      </c>
      <c r="D978" t="str">
        <f t="shared" si="91"/>
        <v>FAB1_Leche Clasica Extra Deslactosada 1 L</v>
      </c>
      <c r="E978">
        <v>2023</v>
      </c>
      <c r="F978">
        <v>36</v>
      </c>
      <c r="G978">
        <f t="shared" si="92"/>
        <v>9</v>
      </c>
      <c r="H978" s="1">
        <f t="shared" si="93"/>
        <v>45173</v>
      </c>
      <c r="I978" s="1">
        <f t="shared" si="94"/>
        <v>45170</v>
      </c>
      <c r="J978">
        <v>121216.62</v>
      </c>
      <c r="K978">
        <v>4512</v>
      </c>
      <c r="L978">
        <f t="shared" si="90"/>
        <v>26.865385638297873</v>
      </c>
      <c r="M978">
        <v>376</v>
      </c>
      <c r="N978" s="2">
        <f t="shared" si="95"/>
        <v>322.38462765957445</v>
      </c>
      <c r="O978">
        <v>12</v>
      </c>
    </row>
    <row r="979" spans="1:15" x14ac:dyDescent="0.25">
      <c r="A979" t="s">
        <v>46</v>
      </c>
      <c r="B979" t="s">
        <v>14</v>
      </c>
      <c r="C979" t="s">
        <v>5</v>
      </c>
      <c r="D979" t="str">
        <f t="shared" si="91"/>
        <v>FAB1_Leche Clasica Extra Deslactosada 1 L</v>
      </c>
      <c r="E979">
        <v>2023</v>
      </c>
      <c r="F979">
        <v>37</v>
      </c>
      <c r="G979">
        <f t="shared" si="92"/>
        <v>9</v>
      </c>
      <c r="H979" s="1">
        <f t="shared" si="93"/>
        <v>45180</v>
      </c>
      <c r="I979" s="1">
        <f t="shared" si="94"/>
        <v>45170</v>
      </c>
      <c r="J979">
        <v>102766.62</v>
      </c>
      <c r="K979">
        <v>3828</v>
      </c>
      <c r="L979">
        <f t="shared" si="90"/>
        <v>26.846034482758618</v>
      </c>
      <c r="M979">
        <v>319</v>
      </c>
      <c r="N979" s="2">
        <f t="shared" si="95"/>
        <v>322.15241379310345</v>
      </c>
      <c r="O979">
        <v>12</v>
      </c>
    </row>
    <row r="980" spans="1:15" x14ac:dyDescent="0.25">
      <c r="A980" t="s">
        <v>46</v>
      </c>
      <c r="B980" t="s">
        <v>14</v>
      </c>
      <c r="C980" t="s">
        <v>5</v>
      </c>
      <c r="D980" t="str">
        <f t="shared" si="91"/>
        <v>FAB1_Leche Clasica Extra Deslactosada 1 L</v>
      </c>
      <c r="E980">
        <v>2023</v>
      </c>
      <c r="F980">
        <v>38</v>
      </c>
      <c r="G980">
        <f t="shared" si="92"/>
        <v>9</v>
      </c>
      <c r="H980" s="1">
        <f t="shared" si="93"/>
        <v>45187</v>
      </c>
      <c r="I980" s="1">
        <f t="shared" si="94"/>
        <v>45170</v>
      </c>
      <c r="J980">
        <v>117468.17999999998</v>
      </c>
      <c r="K980">
        <v>4656</v>
      </c>
      <c r="L980">
        <f t="shared" si="90"/>
        <v>25.229420103092778</v>
      </c>
      <c r="M980">
        <v>388</v>
      </c>
      <c r="N980" s="2">
        <f t="shared" si="95"/>
        <v>302.75304123711334</v>
      </c>
      <c r="O980">
        <v>12</v>
      </c>
    </row>
    <row r="981" spans="1:15" x14ac:dyDescent="0.25">
      <c r="A981" t="s">
        <v>46</v>
      </c>
      <c r="B981" t="s">
        <v>14</v>
      </c>
      <c r="C981" t="s">
        <v>5</v>
      </c>
      <c r="D981" t="str">
        <f t="shared" si="91"/>
        <v>FAB1_Leche Clasica Extra Deslactosada 1 L</v>
      </c>
      <c r="E981">
        <v>2023</v>
      </c>
      <c r="F981">
        <v>39</v>
      </c>
      <c r="G981">
        <f t="shared" si="92"/>
        <v>9</v>
      </c>
      <c r="H981" s="1">
        <f t="shared" si="93"/>
        <v>45194</v>
      </c>
      <c r="I981" s="1">
        <f t="shared" si="94"/>
        <v>45170</v>
      </c>
      <c r="J981">
        <v>103913.37999999998</v>
      </c>
      <c r="K981">
        <v>4296</v>
      </c>
      <c r="L981">
        <f t="shared" si="90"/>
        <v>24.188403165735561</v>
      </c>
      <c r="M981">
        <v>358</v>
      </c>
      <c r="N981" s="2">
        <f t="shared" si="95"/>
        <v>290.26083798882672</v>
      </c>
      <c r="O981">
        <v>12</v>
      </c>
    </row>
    <row r="982" spans="1:15" x14ac:dyDescent="0.25">
      <c r="A982" t="s">
        <v>46</v>
      </c>
      <c r="B982" t="s">
        <v>14</v>
      </c>
      <c r="C982" t="s">
        <v>5</v>
      </c>
      <c r="D982" t="str">
        <f t="shared" si="91"/>
        <v>FAB1_Leche Clasica Extra Deslactosada 1 L</v>
      </c>
      <c r="E982">
        <v>2023</v>
      </c>
      <c r="F982">
        <v>40</v>
      </c>
      <c r="G982">
        <f t="shared" si="92"/>
        <v>10</v>
      </c>
      <c r="H982" s="1">
        <f t="shared" si="93"/>
        <v>45201</v>
      </c>
      <c r="I982" s="1">
        <f t="shared" si="94"/>
        <v>45200</v>
      </c>
      <c r="J982">
        <v>140414.37</v>
      </c>
      <c r="K982">
        <v>5808</v>
      </c>
      <c r="L982">
        <f t="shared" si="90"/>
        <v>24.176027892561983</v>
      </c>
      <c r="M982">
        <v>484</v>
      </c>
      <c r="N982" s="2">
        <f t="shared" si="95"/>
        <v>290.11233471074377</v>
      </c>
      <c r="O982">
        <v>12</v>
      </c>
    </row>
    <row r="983" spans="1:15" x14ac:dyDescent="0.25">
      <c r="A983" t="s">
        <v>46</v>
      </c>
      <c r="B983" t="s">
        <v>14</v>
      </c>
      <c r="C983" t="s">
        <v>5</v>
      </c>
      <c r="D983" t="str">
        <f t="shared" si="91"/>
        <v>FAB1_Leche Clasica Extra Deslactosada 1 L</v>
      </c>
      <c r="E983">
        <v>2023</v>
      </c>
      <c r="F983">
        <v>41</v>
      </c>
      <c r="G983">
        <f t="shared" si="92"/>
        <v>10</v>
      </c>
      <c r="H983" s="1">
        <f t="shared" si="93"/>
        <v>45208</v>
      </c>
      <c r="I983" s="1">
        <f t="shared" si="94"/>
        <v>45200</v>
      </c>
      <c r="J983">
        <v>130867.55999999998</v>
      </c>
      <c r="K983">
        <v>5460</v>
      </c>
      <c r="L983">
        <f t="shared" si="90"/>
        <v>23.96841758241758</v>
      </c>
      <c r="M983">
        <v>455</v>
      </c>
      <c r="N983" s="2">
        <f t="shared" si="95"/>
        <v>287.62101098901093</v>
      </c>
      <c r="O983">
        <v>12</v>
      </c>
    </row>
    <row r="984" spans="1:15" x14ac:dyDescent="0.25">
      <c r="A984" t="s">
        <v>46</v>
      </c>
      <c r="B984" t="s">
        <v>14</v>
      </c>
      <c r="C984" t="s">
        <v>5</v>
      </c>
      <c r="D984" t="str">
        <f t="shared" si="91"/>
        <v>FAB1_Leche Clasica Extra Deslactosada 1 L</v>
      </c>
      <c r="E984">
        <v>2023</v>
      </c>
      <c r="F984">
        <v>42</v>
      </c>
      <c r="G984">
        <f t="shared" si="92"/>
        <v>10</v>
      </c>
      <c r="H984" s="1">
        <f t="shared" si="93"/>
        <v>45215</v>
      </c>
      <c r="I984" s="1">
        <f t="shared" si="94"/>
        <v>45200</v>
      </c>
      <c r="J984">
        <v>161894.06999999995</v>
      </c>
      <c r="K984">
        <v>6768</v>
      </c>
      <c r="L984">
        <f t="shared" si="90"/>
        <v>23.920518617021269</v>
      </c>
      <c r="M984">
        <v>564</v>
      </c>
      <c r="N984" s="2">
        <f t="shared" si="95"/>
        <v>287.04622340425522</v>
      </c>
      <c r="O984">
        <v>12</v>
      </c>
    </row>
    <row r="985" spans="1:15" x14ac:dyDescent="0.25">
      <c r="A985" t="s">
        <v>46</v>
      </c>
      <c r="B985" t="s">
        <v>14</v>
      </c>
      <c r="C985" t="s">
        <v>5</v>
      </c>
      <c r="D985" t="str">
        <f t="shared" si="91"/>
        <v>FAB1_Leche Clasica Extra Deslactosada 1 L</v>
      </c>
      <c r="E985">
        <v>2023</v>
      </c>
      <c r="F985">
        <v>43</v>
      </c>
      <c r="G985">
        <f t="shared" si="92"/>
        <v>10</v>
      </c>
      <c r="H985" s="1">
        <f t="shared" si="93"/>
        <v>45222</v>
      </c>
      <c r="I985" s="1">
        <f t="shared" si="94"/>
        <v>45200</v>
      </c>
      <c r="J985">
        <v>135277.46999999997</v>
      </c>
      <c r="K985">
        <v>5628</v>
      </c>
      <c r="L985">
        <f t="shared" si="90"/>
        <v>24.036508528784644</v>
      </c>
      <c r="M985">
        <v>469</v>
      </c>
      <c r="N985" s="2">
        <f t="shared" si="95"/>
        <v>288.4381023454157</v>
      </c>
      <c r="O985">
        <v>12</v>
      </c>
    </row>
    <row r="986" spans="1:15" x14ac:dyDescent="0.25">
      <c r="A986" t="s">
        <v>46</v>
      </c>
      <c r="B986" t="s">
        <v>14</v>
      </c>
      <c r="C986" t="s">
        <v>5</v>
      </c>
      <c r="D986" t="str">
        <f t="shared" si="91"/>
        <v>FAB1_Leche Clasica Extra Deslactosada 1 L</v>
      </c>
      <c r="E986">
        <v>2023</v>
      </c>
      <c r="F986">
        <v>44</v>
      </c>
      <c r="G986">
        <f t="shared" si="92"/>
        <v>11</v>
      </c>
      <c r="H986" s="1">
        <f t="shared" si="93"/>
        <v>45229</v>
      </c>
      <c r="I986" s="1">
        <f t="shared" si="94"/>
        <v>45231</v>
      </c>
      <c r="J986">
        <v>121527.86</v>
      </c>
      <c r="K986">
        <v>4836</v>
      </c>
      <c r="L986">
        <f t="shared" si="90"/>
        <v>25.129830438378825</v>
      </c>
      <c r="M986">
        <v>403</v>
      </c>
      <c r="N986" s="2">
        <f t="shared" si="95"/>
        <v>301.55796526054593</v>
      </c>
      <c r="O986">
        <v>12</v>
      </c>
    </row>
    <row r="987" spans="1:15" x14ac:dyDescent="0.25">
      <c r="A987" t="s">
        <v>46</v>
      </c>
      <c r="B987" t="s">
        <v>14</v>
      </c>
      <c r="C987" t="s">
        <v>5</v>
      </c>
      <c r="D987" t="str">
        <f t="shared" si="91"/>
        <v>FAB1_Leche Clasica Extra Deslactosada 1 L</v>
      </c>
      <c r="E987">
        <v>2023</v>
      </c>
      <c r="F987">
        <v>45</v>
      </c>
      <c r="G987">
        <f t="shared" si="92"/>
        <v>11</v>
      </c>
      <c r="H987" s="1">
        <f t="shared" si="93"/>
        <v>45236</v>
      </c>
      <c r="I987" s="1">
        <f t="shared" si="94"/>
        <v>45231</v>
      </c>
      <c r="J987">
        <v>101486.02000000002</v>
      </c>
      <c r="K987">
        <v>3792</v>
      </c>
      <c r="L987">
        <f t="shared" si="90"/>
        <v>26.763190928270046</v>
      </c>
      <c r="M987">
        <v>316</v>
      </c>
      <c r="N987" s="2">
        <f t="shared" si="95"/>
        <v>321.15829113924059</v>
      </c>
      <c r="O987">
        <v>12</v>
      </c>
    </row>
    <row r="988" spans="1:15" x14ac:dyDescent="0.25">
      <c r="A988" t="s">
        <v>46</v>
      </c>
      <c r="B988" t="s">
        <v>14</v>
      </c>
      <c r="C988" t="s">
        <v>5</v>
      </c>
      <c r="D988" t="str">
        <f t="shared" si="91"/>
        <v>FAB1_Leche Clasica Extra Deslactosada 1 L</v>
      </c>
      <c r="E988">
        <v>2023</v>
      </c>
      <c r="F988">
        <v>46</v>
      </c>
      <c r="G988">
        <f t="shared" si="92"/>
        <v>11</v>
      </c>
      <c r="H988" s="1">
        <f t="shared" si="93"/>
        <v>45243</v>
      </c>
      <c r="I988" s="1">
        <f t="shared" si="94"/>
        <v>45231</v>
      </c>
      <c r="J988">
        <v>105614.20999999999</v>
      </c>
      <c r="K988">
        <v>4008</v>
      </c>
      <c r="L988">
        <f t="shared" si="90"/>
        <v>26.35085079840319</v>
      </c>
      <c r="M988">
        <v>334</v>
      </c>
      <c r="N988" s="2">
        <f t="shared" si="95"/>
        <v>316.2102095808383</v>
      </c>
      <c r="O988">
        <v>12</v>
      </c>
    </row>
    <row r="989" spans="1:15" x14ac:dyDescent="0.25">
      <c r="A989" t="s">
        <v>46</v>
      </c>
      <c r="B989" t="s">
        <v>14</v>
      </c>
      <c r="C989" t="s">
        <v>5</v>
      </c>
      <c r="D989" t="str">
        <f t="shared" si="91"/>
        <v>FAB1_Leche Clasica Extra Deslactosada 1 L</v>
      </c>
      <c r="E989">
        <v>2023</v>
      </c>
      <c r="F989">
        <v>47</v>
      </c>
      <c r="G989">
        <f t="shared" si="92"/>
        <v>11</v>
      </c>
      <c r="H989" s="1">
        <f t="shared" si="93"/>
        <v>45250</v>
      </c>
      <c r="I989" s="1">
        <f t="shared" si="94"/>
        <v>45231</v>
      </c>
      <c r="J989">
        <v>116895.65</v>
      </c>
      <c r="K989">
        <v>4464</v>
      </c>
      <c r="L989">
        <f t="shared" si="90"/>
        <v>26.186301523297491</v>
      </c>
      <c r="M989">
        <v>372</v>
      </c>
      <c r="N989" s="2">
        <f t="shared" si="95"/>
        <v>314.23561827956985</v>
      </c>
      <c r="O989">
        <v>12</v>
      </c>
    </row>
    <row r="990" spans="1:15" x14ac:dyDescent="0.25">
      <c r="A990" t="s">
        <v>46</v>
      </c>
      <c r="B990" t="s">
        <v>14</v>
      </c>
      <c r="C990" t="s">
        <v>5</v>
      </c>
      <c r="D990" t="str">
        <f t="shared" si="91"/>
        <v>FAB1_Leche Clasica Extra Deslactosada 1 L</v>
      </c>
      <c r="E990">
        <v>2023</v>
      </c>
      <c r="F990">
        <v>48</v>
      </c>
      <c r="G990">
        <f t="shared" si="92"/>
        <v>11</v>
      </c>
      <c r="H990" s="1">
        <f t="shared" si="93"/>
        <v>45257</v>
      </c>
      <c r="I990" s="1">
        <f t="shared" si="94"/>
        <v>45231</v>
      </c>
      <c r="J990">
        <v>109946.61000000002</v>
      </c>
      <c r="K990">
        <v>4200</v>
      </c>
      <c r="L990">
        <f t="shared" si="90"/>
        <v>26.177764285714289</v>
      </c>
      <c r="M990">
        <v>350</v>
      </c>
      <c r="N990" s="2">
        <f t="shared" si="95"/>
        <v>314.13317142857147</v>
      </c>
      <c r="O990">
        <v>12</v>
      </c>
    </row>
    <row r="991" spans="1:15" x14ac:dyDescent="0.25">
      <c r="A991" t="s">
        <v>46</v>
      </c>
      <c r="B991" t="s">
        <v>14</v>
      </c>
      <c r="C991" t="s">
        <v>5</v>
      </c>
      <c r="D991" t="str">
        <f t="shared" si="91"/>
        <v>FAB1_Leche Clasica Extra Deslactosada 1 L</v>
      </c>
      <c r="E991">
        <v>2023</v>
      </c>
      <c r="F991">
        <v>49</v>
      </c>
      <c r="G991">
        <f t="shared" si="92"/>
        <v>12</v>
      </c>
      <c r="H991" s="1">
        <f t="shared" si="93"/>
        <v>45264</v>
      </c>
      <c r="I991" s="1">
        <f t="shared" si="94"/>
        <v>45261</v>
      </c>
      <c r="J991">
        <v>117798.22000000003</v>
      </c>
      <c r="K991">
        <v>4752</v>
      </c>
      <c r="L991">
        <f t="shared" si="90"/>
        <v>24.789187710437716</v>
      </c>
      <c r="M991">
        <v>396</v>
      </c>
      <c r="N991" s="2">
        <f t="shared" si="95"/>
        <v>297.47025252525259</v>
      </c>
      <c r="O991">
        <v>12</v>
      </c>
    </row>
    <row r="992" spans="1:15" x14ac:dyDescent="0.25">
      <c r="A992" t="s">
        <v>46</v>
      </c>
      <c r="B992" t="s">
        <v>14</v>
      </c>
      <c r="C992" t="s">
        <v>5</v>
      </c>
      <c r="D992" t="str">
        <f t="shared" si="91"/>
        <v>FAB1_Leche Clasica Extra Deslactosada 1 L</v>
      </c>
      <c r="E992">
        <v>2023</v>
      </c>
      <c r="F992">
        <v>50</v>
      </c>
      <c r="G992">
        <f t="shared" si="92"/>
        <v>12</v>
      </c>
      <c r="H992" s="1">
        <f t="shared" si="93"/>
        <v>45271</v>
      </c>
      <c r="I992" s="1">
        <f t="shared" si="94"/>
        <v>45261</v>
      </c>
      <c r="J992">
        <v>125562.98999999999</v>
      </c>
      <c r="K992">
        <v>4668</v>
      </c>
      <c r="L992">
        <f t="shared" si="90"/>
        <v>26.898669665809766</v>
      </c>
      <c r="M992">
        <v>389</v>
      </c>
      <c r="N992" s="2">
        <f t="shared" si="95"/>
        <v>322.78403598971721</v>
      </c>
      <c r="O992">
        <v>12</v>
      </c>
    </row>
    <row r="993" spans="1:15" x14ac:dyDescent="0.25">
      <c r="A993" t="s">
        <v>46</v>
      </c>
      <c r="B993" t="s">
        <v>14</v>
      </c>
      <c r="C993" t="s">
        <v>5</v>
      </c>
      <c r="D993" t="str">
        <f t="shared" si="91"/>
        <v>FAB1_Leche Clasica Extra Deslactosada 1 L</v>
      </c>
      <c r="E993">
        <v>2023</v>
      </c>
      <c r="F993">
        <v>51</v>
      </c>
      <c r="G993">
        <f t="shared" si="92"/>
        <v>12</v>
      </c>
      <c r="H993" s="1">
        <f t="shared" si="93"/>
        <v>45278</v>
      </c>
      <c r="I993" s="1">
        <f t="shared" si="94"/>
        <v>45261</v>
      </c>
      <c r="J993">
        <v>114646.69</v>
      </c>
      <c r="K993">
        <v>4284</v>
      </c>
      <c r="L993">
        <f t="shared" si="90"/>
        <v>26.761598972922503</v>
      </c>
      <c r="M993">
        <v>357</v>
      </c>
      <c r="N993" s="2">
        <f t="shared" si="95"/>
        <v>321.13918767507005</v>
      </c>
      <c r="O993">
        <v>12</v>
      </c>
    </row>
    <row r="994" spans="1:15" x14ac:dyDescent="0.25">
      <c r="A994" t="s">
        <v>46</v>
      </c>
      <c r="B994" t="s">
        <v>14</v>
      </c>
      <c r="C994" t="s">
        <v>5</v>
      </c>
      <c r="D994" t="str">
        <f t="shared" si="91"/>
        <v>FAB1_Leche Clasica Extra Deslactosada 1 L</v>
      </c>
      <c r="E994">
        <v>2023</v>
      </c>
      <c r="F994">
        <v>52</v>
      </c>
      <c r="G994">
        <f t="shared" si="92"/>
        <v>12</v>
      </c>
      <c r="H994" s="1">
        <f t="shared" si="93"/>
        <v>45285</v>
      </c>
      <c r="I994" s="1">
        <f t="shared" si="94"/>
        <v>45261</v>
      </c>
      <c r="J994">
        <v>107802.29</v>
      </c>
      <c r="K994">
        <v>4044</v>
      </c>
      <c r="L994">
        <f t="shared" si="90"/>
        <v>26.65734174085064</v>
      </c>
      <c r="M994">
        <v>337</v>
      </c>
      <c r="N994" s="2">
        <f t="shared" si="95"/>
        <v>319.88810089020768</v>
      </c>
      <c r="O994">
        <v>12</v>
      </c>
    </row>
    <row r="995" spans="1:15" x14ac:dyDescent="0.25">
      <c r="A995" t="s">
        <v>46</v>
      </c>
      <c r="B995" t="s">
        <v>14</v>
      </c>
      <c r="C995" t="s">
        <v>5</v>
      </c>
      <c r="D995" t="str">
        <f t="shared" si="91"/>
        <v>FAB1_Leche Clasica Extra Deslactosada 1 L</v>
      </c>
      <c r="E995">
        <v>2024</v>
      </c>
      <c r="F995">
        <v>1</v>
      </c>
      <c r="G995">
        <f t="shared" si="92"/>
        <v>1</v>
      </c>
      <c r="H995" s="1">
        <f t="shared" si="93"/>
        <v>45292</v>
      </c>
      <c r="I995" s="1">
        <f t="shared" si="94"/>
        <v>45292</v>
      </c>
      <c r="J995">
        <v>136807.18</v>
      </c>
      <c r="K995">
        <v>5100</v>
      </c>
      <c r="L995">
        <f t="shared" si="90"/>
        <v>26.824937254901961</v>
      </c>
      <c r="M995">
        <v>425</v>
      </c>
      <c r="N995" s="2">
        <f t="shared" si="95"/>
        <v>321.89924705882351</v>
      </c>
      <c r="O995">
        <v>12</v>
      </c>
    </row>
    <row r="996" spans="1:15" x14ac:dyDescent="0.25">
      <c r="A996" t="s">
        <v>46</v>
      </c>
      <c r="B996" t="s">
        <v>14</v>
      </c>
      <c r="C996" t="s">
        <v>5</v>
      </c>
      <c r="D996" t="str">
        <f t="shared" si="91"/>
        <v>FAB1_Leche Clasica Extra Deslactosada 1 L</v>
      </c>
      <c r="E996">
        <v>2024</v>
      </c>
      <c r="F996">
        <v>2</v>
      </c>
      <c r="G996">
        <f t="shared" si="92"/>
        <v>1</v>
      </c>
      <c r="H996" s="1">
        <f t="shared" si="93"/>
        <v>45299</v>
      </c>
      <c r="I996" s="1">
        <f t="shared" si="94"/>
        <v>45292</v>
      </c>
      <c r="J996">
        <v>114756.98000000001</v>
      </c>
      <c r="K996">
        <v>4356</v>
      </c>
      <c r="L996">
        <f t="shared" si="90"/>
        <v>26.344577594123052</v>
      </c>
      <c r="M996">
        <v>363</v>
      </c>
      <c r="N996" s="2">
        <f t="shared" si="95"/>
        <v>316.13493112947663</v>
      </c>
      <c r="O996">
        <v>12</v>
      </c>
    </row>
    <row r="997" spans="1:15" x14ac:dyDescent="0.25">
      <c r="A997" t="s">
        <v>46</v>
      </c>
      <c r="B997" t="s">
        <v>14</v>
      </c>
      <c r="C997" t="s">
        <v>5</v>
      </c>
      <c r="D997" t="str">
        <f t="shared" si="91"/>
        <v>FAB1_Leche Clasica Extra Deslactosada 1 L</v>
      </c>
      <c r="E997">
        <v>2024</v>
      </c>
      <c r="F997">
        <v>3</v>
      </c>
      <c r="G997">
        <f t="shared" si="92"/>
        <v>1</v>
      </c>
      <c r="H997" s="1">
        <f t="shared" si="93"/>
        <v>45306</v>
      </c>
      <c r="I997" s="1">
        <f t="shared" si="94"/>
        <v>45292</v>
      </c>
      <c r="J997">
        <v>116257.54</v>
      </c>
      <c r="K997">
        <v>4404</v>
      </c>
      <c r="L997">
        <f t="shared" si="90"/>
        <v>26.398169845594911</v>
      </c>
      <c r="M997">
        <v>367</v>
      </c>
      <c r="N997" s="2">
        <f t="shared" si="95"/>
        <v>316.77803814713894</v>
      </c>
      <c r="O997">
        <v>12</v>
      </c>
    </row>
    <row r="998" spans="1:15" x14ac:dyDescent="0.25">
      <c r="A998" t="s">
        <v>46</v>
      </c>
      <c r="B998" t="s">
        <v>14</v>
      </c>
      <c r="C998" t="s">
        <v>5</v>
      </c>
      <c r="D998" t="str">
        <f t="shared" si="91"/>
        <v>FAB1_Leche Clasica Extra Deslactosada 1 L</v>
      </c>
      <c r="E998">
        <v>2024</v>
      </c>
      <c r="F998">
        <v>4</v>
      </c>
      <c r="G998">
        <f t="shared" si="92"/>
        <v>1</v>
      </c>
      <c r="H998" s="1">
        <f t="shared" si="93"/>
        <v>45313</v>
      </c>
      <c r="I998" s="1">
        <f t="shared" si="94"/>
        <v>45292</v>
      </c>
      <c r="J998">
        <v>120806.85999999996</v>
      </c>
      <c r="K998">
        <v>4584</v>
      </c>
      <c r="L998">
        <f t="shared" si="90"/>
        <v>26.35402705061081</v>
      </c>
      <c r="M998">
        <v>382</v>
      </c>
      <c r="N998" s="2">
        <f t="shared" si="95"/>
        <v>316.24832460732972</v>
      </c>
      <c r="O998">
        <v>12</v>
      </c>
    </row>
    <row r="999" spans="1:15" x14ac:dyDescent="0.25">
      <c r="A999" t="s">
        <v>46</v>
      </c>
      <c r="B999" t="s">
        <v>14</v>
      </c>
      <c r="C999" t="s">
        <v>5</v>
      </c>
      <c r="D999" t="str">
        <f t="shared" si="91"/>
        <v>FAB1_Leche Clasica Extra Deslactosada 1 L</v>
      </c>
      <c r="E999">
        <v>2024</v>
      </c>
      <c r="F999">
        <v>5</v>
      </c>
      <c r="G999">
        <f t="shared" si="92"/>
        <v>2</v>
      </c>
      <c r="H999" s="1">
        <f t="shared" si="93"/>
        <v>45320</v>
      </c>
      <c r="I999" s="1">
        <f t="shared" si="94"/>
        <v>45323</v>
      </c>
      <c r="J999">
        <v>195154.22999999995</v>
      </c>
      <c r="K999">
        <v>8196</v>
      </c>
      <c r="L999">
        <f t="shared" si="90"/>
        <v>23.810911420204974</v>
      </c>
      <c r="M999">
        <v>683</v>
      </c>
      <c r="N999" s="2">
        <f t="shared" si="95"/>
        <v>285.73093704245969</v>
      </c>
      <c r="O999">
        <v>12</v>
      </c>
    </row>
    <row r="1000" spans="1:15" x14ac:dyDescent="0.25">
      <c r="A1000" t="s">
        <v>46</v>
      </c>
      <c r="B1000" t="s">
        <v>14</v>
      </c>
      <c r="C1000" t="s">
        <v>5</v>
      </c>
      <c r="D1000" t="str">
        <f t="shared" si="91"/>
        <v>FAB1_Leche Clasica Extra Deslactosada 1 L</v>
      </c>
      <c r="E1000">
        <v>2024</v>
      </c>
      <c r="F1000">
        <v>6</v>
      </c>
      <c r="G1000">
        <f t="shared" si="92"/>
        <v>2</v>
      </c>
      <c r="H1000" s="1">
        <f t="shared" si="93"/>
        <v>45327</v>
      </c>
      <c r="I1000" s="1">
        <f t="shared" si="94"/>
        <v>45323</v>
      </c>
      <c r="J1000">
        <v>217352.48999999996</v>
      </c>
      <c r="K1000">
        <v>11412</v>
      </c>
      <c r="L1000">
        <f t="shared" si="90"/>
        <v>19.04595951629863</v>
      </c>
      <c r="M1000">
        <v>951</v>
      </c>
      <c r="N1000" s="2">
        <f t="shared" si="95"/>
        <v>228.55151419558356</v>
      </c>
      <c r="O1000">
        <v>12</v>
      </c>
    </row>
    <row r="1001" spans="1:15" x14ac:dyDescent="0.25">
      <c r="A1001" t="s">
        <v>46</v>
      </c>
      <c r="B1001" t="s">
        <v>14</v>
      </c>
      <c r="C1001" t="s">
        <v>5</v>
      </c>
      <c r="D1001" t="str">
        <f t="shared" si="91"/>
        <v>FAB1_Leche Clasica Extra Deslactosada 1 L</v>
      </c>
      <c r="E1001">
        <v>2024</v>
      </c>
      <c r="F1001">
        <v>7</v>
      </c>
      <c r="G1001">
        <f t="shared" si="92"/>
        <v>2</v>
      </c>
      <c r="H1001" s="1">
        <f t="shared" si="93"/>
        <v>45334</v>
      </c>
      <c r="I1001" s="1">
        <f t="shared" si="94"/>
        <v>45323</v>
      </c>
      <c r="J1001">
        <v>76073.549999999988</v>
      </c>
      <c r="K1001">
        <v>2844</v>
      </c>
      <c r="L1001">
        <f t="shared" si="90"/>
        <v>26.748786919831218</v>
      </c>
      <c r="M1001">
        <v>237</v>
      </c>
      <c r="N1001" s="2">
        <f t="shared" si="95"/>
        <v>320.98544303797462</v>
      </c>
      <c r="O1001">
        <v>12</v>
      </c>
    </row>
    <row r="1002" spans="1:15" x14ac:dyDescent="0.25">
      <c r="A1002" t="s">
        <v>46</v>
      </c>
      <c r="B1002" t="s">
        <v>14</v>
      </c>
      <c r="C1002" t="s">
        <v>5</v>
      </c>
      <c r="D1002" t="str">
        <f t="shared" si="91"/>
        <v>FAB1_Leche Clasica Extra Deslactosada 1 L</v>
      </c>
      <c r="E1002">
        <v>2024</v>
      </c>
      <c r="F1002">
        <v>8</v>
      </c>
      <c r="G1002">
        <f t="shared" si="92"/>
        <v>2</v>
      </c>
      <c r="H1002" s="1">
        <f t="shared" si="93"/>
        <v>45341</v>
      </c>
      <c r="I1002" s="1">
        <f t="shared" si="94"/>
        <v>45323</v>
      </c>
      <c r="J1002">
        <v>56270.359999999993</v>
      </c>
      <c r="K1002">
        <v>2040</v>
      </c>
      <c r="L1002">
        <f t="shared" si="90"/>
        <v>27.583509803921565</v>
      </c>
      <c r="M1002">
        <v>170</v>
      </c>
      <c r="N1002" s="2">
        <f t="shared" si="95"/>
        <v>331.00211764705881</v>
      </c>
      <c r="O1002">
        <v>12</v>
      </c>
    </row>
    <row r="1003" spans="1:15" x14ac:dyDescent="0.25">
      <c r="A1003" t="s">
        <v>46</v>
      </c>
      <c r="B1003" t="s">
        <v>14</v>
      </c>
      <c r="C1003" t="s">
        <v>5</v>
      </c>
      <c r="D1003" t="str">
        <f t="shared" si="91"/>
        <v>FAB1_Leche Clasica Extra Deslactosada 1 L</v>
      </c>
      <c r="E1003">
        <v>2024</v>
      </c>
      <c r="F1003">
        <v>9</v>
      </c>
      <c r="G1003">
        <f t="shared" si="92"/>
        <v>2</v>
      </c>
      <c r="H1003" s="1">
        <f t="shared" si="93"/>
        <v>45348</v>
      </c>
      <c r="I1003" s="1">
        <f t="shared" si="94"/>
        <v>45323</v>
      </c>
      <c r="J1003">
        <v>58392.23</v>
      </c>
      <c r="K1003">
        <v>2028</v>
      </c>
      <c r="L1003">
        <f t="shared" si="90"/>
        <v>28.793012820512821</v>
      </c>
      <c r="M1003">
        <v>169</v>
      </c>
      <c r="N1003" s="2">
        <f t="shared" si="95"/>
        <v>345.51615384615388</v>
      </c>
      <c r="O1003">
        <v>12</v>
      </c>
    </row>
    <row r="1004" spans="1:15" x14ac:dyDescent="0.25">
      <c r="A1004" t="s">
        <v>46</v>
      </c>
      <c r="B1004" t="s">
        <v>14</v>
      </c>
      <c r="C1004" t="s">
        <v>5</v>
      </c>
      <c r="D1004" t="str">
        <f t="shared" si="91"/>
        <v>FAB1_Leche Clasica Extra Deslactosada 1 L</v>
      </c>
      <c r="E1004">
        <v>2024</v>
      </c>
      <c r="F1004">
        <v>10</v>
      </c>
      <c r="G1004">
        <f t="shared" si="92"/>
        <v>3</v>
      </c>
      <c r="H1004" s="1">
        <f t="shared" si="93"/>
        <v>45355</v>
      </c>
      <c r="I1004" s="1">
        <f t="shared" si="94"/>
        <v>45352</v>
      </c>
      <c r="J1004">
        <v>58312.93</v>
      </c>
      <c r="K1004">
        <v>2028</v>
      </c>
      <c r="L1004">
        <f t="shared" si="90"/>
        <v>28.753910256410258</v>
      </c>
      <c r="M1004">
        <v>169</v>
      </c>
      <c r="N1004" s="2">
        <f t="shared" si="95"/>
        <v>345.04692307692306</v>
      </c>
      <c r="O1004">
        <v>12</v>
      </c>
    </row>
    <row r="1005" spans="1:15" x14ac:dyDescent="0.25">
      <c r="A1005" t="s">
        <v>46</v>
      </c>
      <c r="B1005" t="s">
        <v>14</v>
      </c>
      <c r="C1005" t="s">
        <v>5</v>
      </c>
      <c r="D1005" t="str">
        <f t="shared" si="91"/>
        <v>FAB1_Leche Clasica Extra Deslactosada 1 L</v>
      </c>
      <c r="E1005">
        <v>2024</v>
      </c>
      <c r="F1005">
        <v>11</v>
      </c>
      <c r="G1005">
        <f t="shared" si="92"/>
        <v>3</v>
      </c>
      <c r="H1005" s="1">
        <f t="shared" si="93"/>
        <v>45362</v>
      </c>
      <c r="I1005" s="1">
        <f t="shared" si="94"/>
        <v>45352</v>
      </c>
      <c r="J1005">
        <v>51049.65</v>
      </c>
      <c r="K1005">
        <v>1776</v>
      </c>
      <c r="L1005">
        <f t="shared" si="90"/>
        <v>28.744172297297297</v>
      </c>
      <c r="M1005">
        <v>148</v>
      </c>
      <c r="N1005" s="2">
        <f t="shared" si="95"/>
        <v>344.93006756756756</v>
      </c>
      <c r="O1005">
        <v>12</v>
      </c>
    </row>
    <row r="1006" spans="1:15" x14ac:dyDescent="0.25">
      <c r="A1006" t="s">
        <v>46</v>
      </c>
      <c r="B1006" t="s">
        <v>14</v>
      </c>
      <c r="C1006" t="s">
        <v>5</v>
      </c>
      <c r="D1006" t="str">
        <f t="shared" si="91"/>
        <v>FAB1_Leche Clasica Extra Deslactosada 1 L</v>
      </c>
      <c r="E1006">
        <v>2024</v>
      </c>
      <c r="F1006">
        <v>12</v>
      </c>
      <c r="G1006">
        <f t="shared" si="92"/>
        <v>3</v>
      </c>
      <c r="H1006" s="1">
        <f t="shared" si="93"/>
        <v>45369</v>
      </c>
      <c r="I1006" s="1">
        <f t="shared" si="94"/>
        <v>45352</v>
      </c>
      <c r="J1006">
        <v>50383.7</v>
      </c>
      <c r="K1006">
        <v>1776</v>
      </c>
      <c r="L1006">
        <f t="shared" si="90"/>
        <v>28.36920045045045</v>
      </c>
      <c r="M1006">
        <v>148</v>
      </c>
      <c r="N1006" s="2">
        <f t="shared" si="95"/>
        <v>340.43040540540539</v>
      </c>
      <c r="O1006">
        <v>12</v>
      </c>
    </row>
    <row r="1007" spans="1:15" x14ac:dyDescent="0.25">
      <c r="A1007" t="s">
        <v>46</v>
      </c>
      <c r="B1007" t="s">
        <v>14</v>
      </c>
      <c r="C1007" t="s">
        <v>5</v>
      </c>
      <c r="D1007" t="str">
        <f t="shared" si="91"/>
        <v>FAB1_Leche Clasica Extra Deslactosada 1 L</v>
      </c>
      <c r="E1007">
        <v>2024</v>
      </c>
      <c r="F1007">
        <v>13</v>
      </c>
      <c r="G1007">
        <f t="shared" si="92"/>
        <v>3</v>
      </c>
      <c r="H1007" s="1">
        <f t="shared" si="93"/>
        <v>45376</v>
      </c>
      <c r="I1007" s="1">
        <f t="shared" si="94"/>
        <v>45352</v>
      </c>
      <c r="J1007">
        <v>51023.91</v>
      </c>
      <c r="K1007">
        <v>1812</v>
      </c>
      <c r="L1007">
        <f t="shared" si="90"/>
        <v>28.158890728476823</v>
      </c>
      <c r="M1007">
        <v>151</v>
      </c>
      <c r="N1007" s="2">
        <f t="shared" si="95"/>
        <v>337.90668874172189</v>
      </c>
      <c r="O1007">
        <v>12</v>
      </c>
    </row>
    <row r="1008" spans="1:15" x14ac:dyDescent="0.25">
      <c r="A1008" t="s">
        <v>46</v>
      </c>
      <c r="B1008" t="s">
        <v>14</v>
      </c>
      <c r="C1008" t="s">
        <v>5</v>
      </c>
      <c r="D1008" t="str">
        <f t="shared" si="91"/>
        <v>FAB1_Leche Clasica Extra Deslactosada 1 L</v>
      </c>
      <c r="E1008">
        <v>2024</v>
      </c>
      <c r="F1008">
        <v>14</v>
      </c>
      <c r="G1008">
        <f t="shared" si="92"/>
        <v>4</v>
      </c>
      <c r="H1008" s="1">
        <f t="shared" si="93"/>
        <v>45383</v>
      </c>
      <c r="I1008" s="1">
        <f t="shared" si="94"/>
        <v>45383</v>
      </c>
      <c r="J1008">
        <v>59827.58</v>
      </c>
      <c r="K1008">
        <v>2088</v>
      </c>
      <c r="L1008">
        <f t="shared" si="90"/>
        <v>28.653055555555557</v>
      </c>
      <c r="M1008">
        <v>174</v>
      </c>
      <c r="N1008" s="2">
        <f t="shared" si="95"/>
        <v>343.8366666666667</v>
      </c>
      <c r="O1008">
        <v>12</v>
      </c>
    </row>
    <row r="1009" spans="1:15" x14ac:dyDescent="0.25">
      <c r="A1009" t="s">
        <v>46</v>
      </c>
      <c r="B1009" t="s">
        <v>14</v>
      </c>
      <c r="C1009" t="s">
        <v>5</v>
      </c>
      <c r="D1009" t="str">
        <f t="shared" si="91"/>
        <v>FAB1_Leche Clasica Extra Deslactosada 1 L</v>
      </c>
      <c r="E1009">
        <v>2024</v>
      </c>
      <c r="F1009">
        <v>15</v>
      </c>
      <c r="G1009">
        <f t="shared" si="92"/>
        <v>4</v>
      </c>
      <c r="H1009" s="1">
        <f t="shared" si="93"/>
        <v>45390</v>
      </c>
      <c r="I1009" s="1">
        <f t="shared" si="94"/>
        <v>45383</v>
      </c>
      <c r="J1009">
        <v>50669.79</v>
      </c>
      <c r="K1009">
        <v>1764</v>
      </c>
      <c r="L1009">
        <f t="shared" si="90"/>
        <v>28.724370748299322</v>
      </c>
      <c r="M1009">
        <v>147</v>
      </c>
      <c r="N1009" s="2">
        <f t="shared" si="95"/>
        <v>344.69244897959186</v>
      </c>
      <c r="O1009">
        <v>12</v>
      </c>
    </row>
    <row r="1010" spans="1:15" x14ac:dyDescent="0.25">
      <c r="A1010" t="s">
        <v>46</v>
      </c>
      <c r="B1010" t="s">
        <v>14</v>
      </c>
      <c r="C1010" t="s">
        <v>5</v>
      </c>
      <c r="D1010" t="str">
        <f t="shared" si="91"/>
        <v>FAB1_Leche Clasica Extra Deslactosada 1 L</v>
      </c>
      <c r="E1010">
        <v>2024</v>
      </c>
      <c r="F1010">
        <v>16</v>
      </c>
      <c r="G1010">
        <f t="shared" si="92"/>
        <v>4</v>
      </c>
      <c r="H1010" s="1">
        <f t="shared" si="93"/>
        <v>45397</v>
      </c>
      <c r="I1010" s="1">
        <f t="shared" si="94"/>
        <v>45383</v>
      </c>
      <c r="J1010">
        <v>54244.3</v>
      </c>
      <c r="K1010">
        <v>1884</v>
      </c>
      <c r="L1010">
        <f t="shared" si="90"/>
        <v>28.792091295116773</v>
      </c>
      <c r="M1010">
        <v>157</v>
      </c>
      <c r="N1010" s="2">
        <f t="shared" si="95"/>
        <v>345.50509554140132</v>
      </c>
      <c r="O1010">
        <v>12</v>
      </c>
    </row>
    <row r="1011" spans="1:15" x14ac:dyDescent="0.25">
      <c r="A1011" t="s">
        <v>46</v>
      </c>
      <c r="B1011" t="s">
        <v>14</v>
      </c>
      <c r="C1011" t="s">
        <v>5</v>
      </c>
      <c r="D1011" t="str">
        <f t="shared" si="91"/>
        <v>FAB1_Leche Clasica Extra Deslactosada 1 L</v>
      </c>
      <c r="E1011">
        <v>2024</v>
      </c>
      <c r="F1011">
        <v>17</v>
      </c>
      <c r="G1011">
        <f t="shared" si="92"/>
        <v>4</v>
      </c>
      <c r="H1011" s="1">
        <f t="shared" si="93"/>
        <v>45404</v>
      </c>
      <c r="I1011" s="1">
        <f t="shared" si="94"/>
        <v>45383</v>
      </c>
      <c r="J1011">
        <v>42249.42</v>
      </c>
      <c r="K1011">
        <v>1476</v>
      </c>
      <c r="L1011">
        <f t="shared" si="90"/>
        <v>28.624268292682924</v>
      </c>
      <c r="M1011">
        <v>123</v>
      </c>
      <c r="N1011" s="2">
        <f t="shared" si="95"/>
        <v>343.49121951219513</v>
      </c>
      <c r="O1011">
        <v>12</v>
      </c>
    </row>
    <row r="1012" spans="1:15" x14ac:dyDescent="0.25">
      <c r="A1012" t="s">
        <v>46</v>
      </c>
      <c r="B1012" t="s">
        <v>14</v>
      </c>
      <c r="C1012" t="s">
        <v>5</v>
      </c>
      <c r="D1012" t="str">
        <f t="shared" si="91"/>
        <v>FAB1_Leche Clasica Extra Deslactosada 1 L</v>
      </c>
      <c r="E1012">
        <v>2024</v>
      </c>
      <c r="F1012">
        <v>18</v>
      </c>
      <c r="G1012">
        <f t="shared" si="92"/>
        <v>5</v>
      </c>
      <c r="H1012" s="1">
        <f t="shared" si="93"/>
        <v>45411</v>
      </c>
      <c r="I1012" s="1">
        <f t="shared" si="94"/>
        <v>45413</v>
      </c>
      <c r="J1012">
        <v>53498.79</v>
      </c>
      <c r="K1012">
        <v>1860</v>
      </c>
      <c r="L1012">
        <f t="shared" si="90"/>
        <v>28.762790322580646</v>
      </c>
      <c r="M1012">
        <v>155</v>
      </c>
      <c r="N1012" s="2">
        <f t="shared" si="95"/>
        <v>345.15348387096776</v>
      </c>
      <c r="O1012">
        <v>12</v>
      </c>
    </row>
    <row r="1013" spans="1:15" x14ac:dyDescent="0.25">
      <c r="A1013" t="s">
        <v>46</v>
      </c>
      <c r="B1013" t="s">
        <v>14</v>
      </c>
      <c r="C1013" t="s">
        <v>5</v>
      </c>
      <c r="D1013" t="str">
        <f t="shared" si="91"/>
        <v>FAB1_Leche Clasica Extra Deslactosada 1 L</v>
      </c>
      <c r="E1013">
        <v>2024</v>
      </c>
      <c r="F1013">
        <v>19</v>
      </c>
      <c r="G1013">
        <f t="shared" si="92"/>
        <v>5</v>
      </c>
      <c r="H1013" s="1">
        <f t="shared" si="93"/>
        <v>45418</v>
      </c>
      <c r="I1013" s="1">
        <f t="shared" si="94"/>
        <v>45413</v>
      </c>
      <c r="J1013">
        <v>50730.86</v>
      </c>
      <c r="K1013">
        <v>1764</v>
      </c>
      <c r="L1013">
        <f t="shared" si="90"/>
        <v>28.758990929705217</v>
      </c>
      <c r="M1013">
        <v>147</v>
      </c>
      <c r="N1013" s="2">
        <f t="shared" si="95"/>
        <v>345.10789115646259</v>
      </c>
      <c r="O1013">
        <v>12</v>
      </c>
    </row>
    <row r="1014" spans="1:15" x14ac:dyDescent="0.25">
      <c r="A1014" t="s">
        <v>46</v>
      </c>
      <c r="B1014" t="s">
        <v>14</v>
      </c>
      <c r="C1014" t="s">
        <v>5</v>
      </c>
      <c r="D1014" t="str">
        <f t="shared" si="91"/>
        <v>FAB1_Leche Clasica Extra Deslactosada 1 L</v>
      </c>
      <c r="E1014">
        <v>2024</v>
      </c>
      <c r="F1014">
        <v>20</v>
      </c>
      <c r="G1014">
        <f t="shared" si="92"/>
        <v>5</v>
      </c>
      <c r="H1014" s="1">
        <f t="shared" si="93"/>
        <v>45425</v>
      </c>
      <c r="I1014" s="1">
        <f t="shared" si="94"/>
        <v>45413</v>
      </c>
      <c r="J1014">
        <v>48378.13</v>
      </c>
      <c r="K1014">
        <v>1692</v>
      </c>
      <c r="L1014">
        <f t="shared" si="90"/>
        <v>28.592275413711583</v>
      </c>
      <c r="M1014">
        <v>141</v>
      </c>
      <c r="N1014" s="2">
        <f t="shared" si="95"/>
        <v>343.10730496453897</v>
      </c>
      <c r="O1014">
        <v>12</v>
      </c>
    </row>
    <row r="1015" spans="1:15" x14ac:dyDescent="0.25">
      <c r="A1015" t="s">
        <v>46</v>
      </c>
      <c r="B1015" t="s">
        <v>14</v>
      </c>
      <c r="C1015" t="s">
        <v>5</v>
      </c>
      <c r="D1015" t="str">
        <f t="shared" si="91"/>
        <v>FAB1_Leche Clasica Extra Deslactosada 1 L</v>
      </c>
      <c r="E1015">
        <v>2024</v>
      </c>
      <c r="F1015">
        <v>21</v>
      </c>
      <c r="G1015">
        <f t="shared" si="92"/>
        <v>5</v>
      </c>
      <c r="H1015" s="1">
        <f t="shared" si="93"/>
        <v>45432</v>
      </c>
      <c r="I1015" s="1">
        <f t="shared" si="94"/>
        <v>45413</v>
      </c>
      <c r="J1015">
        <v>48625.57</v>
      </c>
      <c r="K1015">
        <v>1692</v>
      </c>
      <c r="L1015">
        <f t="shared" si="90"/>
        <v>28.738516548463355</v>
      </c>
      <c r="M1015">
        <v>141</v>
      </c>
      <c r="N1015" s="2">
        <f t="shared" si="95"/>
        <v>344.86219858156028</v>
      </c>
      <c r="O1015">
        <v>12</v>
      </c>
    </row>
    <row r="1016" spans="1:15" x14ac:dyDescent="0.25">
      <c r="A1016" t="s">
        <v>46</v>
      </c>
      <c r="B1016" t="s">
        <v>14</v>
      </c>
      <c r="C1016" t="s">
        <v>5</v>
      </c>
      <c r="D1016" t="str">
        <f t="shared" si="91"/>
        <v>FAB1_Leche Clasica Extra Deslactosada 1 L</v>
      </c>
      <c r="E1016">
        <v>2024</v>
      </c>
      <c r="F1016">
        <v>22</v>
      </c>
      <c r="G1016">
        <f t="shared" si="92"/>
        <v>5</v>
      </c>
      <c r="H1016" s="1">
        <f t="shared" si="93"/>
        <v>45439</v>
      </c>
      <c r="I1016" s="1">
        <f t="shared" si="94"/>
        <v>45413</v>
      </c>
      <c r="J1016">
        <v>48148.020000000004</v>
      </c>
      <c r="K1016">
        <v>1680</v>
      </c>
      <c r="L1016">
        <f t="shared" si="90"/>
        <v>28.659535714285717</v>
      </c>
      <c r="M1016">
        <v>140</v>
      </c>
      <c r="N1016" s="2">
        <f t="shared" si="95"/>
        <v>343.91442857142857</v>
      </c>
      <c r="O1016">
        <v>12</v>
      </c>
    </row>
    <row r="1017" spans="1:15" x14ac:dyDescent="0.25">
      <c r="A1017" t="s">
        <v>46</v>
      </c>
      <c r="B1017" t="s">
        <v>14</v>
      </c>
      <c r="C1017" t="s">
        <v>5</v>
      </c>
      <c r="D1017" t="str">
        <f t="shared" si="91"/>
        <v>FAB1_Leche Clasica Extra Deslactosada 1 L</v>
      </c>
      <c r="E1017">
        <v>2024</v>
      </c>
      <c r="F1017">
        <v>23</v>
      </c>
      <c r="G1017">
        <f t="shared" si="92"/>
        <v>6</v>
      </c>
      <c r="H1017" s="1">
        <f t="shared" si="93"/>
        <v>45446</v>
      </c>
      <c r="I1017" s="1">
        <f t="shared" si="94"/>
        <v>45444</v>
      </c>
      <c r="J1017">
        <v>60767.58</v>
      </c>
      <c r="K1017">
        <v>2112</v>
      </c>
      <c r="L1017">
        <f t="shared" si="90"/>
        <v>28.77252840909091</v>
      </c>
      <c r="M1017">
        <v>176</v>
      </c>
      <c r="N1017" s="2">
        <f t="shared" si="95"/>
        <v>345.27034090909092</v>
      </c>
      <c r="O1017">
        <v>12</v>
      </c>
    </row>
    <row r="1018" spans="1:15" x14ac:dyDescent="0.25">
      <c r="A1018" t="s">
        <v>46</v>
      </c>
      <c r="B1018" t="s">
        <v>14</v>
      </c>
      <c r="C1018" t="s">
        <v>5</v>
      </c>
      <c r="D1018" t="str">
        <f t="shared" si="91"/>
        <v>FAB1_Leche Clasica Extra Deslactosada 1 L</v>
      </c>
      <c r="E1018">
        <v>2024</v>
      </c>
      <c r="F1018">
        <v>24</v>
      </c>
      <c r="G1018">
        <f t="shared" si="92"/>
        <v>6</v>
      </c>
      <c r="H1018" s="1">
        <f t="shared" si="93"/>
        <v>45453</v>
      </c>
      <c r="I1018" s="1">
        <f t="shared" si="94"/>
        <v>45444</v>
      </c>
      <c r="J1018">
        <v>42834.76</v>
      </c>
      <c r="K1018">
        <v>1500</v>
      </c>
      <c r="L1018">
        <f t="shared" si="90"/>
        <v>28.556506666666667</v>
      </c>
      <c r="M1018">
        <v>125</v>
      </c>
      <c r="N1018" s="2">
        <f t="shared" si="95"/>
        <v>342.67808000000002</v>
      </c>
      <c r="O1018">
        <v>12</v>
      </c>
    </row>
    <row r="1019" spans="1:15" x14ac:dyDescent="0.25">
      <c r="A1019" t="s">
        <v>46</v>
      </c>
      <c r="B1019" t="s">
        <v>14</v>
      </c>
      <c r="C1019" t="s">
        <v>5</v>
      </c>
      <c r="D1019" t="str">
        <f t="shared" si="91"/>
        <v>FAB1_Leche Clasica Extra Deslactosada 1 L</v>
      </c>
      <c r="E1019">
        <v>2024</v>
      </c>
      <c r="F1019">
        <v>25</v>
      </c>
      <c r="G1019">
        <f t="shared" si="92"/>
        <v>6</v>
      </c>
      <c r="H1019" s="1">
        <f t="shared" si="93"/>
        <v>45460</v>
      </c>
      <c r="I1019" s="1">
        <f t="shared" si="94"/>
        <v>45444</v>
      </c>
      <c r="J1019">
        <v>53002.520000000004</v>
      </c>
      <c r="K1019">
        <v>1872</v>
      </c>
      <c r="L1019">
        <f t="shared" si="90"/>
        <v>28.31331196581197</v>
      </c>
      <c r="M1019">
        <v>156</v>
      </c>
      <c r="N1019" s="2">
        <f t="shared" si="95"/>
        <v>339.75974358974361</v>
      </c>
      <c r="O1019">
        <v>12</v>
      </c>
    </row>
    <row r="1020" spans="1:15" x14ac:dyDescent="0.25">
      <c r="A1020" t="s">
        <v>46</v>
      </c>
      <c r="B1020" t="s">
        <v>14</v>
      </c>
      <c r="C1020" t="s">
        <v>5</v>
      </c>
      <c r="D1020" t="str">
        <f t="shared" si="91"/>
        <v>FAB1_Leche Clasica Extra Deslactosada 1 L</v>
      </c>
      <c r="E1020">
        <v>2024</v>
      </c>
      <c r="F1020">
        <v>26</v>
      </c>
      <c r="G1020">
        <f t="shared" si="92"/>
        <v>6</v>
      </c>
      <c r="H1020" s="1">
        <f t="shared" si="93"/>
        <v>45467</v>
      </c>
      <c r="I1020" s="1">
        <f t="shared" si="94"/>
        <v>45444</v>
      </c>
      <c r="J1020">
        <v>45663.31</v>
      </c>
      <c r="K1020">
        <v>1620</v>
      </c>
      <c r="L1020">
        <f t="shared" si="90"/>
        <v>28.187228395061727</v>
      </c>
      <c r="M1020">
        <v>135</v>
      </c>
      <c r="N1020" s="2">
        <f t="shared" si="95"/>
        <v>338.24674074074073</v>
      </c>
      <c r="O1020">
        <v>12</v>
      </c>
    </row>
    <row r="1021" spans="1:15" x14ac:dyDescent="0.25">
      <c r="A1021" t="s">
        <v>46</v>
      </c>
      <c r="B1021" t="s">
        <v>14</v>
      </c>
      <c r="C1021" t="s">
        <v>5</v>
      </c>
      <c r="D1021" t="str">
        <f t="shared" si="91"/>
        <v>FAB1_Leche Clasica Extra Deslactosada 1 L</v>
      </c>
      <c r="E1021">
        <v>2024</v>
      </c>
      <c r="F1021">
        <v>27</v>
      </c>
      <c r="G1021">
        <f t="shared" si="92"/>
        <v>7</v>
      </c>
      <c r="H1021" s="1">
        <f t="shared" si="93"/>
        <v>45474</v>
      </c>
      <c r="I1021" s="1">
        <f t="shared" si="94"/>
        <v>45474</v>
      </c>
      <c r="J1021">
        <v>55345.549999999996</v>
      </c>
      <c r="K1021">
        <v>1968</v>
      </c>
      <c r="L1021">
        <f t="shared" si="90"/>
        <v>28.12273882113821</v>
      </c>
      <c r="M1021">
        <v>164</v>
      </c>
      <c r="N1021" s="2">
        <f t="shared" si="95"/>
        <v>337.4728658536585</v>
      </c>
      <c r="O1021">
        <v>12</v>
      </c>
    </row>
    <row r="1022" spans="1:15" x14ac:dyDescent="0.25">
      <c r="A1022" t="s">
        <v>46</v>
      </c>
      <c r="B1022" t="s">
        <v>14</v>
      </c>
      <c r="C1022" t="s">
        <v>5</v>
      </c>
      <c r="D1022" t="str">
        <f t="shared" si="91"/>
        <v>FAB1_Leche Clasica Extra Deslactosada 1 L</v>
      </c>
      <c r="E1022">
        <v>2024</v>
      </c>
      <c r="F1022">
        <v>28</v>
      </c>
      <c r="G1022">
        <f t="shared" si="92"/>
        <v>7</v>
      </c>
      <c r="H1022" s="1">
        <f t="shared" si="93"/>
        <v>45481</v>
      </c>
      <c r="I1022" s="1">
        <f t="shared" si="94"/>
        <v>45474</v>
      </c>
      <c r="J1022">
        <v>43058.98</v>
      </c>
      <c r="K1022">
        <v>1524</v>
      </c>
      <c r="L1022">
        <f t="shared" si="90"/>
        <v>28.253923884514439</v>
      </c>
      <c r="M1022">
        <v>127</v>
      </c>
      <c r="N1022" s="2">
        <f t="shared" si="95"/>
        <v>339.04708661417328</v>
      </c>
      <c r="O1022">
        <v>12</v>
      </c>
    </row>
    <row r="1023" spans="1:15" x14ac:dyDescent="0.25">
      <c r="A1023" t="s">
        <v>46</v>
      </c>
      <c r="B1023" t="s">
        <v>14</v>
      </c>
      <c r="C1023" t="s">
        <v>5</v>
      </c>
      <c r="D1023" t="str">
        <f t="shared" si="91"/>
        <v>FAB1_Leche Clasica Extra Deslactosada 1 L</v>
      </c>
      <c r="E1023">
        <v>2024</v>
      </c>
      <c r="F1023">
        <v>29</v>
      </c>
      <c r="G1023">
        <f t="shared" si="92"/>
        <v>7</v>
      </c>
      <c r="H1023" s="1">
        <f t="shared" si="93"/>
        <v>45488</v>
      </c>
      <c r="I1023" s="1">
        <f t="shared" si="94"/>
        <v>45474</v>
      </c>
      <c r="J1023">
        <v>60110.96</v>
      </c>
      <c r="K1023">
        <v>2160</v>
      </c>
      <c r="L1023">
        <f t="shared" si="90"/>
        <v>27.829148148148146</v>
      </c>
      <c r="M1023">
        <v>180</v>
      </c>
      <c r="N1023" s="2">
        <f t="shared" si="95"/>
        <v>333.9497777777778</v>
      </c>
      <c r="O1023">
        <v>12</v>
      </c>
    </row>
    <row r="1024" spans="1:15" x14ac:dyDescent="0.25">
      <c r="A1024" t="s">
        <v>46</v>
      </c>
      <c r="B1024" t="s">
        <v>14</v>
      </c>
      <c r="C1024" t="s">
        <v>5</v>
      </c>
      <c r="D1024" t="str">
        <f t="shared" si="91"/>
        <v>FAB1_Leche Clasica Extra Deslactosada 1 L</v>
      </c>
      <c r="E1024">
        <v>2024</v>
      </c>
      <c r="F1024">
        <v>30</v>
      </c>
      <c r="G1024">
        <f t="shared" si="92"/>
        <v>7</v>
      </c>
      <c r="H1024" s="1">
        <f t="shared" si="93"/>
        <v>45495</v>
      </c>
      <c r="I1024" s="1">
        <f t="shared" si="94"/>
        <v>45474</v>
      </c>
      <c r="J1024">
        <v>46975.51</v>
      </c>
      <c r="K1024">
        <v>1680</v>
      </c>
      <c r="L1024">
        <f t="shared" si="90"/>
        <v>27.961613095238096</v>
      </c>
      <c r="M1024">
        <v>140</v>
      </c>
      <c r="N1024" s="2">
        <f t="shared" si="95"/>
        <v>335.53935714285717</v>
      </c>
      <c r="O1024">
        <v>12</v>
      </c>
    </row>
    <row r="1025" spans="1:15" x14ac:dyDescent="0.25">
      <c r="A1025" t="s">
        <v>46</v>
      </c>
      <c r="B1025" t="s">
        <v>14</v>
      </c>
      <c r="C1025" t="s">
        <v>5</v>
      </c>
      <c r="D1025" t="str">
        <f t="shared" si="91"/>
        <v>FAB1_Leche Clasica Extra Deslactosada 1 L</v>
      </c>
      <c r="E1025">
        <v>2024</v>
      </c>
      <c r="F1025">
        <v>31</v>
      </c>
      <c r="G1025">
        <f t="shared" si="92"/>
        <v>8</v>
      </c>
      <c r="H1025" s="1">
        <f t="shared" si="93"/>
        <v>45502</v>
      </c>
      <c r="I1025" s="1">
        <f t="shared" si="94"/>
        <v>45505</v>
      </c>
      <c r="J1025">
        <v>52862.28</v>
      </c>
      <c r="K1025">
        <v>1872</v>
      </c>
      <c r="L1025">
        <f t="shared" si="90"/>
        <v>28.238397435897436</v>
      </c>
      <c r="M1025">
        <v>156</v>
      </c>
      <c r="N1025" s="2">
        <f t="shared" si="95"/>
        <v>338.86076923076922</v>
      </c>
      <c r="O1025">
        <v>12</v>
      </c>
    </row>
    <row r="1026" spans="1:15" x14ac:dyDescent="0.25">
      <c r="A1026" t="s">
        <v>46</v>
      </c>
      <c r="B1026" t="s">
        <v>14</v>
      </c>
      <c r="C1026" t="s">
        <v>5</v>
      </c>
      <c r="D1026" t="str">
        <f t="shared" si="91"/>
        <v>FAB1_Leche Clasica Extra Deslactosada 1 L</v>
      </c>
      <c r="E1026">
        <v>2024</v>
      </c>
      <c r="F1026">
        <v>32</v>
      </c>
      <c r="G1026">
        <f t="shared" si="92"/>
        <v>8</v>
      </c>
      <c r="H1026" s="1">
        <f t="shared" si="93"/>
        <v>45509</v>
      </c>
      <c r="I1026" s="1">
        <f t="shared" si="94"/>
        <v>45505</v>
      </c>
      <c r="J1026">
        <v>56964.65</v>
      </c>
      <c r="K1026">
        <v>1980</v>
      </c>
      <c r="L1026">
        <f t="shared" ref="L1026:L1089" si="96">J1026/K1026</f>
        <v>28.770025252525254</v>
      </c>
      <c r="M1026">
        <v>165</v>
      </c>
      <c r="N1026" s="2">
        <f t="shared" si="95"/>
        <v>345.24030303030304</v>
      </c>
      <c r="O1026">
        <v>12</v>
      </c>
    </row>
    <row r="1027" spans="1:15" x14ac:dyDescent="0.25">
      <c r="A1027" t="s">
        <v>46</v>
      </c>
      <c r="B1027" t="s">
        <v>14</v>
      </c>
      <c r="C1027" t="s">
        <v>5</v>
      </c>
      <c r="D1027" t="str">
        <f t="shared" ref="D1027:D1090" si="97">B1027&amp;"_"&amp;C1027</f>
        <v>FAB1_Leche Clasica Extra Deslactosada 1 L</v>
      </c>
      <c r="E1027">
        <v>2024</v>
      </c>
      <c r="F1027">
        <v>33</v>
      </c>
      <c r="G1027">
        <f t="shared" ref="G1027:G1090" si="98">MONTH(DATE(E1027,1,4)+(F1027-1)*7-WEEKDAY(DATE(E1027,1,4),2)+4)</f>
        <v>8</v>
      </c>
      <c r="H1027" s="1">
        <f t="shared" ref="H1027:H1090" si="99">DATE(E1027,1,-2)-WEEKDAY(DATE(E1027,1,3))+F1027*7</f>
        <v>45516</v>
      </c>
      <c r="I1027" s="1">
        <f t="shared" ref="I1027:I1090" si="100">DATE(E1027,G1027,1)</f>
        <v>45505</v>
      </c>
      <c r="J1027">
        <v>48243.69</v>
      </c>
      <c r="K1027">
        <v>1692</v>
      </c>
      <c r="L1027">
        <f t="shared" si="96"/>
        <v>28.51281914893617</v>
      </c>
      <c r="M1027">
        <v>141</v>
      </c>
      <c r="N1027" s="2">
        <f t="shared" ref="N1027:N1090" si="101">J1027/M1027</f>
        <v>342.15382978723403</v>
      </c>
      <c r="O1027">
        <v>12</v>
      </c>
    </row>
    <row r="1028" spans="1:15" x14ac:dyDescent="0.25">
      <c r="A1028" t="s">
        <v>46</v>
      </c>
      <c r="B1028" t="s">
        <v>14</v>
      </c>
      <c r="C1028" t="s">
        <v>5</v>
      </c>
      <c r="D1028" t="str">
        <f t="shared" si="97"/>
        <v>FAB1_Leche Clasica Extra Deslactosada 1 L</v>
      </c>
      <c r="E1028">
        <v>2024</v>
      </c>
      <c r="F1028">
        <v>34</v>
      </c>
      <c r="G1028">
        <f t="shared" si="98"/>
        <v>8</v>
      </c>
      <c r="H1028" s="1">
        <f t="shared" si="99"/>
        <v>45523</v>
      </c>
      <c r="I1028" s="1">
        <f t="shared" si="100"/>
        <v>45505</v>
      </c>
      <c r="J1028">
        <v>42450.229999999996</v>
      </c>
      <c r="K1028">
        <v>1476</v>
      </c>
      <c r="L1028">
        <f t="shared" si="96"/>
        <v>28.760318428184281</v>
      </c>
      <c r="M1028">
        <v>123</v>
      </c>
      <c r="N1028" s="2">
        <f t="shared" si="101"/>
        <v>345.12382113821133</v>
      </c>
      <c r="O1028">
        <v>12</v>
      </c>
    </row>
    <row r="1029" spans="1:15" x14ac:dyDescent="0.25">
      <c r="A1029" t="s">
        <v>46</v>
      </c>
      <c r="B1029" t="s">
        <v>14</v>
      </c>
      <c r="C1029" t="s">
        <v>5</v>
      </c>
      <c r="D1029" t="str">
        <f t="shared" si="97"/>
        <v>FAB1_Leche Clasica Extra Deslactosada 1 L</v>
      </c>
      <c r="E1029">
        <v>2024</v>
      </c>
      <c r="F1029">
        <v>35</v>
      </c>
      <c r="G1029">
        <f t="shared" si="98"/>
        <v>8</v>
      </c>
      <c r="H1029" s="1">
        <f t="shared" si="99"/>
        <v>45530</v>
      </c>
      <c r="I1029" s="1">
        <f t="shared" si="100"/>
        <v>45505</v>
      </c>
      <c r="J1029">
        <v>89937.34</v>
      </c>
      <c r="K1029">
        <v>4260</v>
      </c>
      <c r="L1029">
        <f t="shared" si="96"/>
        <v>21.112051643192487</v>
      </c>
      <c r="M1029">
        <v>355</v>
      </c>
      <c r="N1029" s="2">
        <f t="shared" si="101"/>
        <v>253.34461971830984</v>
      </c>
      <c r="O1029">
        <v>12</v>
      </c>
    </row>
    <row r="1030" spans="1:15" x14ac:dyDescent="0.25">
      <c r="A1030" t="s">
        <v>46</v>
      </c>
      <c r="B1030" t="s">
        <v>14</v>
      </c>
      <c r="C1030" t="s">
        <v>5</v>
      </c>
      <c r="D1030" t="str">
        <f t="shared" si="97"/>
        <v>FAB1_Leche Clasica Extra Deslactosada 1 L</v>
      </c>
      <c r="E1030">
        <v>2024</v>
      </c>
      <c r="F1030">
        <v>36</v>
      </c>
      <c r="G1030">
        <f t="shared" si="98"/>
        <v>9</v>
      </c>
      <c r="H1030" s="1">
        <f t="shared" si="99"/>
        <v>45537</v>
      </c>
      <c r="I1030" s="1">
        <f t="shared" si="100"/>
        <v>45536</v>
      </c>
      <c r="J1030">
        <v>37508.619999999995</v>
      </c>
      <c r="K1030">
        <v>1200</v>
      </c>
      <c r="L1030">
        <f t="shared" si="96"/>
        <v>31.25718333333333</v>
      </c>
      <c r="M1030">
        <v>100</v>
      </c>
      <c r="N1030" s="2">
        <f t="shared" si="101"/>
        <v>375.08619999999996</v>
      </c>
      <c r="O1030">
        <v>12</v>
      </c>
    </row>
    <row r="1031" spans="1:15" x14ac:dyDescent="0.25">
      <c r="A1031" t="s">
        <v>46</v>
      </c>
      <c r="B1031" t="s">
        <v>14</v>
      </c>
      <c r="C1031" t="s">
        <v>5</v>
      </c>
      <c r="D1031" t="str">
        <f t="shared" si="97"/>
        <v>FAB1_Leche Clasica Extra Deslactosada 1 L</v>
      </c>
      <c r="E1031">
        <v>2024</v>
      </c>
      <c r="F1031">
        <v>37</v>
      </c>
      <c r="G1031">
        <f t="shared" si="98"/>
        <v>9</v>
      </c>
      <c r="H1031" s="1">
        <f t="shared" si="99"/>
        <v>45544</v>
      </c>
      <c r="I1031" s="1">
        <f t="shared" si="100"/>
        <v>45536</v>
      </c>
      <c r="J1031">
        <v>36034.479999999996</v>
      </c>
      <c r="K1031">
        <v>1152</v>
      </c>
      <c r="L1031">
        <f t="shared" si="96"/>
        <v>31.279930555555552</v>
      </c>
      <c r="M1031">
        <v>96</v>
      </c>
      <c r="N1031" s="2">
        <f t="shared" si="101"/>
        <v>375.35916666666662</v>
      </c>
      <c r="O1031">
        <v>12</v>
      </c>
    </row>
    <row r="1032" spans="1:15" x14ac:dyDescent="0.25">
      <c r="A1032" t="s">
        <v>46</v>
      </c>
      <c r="B1032" t="s">
        <v>14</v>
      </c>
      <c r="C1032" t="s">
        <v>5</v>
      </c>
      <c r="D1032" t="str">
        <f t="shared" si="97"/>
        <v>FAB1_Leche Clasica Extra Deslactosada 1 L</v>
      </c>
      <c r="E1032">
        <v>2024</v>
      </c>
      <c r="F1032">
        <v>38</v>
      </c>
      <c r="G1032">
        <f t="shared" si="98"/>
        <v>9</v>
      </c>
      <c r="H1032" s="1">
        <f t="shared" si="99"/>
        <v>45551</v>
      </c>
      <c r="I1032" s="1">
        <f t="shared" si="100"/>
        <v>45536</v>
      </c>
      <c r="J1032">
        <v>52159.48</v>
      </c>
      <c r="K1032">
        <v>1668</v>
      </c>
      <c r="L1032">
        <f t="shared" si="96"/>
        <v>31.270671462829739</v>
      </c>
      <c r="M1032">
        <v>139</v>
      </c>
      <c r="N1032" s="2">
        <f t="shared" si="101"/>
        <v>375.24805755395687</v>
      </c>
      <c r="O1032">
        <v>12</v>
      </c>
    </row>
    <row r="1033" spans="1:15" x14ac:dyDescent="0.25">
      <c r="A1033" t="s">
        <v>46</v>
      </c>
      <c r="B1033" t="s">
        <v>14</v>
      </c>
      <c r="C1033" t="s">
        <v>5</v>
      </c>
      <c r="D1033" t="str">
        <f t="shared" si="97"/>
        <v>FAB1_Leche Clasica Extra Deslactosada 1 L</v>
      </c>
      <c r="E1033">
        <v>2024</v>
      </c>
      <c r="F1033">
        <v>39</v>
      </c>
      <c r="G1033">
        <f t="shared" si="98"/>
        <v>9</v>
      </c>
      <c r="H1033" s="1">
        <f t="shared" si="99"/>
        <v>45558</v>
      </c>
      <c r="I1033" s="1">
        <f t="shared" si="100"/>
        <v>45536</v>
      </c>
      <c r="J1033">
        <v>42426.720000000001</v>
      </c>
      <c r="K1033">
        <v>1356</v>
      </c>
      <c r="L1033">
        <f t="shared" si="96"/>
        <v>31.288141592920354</v>
      </c>
      <c r="M1033">
        <v>113</v>
      </c>
      <c r="N1033" s="2">
        <f t="shared" si="101"/>
        <v>375.45769911504425</v>
      </c>
      <c r="O1033">
        <v>12</v>
      </c>
    </row>
    <row r="1034" spans="1:15" x14ac:dyDescent="0.25">
      <c r="A1034" t="s">
        <v>46</v>
      </c>
      <c r="B1034" t="s">
        <v>14</v>
      </c>
      <c r="C1034" t="s">
        <v>5</v>
      </c>
      <c r="D1034" t="str">
        <f t="shared" si="97"/>
        <v>FAB1_Leche Clasica Extra Deslactosada 1 L</v>
      </c>
      <c r="E1034">
        <v>2024</v>
      </c>
      <c r="F1034">
        <v>40</v>
      </c>
      <c r="G1034">
        <f t="shared" si="98"/>
        <v>10</v>
      </c>
      <c r="H1034" s="1">
        <f t="shared" si="99"/>
        <v>45565</v>
      </c>
      <c r="I1034" s="1">
        <f t="shared" si="100"/>
        <v>45566</v>
      </c>
      <c r="J1034">
        <v>76900.86</v>
      </c>
      <c r="K1034">
        <v>2460</v>
      </c>
      <c r="L1034">
        <f t="shared" si="96"/>
        <v>31.260512195121951</v>
      </c>
      <c r="M1034">
        <v>205</v>
      </c>
      <c r="N1034" s="2">
        <f t="shared" si="101"/>
        <v>375.12614634146342</v>
      </c>
      <c r="O1034">
        <v>12</v>
      </c>
    </row>
    <row r="1035" spans="1:15" x14ac:dyDescent="0.25">
      <c r="A1035" t="s">
        <v>46</v>
      </c>
      <c r="B1035" t="s">
        <v>14</v>
      </c>
      <c r="C1035" t="s">
        <v>5</v>
      </c>
      <c r="D1035" t="str">
        <f t="shared" si="97"/>
        <v>FAB1_Leche Clasica Extra Deslactosada 1 L</v>
      </c>
      <c r="E1035">
        <v>2024</v>
      </c>
      <c r="F1035">
        <v>41</v>
      </c>
      <c r="G1035">
        <f t="shared" si="98"/>
        <v>10</v>
      </c>
      <c r="H1035" s="1">
        <f t="shared" si="99"/>
        <v>45572</v>
      </c>
      <c r="I1035" s="1">
        <f t="shared" si="100"/>
        <v>45566</v>
      </c>
      <c r="J1035">
        <v>40150.859999999993</v>
      </c>
      <c r="K1035">
        <v>1284</v>
      </c>
      <c r="L1035">
        <f t="shared" si="96"/>
        <v>31.270140186915881</v>
      </c>
      <c r="M1035">
        <v>107</v>
      </c>
      <c r="N1035" s="2">
        <f t="shared" si="101"/>
        <v>375.24168224299058</v>
      </c>
      <c r="O1035">
        <v>12</v>
      </c>
    </row>
    <row r="1036" spans="1:15" x14ac:dyDescent="0.25">
      <c r="A1036" t="s">
        <v>46</v>
      </c>
      <c r="B1036" t="s">
        <v>14</v>
      </c>
      <c r="C1036" t="s">
        <v>5</v>
      </c>
      <c r="D1036" t="str">
        <f t="shared" si="97"/>
        <v>FAB1_Leche Clasica Extra Deslactosada 1 L</v>
      </c>
      <c r="E1036">
        <v>2024</v>
      </c>
      <c r="F1036">
        <v>42</v>
      </c>
      <c r="G1036">
        <f t="shared" si="98"/>
        <v>10</v>
      </c>
      <c r="H1036" s="1">
        <f t="shared" si="99"/>
        <v>45579</v>
      </c>
      <c r="I1036" s="1">
        <f t="shared" si="100"/>
        <v>45566</v>
      </c>
      <c r="J1036">
        <v>44798.280000000006</v>
      </c>
      <c r="K1036">
        <v>1440</v>
      </c>
      <c r="L1036">
        <f t="shared" si="96"/>
        <v>31.10991666666667</v>
      </c>
      <c r="M1036">
        <v>120</v>
      </c>
      <c r="N1036" s="2">
        <f t="shared" si="101"/>
        <v>373.31900000000007</v>
      </c>
      <c r="O1036">
        <v>12</v>
      </c>
    </row>
    <row r="1037" spans="1:15" x14ac:dyDescent="0.25">
      <c r="A1037" t="s">
        <v>46</v>
      </c>
      <c r="B1037" t="s">
        <v>14</v>
      </c>
      <c r="C1037" t="s">
        <v>5</v>
      </c>
      <c r="D1037" t="str">
        <f t="shared" si="97"/>
        <v>FAB1_Leche Clasica Extra Deslactosada 1 L</v>
      </c>
      <c r="E1037">
        <v>2024</v>
      </c>
      <c r="F1037">
        <v>43</v>
      </c>
      <c r="G1037">
        <f t="shared" si="98"/>
        <v>10</v>
      </c>
      <c r="H1037" s="1">
        <f t="shared" si="99"/>
        <v>45586</v>
      </c>
      <c r="I1037" s="1">
        <f t="shared" si="100"/>
        <v>45566</v>
      </c>
      <c r="J1037">
        <v>32642.239999999998</v>
      </c>
      <c r="K1037">
        <v>1044</v>
      </c>
      <c r="L1037">
        <f t="shared" si="96"/>
        <v>31.266513409961682</v>
      </c>
      <c r="M1037">
        <v>87</v>
      </c>
      <c r="N1037" s="2">
        <f t="shared" si="101"/>
        <v>375.19816091954021</v>
      </c>
      <c r="O1037">
        <v>12</v>
      </c>
    </row>
    <row r="1038" spans="1:15" x14ac:dyDescent="0.25">
      <c r="A1038" t="s">
        <v>46</v>
      </c>
      <c r="B1038" t="s">
        <v>14</v>
      </c>
      <c r="C1038" t="s">
        <v>5</v>
      </c>
      <c r="D1038" t="str">
        <f t="shared" si="97"/>
        <v>FAB1_Leche Clasica Extra Deslactosada 1 L</v>
      </c>
      <c r="E1038">
        <v>2024</v>
      </c>
      <c r="F1038">
        <v>44</v>
      </c>
      <c r="G1038">
        <f t="shared" si="98"/>
        <v>10</v>
      </c>
      <c r="H1038" s="1">
        <f t="shared" si="99"/>
        <v>45593</v>
      </c>
      <c r="I1038" s="1">
        <f t="shared" si="100"/>
        <v>45566</v>
      </c>
      <c r="J1038">
        <v>31820.86</v>
      </c>
      <c r="K1038">
        <v>1020</v>
      </c>
      <c r="L1038">
        <f t="shared" si="96"/>
        <v>31.196921568627452</v>
      </c>
      <c r="M1038">
        <v>85</v>
      </c>
      <c r="N1038" s="2">
        <f t="shared" si="101"/>
        <v>374.3630588235294</v>
      </c>
      <c r="O1038">
        <v>12</v>
      </c>
    </row>
    <row r="1039" spans="1:15" x14ac:dyDescent="0.25">
      <c r="A1039" t="s">
        <v>46</v>
      </c>
      <c r="B1039" t="s">
        <v>14</v>
      </c>
      <c r="C1039" t="s">
        <v>5</v>
      </c>
      <c r="D1039" t="str">
        <f t="shared" si="97"/>
        <v>FAB1_Leche Clasica Extra Deslactosada 1 L</v>
      </c>
      <c r="E1039">
        <v>2024</v>
      </c>
      <c r="F1039">
        <v>45</v>
      </c>
      <c r="G1039">
        <f t="shared" si="98"/>
        <v>11</v>
      </c>
      <c r="H1039" s="1">
        <f t="shared" si="99"/>
        <v>45600</v>
      </c>
      <c r="I1039" s="1">
        <f t="shared" si="100"/>
        <v>45597</v>
      </c>
      <c r="J1039">
        <v>46890.750000000007</v>
      </c>
      <c r="K1039">
        <v>1524</v>
      </c>
      <c r="L1039">
        <f t="shared" si="96"/>
        <v>30.768208661417329</v>
      </c>
      <c r="M1039">
        <v>127</v>
      </c>
      <c r="N1039" s="2">
        <f t="shared" si="101"/>
        <v>369.21850393700794</v>
      </c>
      <c r="O1039">
        <v>12</v>
      </c>
    </row>
    <row r="1040" spans="1:15" x14ac:dyDescent="0.25">
      <c r="A1040" t="s">
        <v>46</v>
      </c>
      <c r="B1040" t="s">
        <v>14</v>
      </c>
      <c r="C1040" t="s">
        <v>5</v>
      </c>
      <c r="D1040" t="str">
        <f t="shared" si="97"/>
        <v>FAB1_Leche Clasica Extra Deslactosada 1 L</v>
      </c>
      <c r="E1040">
        <v>2024</v>
      </c>
      <c r="F1040">
        <v>46</v>
      </c>
      <c r="G1040">
        <f t="shared" si="98"/>
        <v>11</v>
      </c>
      <c r="H1040" s="1">
        <f t="shared" si="99"/>
        <v>45607</v>
      </c>
      <c r="I1040" s="1">
        <f t="shared" si="100"/>
        <v>45597</v>
      </c>
      <c r="J1040">
        <v>34099</v>
      </c>
      <c r="K1040">
        <v>1116</v>
      </c>
      <c r="L1040">
        <f t="shared" si="96"/>
        <v>30.554659498207887</v>
      </c>
      <c r="M1040">
        <v>93</v>
      </c>
      <c r="N1040" s="2">
        <f t="shared" si="101"/>
        <v>366.6559139784946</v>
      </c>
      <c r="O1040">
        <v>12</v>
      </c>
    </row>
    <row r="1041" spans="1:15" x14ac:dyDescent="0.25">
      <c r="A1041" t="s">
        <v>46</v>
      </c>
      <c r="B1041" t="s">
        <v>14</v>
      </c>
      <c r="C1041" t="s">
        <v>5</v>
      </c>
      <c r="D1041" t="str">
        <f t="shared" si="97"/>
        <v>FAB1_Leche Clasica Extra Deslactosada 1 L</v>
      </c>
      <c r="E1041">
        <v>2024</v>
      </c>
      <c r="F1041">
        <v>47</v>
      </c>
      <c r="G1041">
        <f t="shared" si="98"/>
        <v>11</v>
      </c>
      <c r="H1041" s="1">
        <f t="shared" si="99"/>
        <v>45614</v>
      </c>
      <c r="I1041" s="1">
        <f t="shared" si="100"/>
        <v>45597</v>
      </c>
      <c r="J1041">
        <v>41302.239999999998</v>
      </c>
      <c r="K1041">
        <v>1332</v>
      </c>
      <c r="L1041">
        <f t="shared" si="96"/>
        <v>31.007687687687685</v>
      </c>
      <c r="M1041">
        <v>111</v>
      </c>
      <c r="N1041" s="2">
        <f t="shared" si="101"/>
        <v>372.09225225225225</v>
      </c>
      <c r="O1041">
        <v>12</v>
      </c>
    </row>
    <row r="1042" spans="1:15" x14ac:dyDescent="0.25">
      <c r="A1042" t="s">
        <v>46</v>
      </c>
      <c r="B1042" t="s">
        <v>14</v>
      </c>
      <c r="C1042" t="s">
        <v>5</v>
      </c>
      <c r="D1042" t="str">
        <f t="shared" si="97"/>
        <v>FAB1_Leche Clasica Extra Deslactosada 1 L</v>
      </c>
      <c r="E1042">
        <v>2024</v>
      </c>
      <c r="F1042">
        <v>48</v>
      </c>
      <c r="G1042">
        <f t="shared" si="98"/>
        <v>11</v>
      </c>
      <c r="H1042" s="1">
        <f t="shared" si="99"/>
        <v>45621</v>
      </c>
      <c r="I1042" s="1">
        <f t="shared" si="100"/>
        <v>45597</v>
      </c>
      <c r="J1042">
        <v>29525.86</v>
      </c>
      <c r="K1042">
        <v>960</v>
      </c>
      <c r="L1042">
        <f t="shared" si="96"/>
        <v>30.756104166666667</v>
      </c>
      <c r="M1042">
        <v>80</v>
      </c>
      <c r="N1042" s="2">
        <f t="shared" si="101"/>
        <v>369.07325000000003</v>
      </c>
      <c r="O1042">
        <v>12</v>
      </c>
    </row>
    <row r="1043" spans="1:15" x14ac:dyDescent="0.25">
      <c r="A1043" t="s">
        <v>46</v>
      </c>
      <c r="B1043" t="s">
        <v>14</v>
      </c>
      <c r="C1043" t="s">
        <v>5</v>
      </c>
      <c r="D1043" t="str">
        <f t="shared" si="97"/>
        <v>FAB1_Leche Clasica Extra Deslactosada 1 L</v>
      </c>
      <c r="E1043">
        <v>2024</v>
      </c>
      <c r="F1043">
        <v>49</v>
      </c>
      <c r="G1043">
        <f t="shared" si="98"/>
        <v>12</v>
      </c>
      <c r="H1043" s="1">
        <f t="shared" si="99"/>
        <v>45628</v>
      </c>
      <c r="I1043" s="1">
        <f t="shared" si="100"/>
        <v>45627</v>
      </c>
      <c r="J1043">
        <v>26622.239999999998</v>
      </c>
      <c r="K1043">
        <v>852</v>
      </c>
      <c r="L1043">
        <f t="shared" si="96"/>
        <v>31.246760563380278</v>
      </c>
      <c r="M1043">
        <v>71</v>
      </c>
      <c r="N1043" s="2">
        <f t="shared" si="101"/>
        <v>374.96112676056333</v>
      </c>
      <c r="O1043">
        <v>12</v>
      </c>
    </row>
    <row r="1044" spans="1:15" x14ac:dyDescent="0.25">
      <c r="A1044" t="s">
        <v>46</v>
      </c>
      <c r="B1044" t="s">
        <v>14</v>
      </c>
      <c r="C1044" t="s">
        <v>5</v>
      </c>
      <c r="D1044" t="str">
        <f t="shared" si="97"/>
        <v>FAB1_Leche Clasica Extra Deslactosada 1 L</v>
      </c>
      <c r="E1044">
        <v>2024</v>
      </c>
      <c r="F1044">
        <v>50</v>
      </c>
      <c r="G1044">
        <f t="shared" si="98"/>
        <v>12</v>
      </c>
      <c r="H1044" s="1">
        <f t="shared" si="99"/>
        <v>45635</v>
      </c>
      <c r="I1044" s="1">
        <f t="shared" si="100"/>
        <v>45627</v>
      </c>
      <c r="J1044">
        <v>31909.479999999996</v>
      </c>
      <c r="K1044">
        <v>1020</v>
      </c>
      <c r="L1044">
        <f t="shared" si="96"/>
        <v>31.283803921568623</v>
      </c>
      <c r="M1044">
        <v>85</v>
      </c>
      <c r="N1044" s="2">
        <f t="shared" si="101"/>
        <v>375.40564705882349</v>
      </c>
      <c r="O1044">
        <v>12</v>
      </c>
    </row>
    <row r="1045" spans="1:15" x14ac:dyDescent="0.25">
      <c r="A1045" t="s">
        <v>46</v>
      </c>
      <c r="B1045" t="s">
        <v>14</v>
      </c>
      <c r="C1045" t="s">
        <v>5</v>
      </c>
      <c r="D1045" t="str">
        <f t="shared" si="97"/>
        <v>FAB1_Leche Clasica Extra Deslactosada 1 L</v>
      </c>
      <c r="E1045">
        <v>2024</v>
      </c>
      <c r="F1045">
        <v>51</v>
      </c>
      <c r="G1045">
        <f t="shared" si="98"/>
        <v>12</v>
      </c>
      <c r="H1045" s="1">
        <f t="shared" si="99"/>
        <v>45642</v>
      </c>
      <c r="I1045" s="1">
        <f t="shared" si="100"/>
        <v>45627</v>
      </c>
      <c r="J1045">
        <v>35823.100000000006</v>
      </c>
      <c r="K1045">
        <v>1152</v>
      </c>
      <c r="L1045">
        <f t="shared" si="96"/>
        <v>31.096440972222226</v>
      </c>
      <c r="M1045">
        <v>96</v>
      </c>
      <c r="N1045" s="2">
        <f t="shared" si="101"/>
        <v>373.15729166666671</v>
      </c>
      <c r="O1045">
        <v>12</v>
      </c>
    </row>
    <row r="1046" spans="1:15" x14ac:dyDescent="0.25">
      <c r="A1046" t="s">
        <v>46</v>
      </c>
      <c r="B1046" t="s">
        <v>14</v>
      </c>
      <c r="C1046" t="s">
        <v>5</v>
      </c>
      <c r="D1046" t="str">
        <f t="shared" si="97"/>
        <v>FAB1_Leche Clasica Extra Deslactosada 1 L</v>
      </c>
      <c r="E1046">
        <v>2024</v>
      </c>
      <c r="F1046">
        <v>52</v>
      </c>
      <c r="G1046">
        <f t="shared" si="98"/>
        <v>12</v>
      </c>
      <c r="H1046" s="1">
        <f t="shared" si="99"/>
        <v>45649</v>
      </c>
      <c r="I1046" s="1">
        <f t="shared" si="100"/>
        <v>45627</v>
      </c>
      <c r="J1046">
        <v>28789</v>
      </c>
      <c r="K1046">
        <v>936</v>
      </c>
      <c r="L1046">
        <f t="shared" si="96"/>
        <v>30.757478632478634</v>
      </c>
      <c r="M1046">
        <v>78</v>
      </c>
      <c r="N1046" s="2">
        <f t="shared" si="101"/>
        <v>369.08974358974359</v>
      </c>
      <c r="O1046">
        <v>12</v>
      </c>
    </row>
    <row r="1047" spans="1:15" x14ac:dyDescent="0.25">
      <c r="A1047" t="s">
        <v>46</v>
      </c>
      <c r="B1047" t="s">
        <v>14</v>
      </c>
      <c r="C1047" t="s">
        <v>5</v>
      </c>
      <c r="D1047" t="str">
        <f t="shared" si="97"/>
        <v>FAB1_Leche Clasica Extra Deslactosada 1 L</v>
      </c>
      <c r="E1047">
        <v>2025</v>
      </c>
      <c r="F1047">
        <v>1</v>
      </c>
      <c r="G1047">
        <f t="shared" si="98"/>
        <v>1</v>
      </c>
      <c r="H1047" s="1">
        <f t="shared" si="99"/>
        <v>45656</v>
      </c>
      <c r="I1047" s="1">
        <f t="shared" si="100"/>
        <v>45658</v>
      </c>
      <c r="J1047">
        <v>36993.619999999995</v>
      </c>
      <c r="K1047">
        <v>1188</v>
      </c>
      <c r="L1047">
        <f t="shared" si="96"/>
        <v>31.13941077441077</v>
      </c>
      <c r="M1047">
        <v>99</v>
      </c>
      <c r="N1047" s="2">
        <f t="shared" si="101"/>
        <v>373.67292929292927</v>
      </c>
      <c r="O1047">
        <v>12</v>
      </c>
    </row>
    <row r="1048" spans="1:15" x14ac:dyDescent="0.25">
      <c r="A1048" t="s">
        <v>46</v>
      </c>
      <c r="B1048" t="s">
        <v>14</v>
      </c>
      <c r="C1048" t="s">
        <v>5</v>
      </c>
      <c r="D1048" t="str">
        <f t="shared" si="97"/>
        <v>FAB1_Leche Clasica Extra Deslactosada 1 L</v>
      </c>
      <c r="E1048">
        <v>2025</v>
      </c>
      <c r="F1048">
        <v>2</v>
      </c>
      <c r="G1048">
        <f t="shared" si="98"/>
        <v>1</v>
      </c>
      <c r="H1048" s="1">
        <f t="shared" si="99"/>
        <v>45663</v>
      </c>
      <c r="I1048" s="1">
        <f t="shared" si="100"/>
        <v>45658</v>
      </c>
      <c r="J1048">
        <v>32676.720000000005</v>
      </c>
      <c r="K1048">
        <v>1044</v>
      </c>
      <c r="L1048">
        <f t="shared" si="96"/>
        <v>31.299540229885061</v>
      </c>
      <c r="M1048">
        <v>87</v>
      </c>
      <c r="N1048" s="2">
        <f t="shared" si="101"/>
        <v>375.59448275862076</v>
      </c>
      <c r="O1048">
        <v>12</v>
      </c>
    </row>
    <row r="1049" spans="1:15" x14ac:dyDescent="0.25">
      <c r="A1049" t="s">
        <v>46</v>
      </c>
      <c r="B1049" t="s">
        <v>14</v>
      </c>
      <c r="C1049" t="s">
        <v>5</v>
      </c>
      <c r="D1049" t="str">
        <f t="shared" si="97"/>
        <v>FAB1_Leche Clasica Extra Deslactosada 1 L</v>
      </c>
      <c r="E1049">
        <v>2025</v>
      </c>
      <c r="F1049">
        <v>3</v>
      </c>
      <c r="G1049">
        <f t="shared" si="98"/>
        <v>1</v>
      </c>
      <c r="H1049" s="1">
        <f t="shared" si="99"/>
        <v>45670</v>
      </c>
      <c r="I1049" s="1">
        <f t="shared" si="100"/>
        <v>45658</v>
      </c>
      <c r="J1049">
        <v>31452.37</v>
      </c>
      <c r="K1049">
        <v>1008</v>
      </c>
      <c r="L1049">
        <f t="shared" si="96"/>
        <v>31.202748015873016</v>
      </c>
      <c r="M1049">
        <v>84</v>
      </c>
      <c r="N1049" s="2">
        <f t="shared" si="101"/>
        <v>374.43297619047615</v>
      </c>
      <c r="O1049">
        <v>12</v>
      </c>
    </row>
    <row r="1050" spans="1:15" x14ac:dyDescent="0.25">
      <c r="A1050" t="s">
        <v>46</v>
      </c>
      <c r="B1050" t="s">
        <v>14</v>
      </c>
      <c r="C1050" t="s">
        <v>5</v>
      </c>
      <c r="D1050" t="str">
        <f t="shared" si="97"/>
        <v>FAB1_Leche Clasica Extra Deslactosada 1 L</v>
      </c>
      <c r="E1050">
        <v>2025</v>
      </c>
      <c r="F1050">
        <v>4</v>
      </c>
      <c r="G1050">
        <f t="shared" si="98"/>
        <v>1</v>
      </c>
      <c r="H1050" s="1">
        <f t="shared" si="99"/>
        <v>45677</v>
      </c>
      <c r="I1050" s="1">
        <f t="shared" si="100"/>
        <v>45658</v>
      </c>
      <c r="J1050">
        <v>29633.62</v>
      </c>
      <c r="K1050">
        <v>948</v>
      </c>
      <c r="L1050">
        <f t="shared" si="96"/>
        <v>31.259092827004217</v>
      </c>
      <c r="M1050">
        <v>79</v>
      </c>
      <c r="N1050" s="2">
        <f t="shared" si="101"/>
        <v>375.10911392405063</v>
      </c>
      <c r="O1050">
        <v>12</v>
      </c>
    </row>
    <row r="1051" spans="1:15" x14ac:dyDescent="0.25">
      <c r="A1051" t="s">
        <v>46</v>
      </c>
      <c r="B1051" t="s">
        <v>14</v>
      </c>
      <c r="C1051" t="s">
        <v>5</v>
      </c>
      <c r="D1051" t="str">
        <f t="shared" si="97"/>
        <v>FAB1_Leche Clasica Extra Deslactosada 1 L</v>
      </c>
      <c r="E1051">
        <v>2025</v>
      </c>
      <c r="F1051">
        <v>5</v>
      </c>
      <c r="G1051">
        <f t="shared" si="98"/>
        <v>1</v>
      </c>
      <c r="H1051" s="1">
        <f t="shared" si="99"/>
        <v>45684</v>
      </c>
      <c r="I1051" s="1">
        <f t="shared" si="100"/>
        <v>45658</v>
      </c>
      <c r="J1051">
        <v>35420.619999999995</v>
      </c>
      <c r="K1051">
        <v>1128</v>
      </c>
      <c r="L1051">
        <f t="shared" si="96"/>
        <v>31.401258865248224</v>
      </c>
      <c r="M1051">
        <v>94</v>
      </c>
      <c r="N1051" s="2">
        <f t="shared" si="101"/>
        <v>376.81510638297868</v>
      </c>
      <c r="O1051">
        <v>12</v>
      </c>
    </row>
    <row r="1052" spans="1:15" x14ac:dyDescent="0.25">
      <c r="A1052" t="s">
        <v>46</v>
      </c>
      <c r="B1052" t="s">
        <v>14</v>
      </c>
      <c r="C1052" t="s">
        <v>5</v>
      </c>
      <c r="D1052" t="str">
        <f t="shared" si="97"/>
        <v>FAB1_Leche Clasica Extra Deslactosada 1 L</v>
      </c>
      <c r="E1052">
        <v>2025</v>
      </c>
      <c r="F1052">
        <v>6</v>
      </c>
      <c r="G1052">
        <f t="shared" si="98"/>
        <v>2</v>
      </c>
      <c r="H1052" s="1">
        <f t="shared" si="99"/>
        <v>45691</v>
      </c>
      <c r="I1052" s="1">
        <f t="shared" si="100"/>
        <v>45689</v>
      </c>
      <c r="J1052">
        <v>33423</v>
      </c>
      <c r="K1052">
        <v>1020</v>
      </c>
      <c r="L1052">
        <f t="shared" si="96"/>
        <v>32.767647058823528</v>
      </c>
      <c r="M1052">
        <v>85</v>
      </c>
      <c r="N1052" s="2">
        <f t="shared" si="101"/>
        <v>393.21176470588233</v>
      </c>
      <c r="O1052">
        <v>12</v>
      </c>
    </row>
    <row r="1053" spans="1:15" x14ac:dyDescent="0.25">
      <c r="A1053" t="s">
        <v>46</v>
      </c>
      <c r="B1053" t="s">
        <v>14</v>
      </c>
      <c r="C1053" t="s">
        <v>5</v>
      </c>
      <c r="D1053" t="str">
        <f t="shared" si="97"/>
        <v>FAB1_Leche Clasica Extra Deslactosada 1 L</v>
      </c>
      <c r="E1053">
        <v>2025</v>
      </c>
      <c r="F1053">
        <v>7</v>
      </c>
      <c r="G1053">
        <f t="shared" si="98"/>
        <v>2</v>
      </c>
      <c r="H1053" s="1">
        <f t="shared" si="99"/>
        <v>45698</v>
      </c>
      <c r="I1053" s="1">
        <f t="shared" si="100"/>
        <v>45689</v>
      </c>
      <c r="J1053">
        <v>36660.25</v>
      </c>
      <c r="K1053">
        <v>1128</v>
      </c>
      <c r="L1053">
        <f t="shared" si="96"/>
        <v>32.500221631205676</v>
      </c>
      <c r="M1053">
        <v>94</v>
      </c>
      <c r="N1053" s="2">
        <f t="shared" si="101"/>
        <v>390.00265957446811</v>
      </c>
      <c r="O1053">
        <v>12</v>
      </c>
    </row>
    <row r="1054" spans="1:15" x14ac:dyDescent="0.25">
      <c r="A1054" t="s">
        <v>46</v>
      </c>
      <c r="B1054" t="s">
        <v>14</v>
      </c>
      <c r="C1054" t="s">
        <v>5</v>
      </c>
      <c r="D1054" t="str">
        <f t="shared" si="97"/>
        <v>FAB1_Leche Clasica Extra Deslactosada 1 L</v>
      </c>
      <c r="E1054">
        <v>2025</v>
      </c>
      <c r="F1054">
        <v>8</v>
      </c>
      <c r="G1054">
        <f t="shared" si="98"/>
        <v>2</v>
      </c>
      <c r="H1054" s="1">
        <f t="shared" si="99"/>
        <v>45705</v>
      </c>
      <c r="I1054" s="1">
        <f t="shared" si="100"/>
        <v>45689</v>
      </c>
      <c r="J1054">
        <v>36708.51</v>
      </c>
      <c r="K1054">
        <v>1140</v>
      </c>
      <c r="L1054">
        <f t="shared" si="96"/>
        <v>32.200447368421052</v>
      </c>
      <c r="M1054">
        <v>95</v>
      </c>
      <c r="N1054" s="2">
        <f t="shared" si="101"/>
        <v>386.40536842105263</v>
      </c>
      <c r="O1054">
        <v>12</v>
      </c>
    </row>
    <row r="1055" spans="1:15" x14ac:dyDescent="0.25">
      <c r="A1055" t="s">
        <v>46</v>
      </c>
      <c r="B1055" t="s">
        <v>14</v>
      </c>
      <c r="C1055" t="s">
        <v>5</v>
      </c>
      <c r="D1055" t="str">
        <f t="shared" si="97"/>
        <v>FAB1_Leche Clasica Extra Deslactosada 1 L</v>
      </c>
      <c r="E1055">
        <v>2025</v>
      </c>
      <c r="F1055">
        <v>9</v>
      </c>
      <c r="G1055">
        <f t="shared" si="98"/>
        <v>2</v>
      </c>
      <c r="H1055" s="1">
        <f t="shared" si="99"/>
        <v>45712</v>
      </c>
      <c r="I1055" s="1">
        <f t="shared" si="100"/>
        <v>45689</v>
      </c>
      <c r="J1055">
        <v>21288.010000000002</v>
      </c>
      <c r="K1055">
        <v>648</v>
      </c>
      <c r="L1055">
        <f t="shared" si="96"/>
        <v>32.851867283950618</v>
      </c>
      <c r="M1055">
        <v>54</v>
      </c>
      <c r="N1055" s="2">
        <f t="shared" si="101"/>
        <v>394.22240740740745</v>
      </c>
      <c r="O1055">
        <v>12</v>
      </c>
    </row>
    <row r="1056" spans="1:15" x14ac:dyDescent="0.25">
      <c r="A1056" t="s">
        <v>46</v>
      </c>
      <c r="B1056" t="s">
        <v>14</v>
      </c>
      <c r="C1056" t="s">
        <v>5</v>
      </c>
      <c r="D1056" t="str">
        <f t="shared" si="97"/>
        <v>FAB1_Leche Clasica Extra Deslactosada 1 L</v>
      </c>
      <c r="E1056">
        <v>2025</v>
      </c>
      <c r="F1056">
        <v>10</v>
      </c>
      <c r="G1056">
        <f t="shared" si="98"/>
        <v>3</v>
      </c>
      <c r="H1056" s="1">
        <f t="shared" si="99"/>
        <v>45719</v>
      </c>
      <c r="I1056" s="1">
        <f t="shared" si="100"/>
        <v>45717</v>
      </c>
      <c r="J1056">
        <v>34749.49</v>
      </c>
      <c r="K1056">
        <v>1068</v>
      </c>
      <c r="L1056">
        <f t="shared" si="96"/>
        <v>32.536975655430709</v>
      </c>
      <c r="M1056">
        <v>89</v>
      </c>
      <c r="N1056" s="2">
        <f t="shared" si="101"/>
        <v>390.44370786516851</v>
      </c>
      <c r="O1056">
        <v>12</v>
      </c>
    </row>
    <row r="1057" spans="1:15" x14ac:dyDescent="0.25">
      <c r="A1057" t="s">
        <v>46</v>
      </c>
      <c r="B1057" t="s">
        <v>14</v>
      </c>
      <c r="C1057" t="s">
        <v>5</v>
      </c>
      <c r="D1057" t="str">
        <f t="shared" si="97"/>
        <v>FAB1_Leche Clasica Extra Deslactosada 1 L</v>
      </c>
      <c r="E1057">
        <v>2025</v>
      </c>
      <c r="F1057">
        <v>11</v>
      </c>
      <c r="G1057">
        <f t="shared" si="98"/>
        <v>3</v>
      </c>
      <c r="H1057" s="1">
        <f t="shared" si="99"/>
        <v>45726</v>
      </c>
      <c r="I1057" s="1">
        <f t="shared" si="100"/>
        <v>45717</v>
      </c>
      <c r="J1057">
        <v>26023.510000000002</v>
      </c>
      <c r="K1057">
        <v>816</v>
      </c>
      <c r="L1057">
        <f t="shared" si="96"/>
        <v>31.891556372549022</v>
      </c>
      <c r="M1057">
        <v>68</v>
      </c>
      <c r="N1057" s="2">
        <f t="shared" si="101"/>
        <v>382.69867647058828</v>
      </c>
      <c r="O1057">
        <v>12</v>
      </c>
    </row>
    <row r="1058" spans="1:15" x14ac:dyDescent="0.25">
      <c r="A1058" t="s">
        <v>46</v>
      </c>
      <c r="B1058" t="s">
        <v>14</v>
      </c>
      <c r="C1058" t="s">
        <v>5</v>
      </c>
      <c r="D1058" t="str">
        <f t="shared" si="97"/>
        <v>FAB1_Leche Clasica Extra Deslactosada 1 L</v>
      </c>
      <c r="E1058">
        <v>2025</v>
      </c>
      <c r="F1058">
        <v>12</v>
      </c>
      <c r="G1058">
        <f t="shared" si="98"/>
        <v>3</v>
      </c>
      <c r="H1058" s="1">
        <f t="shared" si="99"/>
        <v>45733</v>
      </c>
      <c r="I1058" s="1">
        <f t="shared" si="100"/>
        <v>45717</v>
      </c>
      <c r="J1058">
        <v>35858.5</v>
      </c>
      <c r="K1058">
        <v>1116</v>
      </c>
      <c r="L1058">
        <f t="shared" si="96"/>
        <v>32.131272401433691</v>
      </c>
      <c r="M1058">
        <v>93</v>
      </c>
      <c r="N1058" s="2">
        <f t="shared" si="101"/>
        <v>385.57526881720429</v>
      </c>
      <c r="O1058">
        <v>12</v>
      </c>
    </row>
    <row r="1059" spans="1:15" x14ac:dyDescent="0.25">
      <c r="A1059" t="s">
        <v>46</v>
      </c>
      <c r="B1059" t="s">
        <v>14</v>
      </c>
      <c r="C1059" t="s">
        <v>5</v>
      </c>
      <c r="D1059" t="str">
        <f t="shared" si="97"/>
        <v>FAB1_Leche Clasica Extra Deslactosada 1 L</v>
      </c>
      <c r="E1059">
        <v>2025</v>
      </c>
      <c r="F1059">
        <v>13</v>
      </c>
      <c r="G1059">
        <f t="shared" si="98"/>
        <v>3</v>
      </c>
      <c r="H1059" s="1">
        <f t="shared" si="99"/>
        <v>45740</v>
      </c>
      <c r="I1059" s="1">
        <f t="shared" si="100"/>
        <v>45717</v>
      </c>
      <c r="J1059">
        <v>26411.01</v>
      </c>
      <c r="K1059">
        <v>828</v>
      </c>
      <c r="L1059">
        <f t="shared" si="96"/>
        <v>31.897355072463768</v>
      </c>
      <c r="M1059">
        <v>69</v>
      </c>
      <c r="N1059" s="2">
        <f t="shared" si="101"/>
        <v>382.76826086956521</v>
      </c>
      <c r="O1059">
        <v>12</v>
      </c>
    </row>
    <row r="1060" spans="1:15" x14ac:dyDescent="0.25">
      <c r="A1060" t="s">
        <v>46</v>
      </c>
      <c r="B1060" t="s">
        <v>14</v>
      </c>
      <c r="C1060" t="s">
        <v>5</v>
      </c>
      <c r="D1060" t="str">
        <f t="shared" si="97"/>
        <v>FAB1_Leche Clasica Extra Deslactosada 1 L</v>
      </c>
      <c r="E1060">
        <v>2025</v>
      </c>
      <c r="F1060">
        <v>14</v>
      </c>
      <c r="G1060">
        <f t="shared" si="98"/>
        <v>4</v>
      </c>
      <c r="H1060" s="1">
        <f t="shared" si="99"/>
        <v>45747</v>
      </c>
      <c r="I1060" s="1">
        <f t="shared" si="100"/>
        <v>45748</v>
      </c>
      <c r="J1060">
        <v>33463.040000000001</v>
      </c>
      <c r="K1060">
        <v>1068</v>
      </c>
      <c r="L1060">
        <f t="shared" si="96"/>
        <v>31.332434456928841</v>
      </c>
      <c r="M1060">
        <v>89</v>
      </c>
      <c r="N1060" s="2">
        <f t="shared" si="101"/>
        <v>375.9892134831461</v>
      </c>
      <c r="O1060">
        <v>12</v>
      </c>
    </row>
    <row r="1061" spans="1:15" x14ac:dyDescent="0.25">
      <c r="A1061" t="s">
        <v>46</v>
      </c>
      <c r="B1061" t="s">
        <v>14</v>
      </c>
      <c r="C1061" t="s">
        <v>5</v>
      </c>
      <c r="D1061" t="str">
        <f t="shared" si="97"/>
        <v>FAB1_Leche Clasica Extra Deslactosada 1 L</v>
      </c>
      <c r="E1061">
        <v>2025</v>
      </c>
      <c r="F1061">
        <v>15</v>
      </c>
      <c r="G1061">
        <f t="shared" si="98"/>
        <v>4</v>
      </c>
      <c r="H1061" s="1">
        <f t="shared" si="99"/>
        <v>45754</v>
      </c>
      <c r="I1061" s="1">
        <f t="shared" si="100"/>
        <v>45748</v>
      </c>
      <c r="J1061">
        <v>31575.050000000003</v>
      </c>
      <c r="K1061">
        <v>972</v>
      </c>
      <c r="L1061">
        <f t="shared" si="96"/>
        <v>32.484619341563786</v>
      </c>
      <c r="M1061">
        <v>81</v>
      </c>
      <c r="N1061" s="2">
        <f t="shared" si="101"/>
        <v>389.81543209876548</v>
      </c>
      <c r="O1061">
        <v>12</v>
      </c>
    </row>
    <row r="1062" spans="1:15" x14ac:dyDescent="0.25">
      <c r="A1062" t="s">
        <v>46</v>
      </c>
      <c r="B1062" t="s">
        <v>14</v>
      </c>
      <c r="C1062" t="s">
        <v>5</v>
      </c>
      <c r="D1062" t="str">
        <f t="shared" si="97"/>
        <v>FAB1_Leche Clasica Extra Deslactosada 1 L</v>
      </c>
      <c r="E1062">
        <v>2025</v>
      </c>
      <c r="F1062">
        <v>16</v>
      </c>
      <c r="G1062">
        <f t="shared" si="98"/>
        <v>4</v>
      </c>
      <c r="H1062" s="1">
        <f t="shared" si="99"/>
        <v>45761</v>
      </c>
      <c r="I1062" s="1">
        <f t="shared" si="100"/>
        <v>45748</v>
      </c>
      <c r="J1062">
        <v>33021</v>
      </c>
      <c r="K1062">
        <v>1008</v>
      </c>
      <c r="L1062">
        <f t="shared" si="96"/>
        <v>32.758928571428569</v>
      </c>
      <c r="M1062">
        <v>84</v>
      </c>
      <c r="N1062" s="2">
        <f t="shared" si="101"/>
        <v>393.10714285714283</v>
      </c>
      <c r="O1062">
        <v>12</v>
      </c>
    </row>
    <row r="1063" spans="1:15" x14ac:dyDescent="0.25">
      <c r="A1063" t="s">
        <v>46</v>
      </c>
      <c r="B1063" t="s">
        <v>14</v>
      </c>
      <c r="C1063" t="s">
        <v>5</v>
      </c>
      <c r="D1063" t="str">
        <f t="shared" si="97"/>
        <v>FAB1_Leche Clasica Extra Deslactosada 1 L</v>
      </c>
      <c r="E1063">
        <v>2025</v>
      </c>
      <c r="F1063">
        <v>17</v>
      </c>
      <c r="G1063">
        <f t="shared" si="98"/>
        <v>4</v>
      </c>
      <c r="H1063" s="1">
        <f t="shared" si="99"/>
        <v>45768</v>
      </c>
      <c r="I1063" s="1">
        <f t="shared" si="100"/>
        <v>45748</v>
      </c>
      <c r="J1063">
        <v>24262.519999999997</v>
      </c>
      <c r="K1063">
        <v>744</v>
      </c>
      <c r="L1063">
        <f t="shared" si="96"/>
        <v>32.610913978494622</v>
      </c>
      <c r="M1063">
        <v>62</v>
      </c>
      <c r="N1063" s="2">
        <f t="shared" si="101"/>
        <v>391.33096774193541</v>
      </c>
      <c r="O1063">
        <v>12</v>
      </c>
    </row>
    <row r="1064" spans="1:15" x14ac:dyDescent="0.25">
      <c r="A1064" t="s">
        <v>46</v>
      </c>
      <c r="B1064" t="s">
        <v>14</v>
      </c>
      <c r="C1064" t="s">
        <v>5</v>
      </c>
      <c r="D1064" t="str">
        <f t="shared" si="97"/>
        <v>FAB1_Leche Clasica Extra Deslactosada 1 L</v>
      </c>
      <c r="E1064">
        <v>2025</v>
      </c>
      <c r="F1064">
        <v>18</v>
      </c>
      <c r="G1064">
        <f t="shared" si="98"/>
        <v>5</v>
      </c>
      <c r="H1064" s="1">
        <f t="shared" si="99"/>
        <v>45775</v>
      </c>
      <c r="I1064" s="1">
        <f t="shared" si="100"/>
        <v>45778</v>
      </c>
      <c r="J1064">
        <v>36636.030000000006</v>
      </c>
      <c r="K1064">
        <v>1152</v>
      </c>
      <c r="L1064">
        <f t="shared" si="96"/>
        <v>31.802109375000004</v>
      </c>
      <c r="M1064">
        <v>96</v>
      </c>
      <c r="N1064" s="2">
        <f t="shared" si="101"/>
        <v>381.62531250000006</v>
      </c>
      <c r="O1064">
        <v>12</v>
      </c>
    </row>
    <row r="1065" spans="1:15" x14ac:dyDescent="0.25">
      <c r="A1065" t="s">
        <v>46</v>
      </c>
      <c r="B1065" t="s">
        <v>14</v>
      </c>
      <c r="C1065" t="s">
        <v>5</v>
      </c>
      <c r="D1065" t="str">
        <f t="shared" si="97"/>
        <v>FAB1_Leche Clasica Extra Deslactosada 1 L</v>
      </c>
      <c r="E1065">
        <v>2025</v>
      </c>
      <c r="F1065">
        <v>19</v>
      </c>
      <c r="G1065">
        <f t="shared" si="98"/>
        <v>5</v>
      </c>
      <c r="H1065" s="1">
        <f t="shared" si="99"/>
        <v>45782</v>
      </c>
      <c r="I1065" s="1">
        <f t="shared" si="100"/>
        <v>45778</v>
      </c>
      <c r="J1065">
        <v>26646.260000000002</v>
      </c>
      <c r="K1065">
        <v>840</v>
      </c>
      <c r="L1065">
        <f t="shared" si="96"/>
        <v>31.721738095238099</v>
      </c>
      <c r="M1065">
        <v>70</v>
      </c>
      <c r="N1065" s="2">
        <f t="shared" si="101"/>
        <v>380.6608571428572</v>
      </c>
      <c r="O1065">
        <v>12</v>
      </c>
    </row>
    <row r="1066" spans="1:15" x14ac:dyDescent="0.25">
      <c r="A1066" t="s">
        <v>46</v>
      </c>
      <c r="B1066" t="s">
        <v>14</v>
      </c>
      <c r="C1066" t="s">
        <v>5</v>
      </c>
      <c r="D1066" t="str">
        <f t="shared" si="97"/>
        <v>FAB1_Leche Clasica Extra Deslactosada 1 L</v>
      </c>
      <c r="E1066">
        <v>2025</v>
      </c>
      <c r="F1066">
        <v>20</v>
      </c>
      <c r="G1066">
        <f t="shared" si="98"/>
        <v>5</v>
      </c>
      <c r="H1066" s="1">
        <f t="shared" si="99"/>
        <v>45789</v>
      </c>
      <c r="I1066" s="1">
        <f t="shared" si="100"/>
        <v>45778</v>
      </c>
      <c r="J1066">
        <v>27457</v>
      </c>
      <c r="K1066">
        <v>852</v>
      </c>
      <c r="L1066">
        <f t="shared" si="96"/>
        <v>32.226525821596248</v>
      </c>
      <c r="M1066">
        <v>71</v>
      </c>
      <c r="N1066" s="2">
        <f t="shared" si="101"/>
        <v>386.71830985915494</v>
      </c>
      <c r="O1066">
        <v>12</v>
      </c>
    </row>
    <row r="1067" spans="1:15" x14ac:dyDescent="0.25">
      <c r="A1067" t="s">
        <v>46</v>
      </c>
      <c r="B1067" t="s">
        <v>14</v>
      </c>
      <c r="C1067" t="s">
        <v>5</v>
      </c>
      <c r="D1067" t="str">
        <f t="shared" si="97"/>
        <v>FAB1_Leche Clasica Extra Deslactosada 1 L</v>
      </c>
      <c r="E1067">
        <v>2025</v>
      </c>
      <c r="F1067">
        <v>21</v>
      </c>
      <c r="G1067">
        <f t="shared" si="98"/>
        <v>5</v>
      </c>
      <c r="H1067" s="1">
        <f t="shared" si="99"/>
        <v>45796</v>
      </c>
      <c r="I1067" s="1">
        <f t="shared" si="100"/>
        <v>45778</v>
      </c>
      <c r="J1067">
        <v>36134.529999999992</v>
      </c>
      <c r="K1067">
        <v>1128</v>
      </c>
      <c r="L1067">
        <f t="shared" si="96"/>
        <v>32.034157801418431</v>
      </c>
      <c r="M1067">
        <v>94</v>
      </c>
      <c r="N1067" s="2">
        <f t="shared" si="101"/>
        <v>384.40989361702117</v>
      </c>
      <c r="O1067">
        <v>12</v>
      </c>
    </row>
    <row r="1068" spans="1:15" x14ac:dyDescent="0.25">
      <c r="A1068" t="s">
        <v>46</v>
      </c>
      <c r="B1068" t="s">
        <v>14</v>
      </c>
      <c r="C1068" t="s">
        <v>5</v>
      </c>
      <c r="D1068" t="str">
        <f t="shared" si="97"/>
        <v>FAB1_Leche Clasica Extra Deslactosada 1 L</v>
      </c>
      <c r="E1068">
        <v>2025</v>
      </c>
      <c r="F1068">
        <v>22</v>
      </c>
      <c r="G1068">
        <f t="shared" si="98"/>
        <v>5</v>
      </c>
      <c r="H1068" s="1">
        <f t="shared" si="99"/>
        <v>45803</v>
      </c>
      <c r="I1068" s="1">
        <f t="shared" si="100"/>
        <v>45778</v>
      </c>
      <c r="J1068">
        <v>31591.06</v>
      </c>
      <c r="K1068">
        <v>972</v>
      </c>
      <c r="L1068">
        <f t="shared" si="96"/>
        <v>32.501090534979426</v>
      </c>
      <c r="M1068">
        <v>81</v>
      </c>
      <c r="N1068" s="2">
        <f t="shared" si="101"/>
        <v>390.01308641975311</v>
      </c>
      <c r="O1068">
        <v>12</v>
      </c>
    </row>
    <row r="1069" spans="1:15" x14ac:dyDescent="0.25">
      <c r="A1069" t="s">
        <v>46</v>
      </c>
      <c r="B1069" t="s">
        <v>14</v>
      </c>
      <c r="C1069" t="s">
        <v>5</v>
      </c>
      <c r="D1069" t="str">
        <f t="shared" si="97"/>
        <v>FAB1_Leche Clasica Extra Deslactosada 1 L</v>
      </c>
      <c r="E1069">
        <v>2025</v>
      </c>
      <c r="F1069">
        <v>23</v>
      </c>
      <c r="G1069">
        <f t="shared" si="98"/>
        <v>6</v>
      </c>
      <c r="H1069" s="1">
        <f t="shared" si="99"/>
        <v>45810</v>
      </c>
      <c r="I1069" s="1">
        <f t="shared" si="100"/>
        <v>45809</v>
      </c>
      <c r="J1069">
        <v>35332.759999999995</v>
      </c>
      <c r="K1069">
        <v>1080</v>
      </c>
      <c r="L1069">
        <f t="shared" si="96"/>
        <v>32.715518518518515</v>
      </c>
      <c r="M1069">
        <v>90</v>
      </c>
      <c r="N1069" s="2">
        <f t="shared" si="101"/>
        <v>392.58622222222215</v>
      </c>
      <c r="O1069">
        <v>12</v>
      </c>
    </row>
    <row r="1070" spans="1:15" x14ac:dyDescent="0.25">
      <c r="A1070" t="s">
        <v>46</v>
      </c>
      <c r="B1070" t="s">
        <v>14</v>
      </c>
      <c r="C1070" t="s">
        <v>5</v>
      </c>
      <c r="D1070" t="str">
        <f t="shared" si="97"/>
        <v>FAB1_Leche Clasica Extra Deslactosada 1 L</v>
      </c>
      <c r="E1070">
        <v>2025</v>
      </c>
      <c r="F1070">
        <v>24</v>
      </c>
      <c r="G1070">
        <f t="shared" si="98"/>
        <v>6</v>
      </c>
      <c r="H1070" s="1">
        <f t="shared" si="99"/>
        <v>45817</v>
      </c>
      <c r="I1070" s="1">
        <f t="shared" si="100"/>
        <v>45809</v>
      </c>
      <c r="J1070">
        <v>29528.62</v>
      </c>
      <c r="K1070">
        <v>912</v>
      </c>
      <c r="L1070">
        <f t="shared" si="96"/>
        <v>32.377872807017546</v>
      </c>
      <c r="M1070">
        <v>76</v>
      </c>
      <c r="N1070" s="2">
        <f t="shared" si="101"/>
        <v>388.53447368421052</v>
      </c>
      <c r="O1070">
        <v>12</v>
      </c>
    </row>
    <row r="1071" spans="1:15" x14ac:dyDescent="0.25">
      <c r="A1071" t="s">
        <v>46</v>
      </c>
      <c r="B1071" t="s">
        <v>14</v>
      </c>
      <c r="C1071" t="s">
        <v>5</v>
      </c>
      <c r="D1071" t="str">
        <f t="shared" si="97"/>
        <v>FAB1_Leche Clasica Extra Deslactosada 1 L</v>
      </c>
      <c r="E1071">
        <v>2025</v>
      </c>
      <c r="F1071">
        <v>25</v>
      </c>
      <c r="G1071">
        <f t="shared" si="98"/>
        <v>6</v>
      </c>
      <c r="H1071" s="1">
        <f t="shared" si="99"/>
        <v>45824</v>
      </c>
      <c r="I1071" s="1">
        <f t="shared" si="100"/>
        <v>45809</v>
      </c>
      <c r="J1071">
        <v>38305.259999999995</v>
      </c>
      <c r="K1071">
        <v>1296</v>
      </c>
      <c r="L1071">
        <f t="shared" si="96"/>
        <v>29.556527777777774</v>
      </c>
      <c r="M1071">
        <v>108</v>
      </c>
      <c r="N1071" s="2">
        <f t="shared" si="101"/>
        <v>354.67833333333328</v>
      </c>
      <c r="O1071">
        <v>12</v>
      </c>
    </row>
    <row r="1072" spans="1:15" x14ac:dyDescent="0.25">
      <c r="A1072" t="s">
        <v>46</v>
      </c>
      <c r="B1072" t="s">
        <v>14</v>
      </c>
      <c r="C1072" t="s">
        <v>5</v>
      </c>
      <c r="D1072" t="str">
        <f t="shared" si="97"/>
        <v>FAB1_Leche Clasica Extra Deslactosada 1 L</v>
      </c>
      <c r="E1072">
        <v>2025</v>
      </c>
      <c r="F1072">
        <v>26</v>
      </c>
      <c r="G1072">
        <f t="shared" si="98"/>
        <v>6</v>
      </c>
      <c r="H1072" s="1">
        <f t="shared" si="99"/>
        <v>45831</v>
      </c>
      <c r="I1072" s="1">
        <f t="shared" si="100"/>
        <v>45809</v>
      </c>
      <c r="J1072">
        <v>26574.42</v>
      </c>
      <c r="K1072">
        <v>900</v>
      </c>
      <c r="L1072">
        <f t="shared" si="96"/>
        <v>29.527133333333332</v>
      </c>
      <c r="M1072">
        <v>75</v>
      </c>
      <c r="N1072" s="2">
        <f t="shared" si="101"/>
        <v>354.32559999999995</v>
      </c>
      <c r="O1072">
        <v>12</v>
      </c>
    </row>
    <row r="1073" spans="1:15" x14ac:dyDescent="0.25">
      <c r="A1073" t="s">
        <v>46</v>
      </c>
      <c r="B1073" t="s">
        <v>14</v>
      </c>
      <c r="C1073" t="s">
        <v>5</v>
      </c>
      <c r="D1073" t="str">
        <f t="shared" si="97"/>
        <v>FAB1_Leche Clasica Extra Deslactosada 1 L</v>
      </c>
      <c r="E1073">
        <v>2025</v>
      </c>
      <c r="F1073">
        <v>27</v>
      </c>
      <c r="G1073">
        <f t="shared" si="98"/>
        <v>7</v>
      </c>
      <c r="H1073" s="1">
        <f t="shared" si="99"/>
        <v>45838</v>
      </c>
      <c r="I1073" s="1">
        <f t="shared" si="100"/>
        <v>45839</v>
      </c>
      <c r="J1073">
        <v>40388.559999999998</v>
      </c>
      <c r="K1073">
        <v>1368</v>
      </c>
      <c r="L1073">
        <f t="shared" si="96"/>
        <v>29.523801169590641</v>
      </c>
      <c r="M1073">
        <v>114</v>
      </c>
      <c r="N1073" s="2">
        <f t="shared" si="101"/>
        <v>354.28561403508769</v>
      </c>
      <c r="O1073">
        <v>12</v>
      </c>
    </row>
    <row r="1074" spans="1:15" x14ac:dyDescent="0.25">
      <c r="A1074" t="s">
        <v>46</v>
      </c>
      <c r="B1074" t="s">
        <v>14</v>
      </c>
      <c r="C1074" t="s">
        <v>5</v>
      </c>
      <c r="D1074" t="str">
        <f t="shared" si="97"/>
        <v>FAB1_Leche Clasica Extra Deslactosada 1 L</v>
      </c>
      <c r="E1074">
        <v>2025</v>
      </c>
      <c r="F1074">
        <v>28</v>
      </c>
      <c r="G1074">
        <f t="shared" si="98"/>
        <v>7</v>
      </c>
      <c r="H1074" s="1">
        <f t="shared" si="99"/>
        <v>45845</v>
      </c>
      <c r="I1074" s="1">
        <f t="shared" si="100"/>
        <v>45839</v>
      </c>
      <c r="J1074">
        <v>29710.339999999997</v>
      </c>
      <c r="K1074">
        <v>996</v>
      </c>
      <c r="L1074">
        <f t="shared" si="96"/>
        <v>29.829658634538148</v>
      </c>
      <c r="M1074">
        <v>83</v>
      </c>
      <c r="N1074" s="2">
        <f t="shared" si="101"/>
        <v>357.95590361445778</v>
      </c>
      <c r="O1074">
        <v>12</v>
      </c>
    </row>
    <row r="1075" spans="1:15" x14ac:dyDescent="0.25">
      <c r="A1075" t="s">
        <v>46</v>
      </c>
      <c r="B1075" t="s">
        <v>14</v>
      </c>
      <c r="C1075" t="s">
        <v>5</v>
      </c>
      <c r="D1075" t="str">
        <f t="shared" si="97"/>
        <v>FAB1_Leche Clasica Extra Deslactosada 1 L</v>
      </c>
      <c r="E1075">
        <v>2025</v>
      </c>
      <c r="F1075">
        <v>29</v>
      </c>
      <c r="G1075">
        <f t="shared" si="98"/>
        <v>7</v>
      </c>
      <c r="H1075" s="1">
        <f t="shared" si="99"/>
        <v>45852</v>
      </c>
      <c r="I1075" s="1">
        <f t="shared" si="100"/>
        <v>45839</v>
      </c>
      <c r="J1075">
        <v>33582.5</v>
      </c>
      <c r="K1075">
        <v>1044</v>
      </c>
      <c r="L1075">
        <f t="shared" si="96"/>
        <v>32.167145593869733</v>
      </c>
      <c r="M1075">
        <v>87</v>
      </c>
      <c r="N1075" s="2">
        <f t="shared" si="101"/>
        <v>386.0057471264368</v>
      </c>
      <c r="O1075">
        <v>12</v>
      </c>
    </row>
    <row r="1076" spans="1:15" x14ac:dyDescent="0.25">
      <c r="A1076" t="s">
        <v>46</v>
      </c>
      <c r="B1076" t="s">
        <v>14</v>
      </c>
      <c r="C1076" t="s">
        <v>5</v>
      </c>
      <c r="D1076" t="str">
        <f t="shared" si="97"/>
        <v>FAB1_Leche Clasica Extra Deslactosada 1 L</v>
      </c>
      <c r="E1076">
        <v>2025</v>
      </c>
      <c r="F1076">
        <v>30</v>
      </c>
      <c r="G1076">
        <f t="shared" si="98"/>
        <v>7</v>
      </c>
      <c r="H1076" s="1">
        <f t="shared" si="99"/>
        <v>45859</v>
      </c>
      <c r="I1076" s="1">
        <f t="shared" si="100"/>
        <v>45839</v>
      </c>
      <c r="J1076">
        <v>31544.91</v>
      </c>
      <c r="K1076">
        <v>984</v>
      </c>
      <c r="L1076">
        <f t="shared" si="96"/>
        <v>32.057835365853656</v>
      </c>
      <c r="M1076">
        <v>82</v>
      </c>
      <c r="N1076" s="2">
        <f t="shared" si="101"/>
        <v>384.6940243902439</v>
      </c>
      <c r="O1076">
        <v>12</v>
      </c>
    </row>
    <row r="1077" spans="1:15" x14ac:dyDescent="0.25">
      <c r="A1077" t="s">
        <v>46</v>
      </c>
      <c r="B1077" t="s">
        <v>14</v>
      </c>
      <c r="C1077" t="s">
        <v>5</v>
      </c>
      <c r="D1077" t="str">
        <f t="shared" si="97"/>
        <v>FAB1_Leche Clasica Extra Deslactosada 1 L</v>
      </c>
      <c r="E1077">
        <v>2025</v>
      </c>
      <c r="F1077">
        <v>31</v>
      </c>
      <c r="G1077">
        <f t="shared" si="98"/>
        <v>7</v>
      </c>
      <c r="H1077" s="1">
        <f t="shared" si="99"/>
        <v>45866</v>
      </c>
      <c r="I1077" s="1">
        <f t="shared" si="100"/>
        <v>45839</v>
      </c>
      <c r="J1077">
        <v>28840.03</v>
      </c>
      <c r="K1077">
        <v>888</v>
      </c>
      <c r="L1077">
        <f t="shared" si="96"/>
        <v>32.477511261261263</v>
      </c>
      <c r="M1077">
        <v>74</v>
      </c>
      <c r="N1077" s="2">
        <f t="shared" si="101"/>
        <v>389.73013513513513</v>
      </c>
      <c r="O1077">
        <v>12</v>
      </c>
    </row>
    <row r="1078" spans="1:15" x14ac:dyDescent="0.25">
      <c r="A1078" t="s">
        <v>46</v>
      </c>
      <c r="B1078" t="s">
        <v>14</v>
      </c>
      <c r="C1078" t="s">
        <v>6</v>
      </c>
      <c r="D1078" t="str">
        <f t="shared" si="97"/>
        <v>FAB1_Leche Clasica Light 1 L</v>
      </c>
      <c r="E1078">
        <v>2022</v>
      </c>
      <c r="F1078">
        <v>1</v>
      </c>
      <c r="G1078">
        <f t="shared" si="98"/>
        <v>1</v>
      </c>
      <c r="H1078" s="1">
        <f t="shared" si="99"/>
        <v>44564</v>
      </c>
      <c r="I1078" s="1">
        <f t="shared" si="100"/>
        <v>44562</v>
      </c>
      <c r="J1078">
        <v>328508.18</v>
      </c>
      <c r="K1078">
        <v>16968</v>
      </c>
      <c r="L1078">
        <f t="shared" si="96"/>
        <v>19.360453795379538</v>
      </c>
      <c r="M1078">
        <v>1414</v>
      </c>
      <c r="N1078" s="2">
        <f t="shared" si="101"/>
        <v>232.32544554455444</v>
      </c>
      <c r="O1078">
        <v>12</v>
      </c>
    </row>
    <row r="1079" spans="1:15" x14ac:dyDescent="0.25">
      <c r="A1079" t="s">
        <v>46</v>
      </c>
      <c r="B1079" t="s">
        <v>14</v>
      </c>
      <c r="C1079" t="s">
        <v>6</v>
      </c>
      <c r="D1079" t="str">
        <f t="shared" si="97"/>
        <v>FAB1_Leche Clasica Light 1 L</v>
      </c>
      <c r="E1079">
        <v>2022</v>
      </c>
      <c r="F1079">
        <v>2</v>
      </c>
      <c r="G1079">
        <f t="shared" si="98"/>
        <v>1</v>
      </c>
      <c r="H1079" s="1">
        <f t="shared" si="99"/>
        <v>44571</v>
      </c>
      <c r="I1079" s="1">
        <f t="shared" si="100"/>
        <v>44562</v>
      </c>
      <c r="J1079">
        <v>257343.84000000003</v>
      </c>
      <c r="K1079">
        <v>13500</v>
      </c>
      <c r="L1079">
        <f t="shared" si="96"/>
        <v>19.062506666666668</v>
      </c>
      <c r="M1079">
        <v>1125</v>
      </c>
      <c r="N1079" s="2">
        <f t="shared" si="101"/>
        <v>228.75008000000003</v>
      </c>
      <c r="O1079">
        <v>12</v>
      </c>
    </row>
    <row r="1080" spans="1:15" x14ac:dyDescent="0.25">
      <c r="A1080" t="s">
        <v>46</v>
      </c>
      <c r="B1080" t="s">
        <v>14</v>
      </c>
      <c r="C1080" t="s">
        <v>6</v>
      </c>
      <c r="D1080" t="str">
        <f t="shared" si="97"/>
        <v>FAB1_Leche Clasica Light 1 L</v>
      </c>
      <c r="E1080">
        <v>2022</v>
      </c>
      <c r="F1080">
        <v>3</v>
      </c>
      <c r="G1080">
        <f t="shared" si="98"/>
        <v>1</v>
      </c>
      <c r="H1080" s="1">
        <f t="shared" si="99"/>
        <v>44578</v>
      </c>
      <c r="I1080" s="1">
        <f t="shared" si="100"/>
        <v>44562</v>
      </c>
      <c r="J1080">
        <v>289528.98</v>
      </c>
      <c r="K1080">
        <v>14988</v>
      </c>
      <c r="L1080">
        <f t="shared" si="96"/>
        <v>19.31738590872698</v>
      </c>
      <c r="M1080">
        <v>1249</v>
      </c>
      <c r="N1080" s="2">
        <f t="shared" si="101"/>
        <v>231.80863090472377</v>
      </c>
      <c r="O1080">
        <v>12</v>
      </c>
    </row>
    <row r="1081" spans="1:15" x14ac:dyDescent="0.25">
      <c r="A1081" t="s">
        <v>46</v>
      </c>
      <c r="B1081" t="s">
        <v>14</v>
      </c>
      <c r="C1081" t="s">
        <v>6</v>
      </c>
      <c r="D1081" t="str">
        <f t="shared" si="97"/>
        <v>FAB1_Leche Clasica Light 1 L</v>
      </c>
      <c r="E1081">
        <v>2022</v>
      </c>
      <c r="F1081">
        <v>4</v>
      </c>
      <c r="G1081">
        <f t="shared" si="98"/>
        <v>1</v>
      </c>
      <c r="H1081" s="1">
        <f t="shared" si="99"/>
        <v>44585</v>
      </c>
      <c r="I1081" s="1">
        <f t="shared" si="100"/>
        <v>44562</v>
      </c>
      <c r="J1081">
        <v>283534.95999999996</v>
      </c>
      <c r="K1081">
        <v>14544</v>
      </c>
      <c r="L1081">
        <f t="shared" si="96"/>
        <v>19.494977997799776</v>
      </c>
      <c r="M1081">
        <v>1212</v>
      </c>
      <c r="N1081" s="2">
        <f t="shared" si="101"/>
        <v>233.93973597359732</v>
      </c>
      <c r="O1081">
        <v>12</v>
      </c>
    </row>
    <row r="1082" spans="1:15" x14ac:dyDescent="0.25">
      <c r="A1082" t="s">
        <v>46</v>
      </c>
      <c r="B1082" t="s">
        <v>14</v>
      </c>
      <c r="C1082" t="s">
        <v>6</v>
      </c>
      <c r="D1082" t="str">
        <f t="shared" si="97"/>
        <v>FAB1_Leche Clasica Light 1 L</v>
      </c>
      <c r="E1082">
        <v>2022</v>
      </c>
      <c r="F1082">
        <v>5</v>
      </c>
      <c r="G1082">
        <f t="shared" si="98"/>
        <v>2</v>
      </c>
      <c r="H1082" s="1">
        <f t="shared" si="99"/>
        <v>44592</v>
      </c>
      <c r="I1082" s="1">
        <f t="shared" si="100"/>
        <v>44593</v>
      </c>
      <c r="J1082">
        <v>446440.78</v>
      </c>
      <c r="K1082">
        <v>23292</v>
      </c>
      <c r="L1082">
        <f t="shared" si="96"/>
        <v>19.167129486518977</v>
      </c>
      <c r="M1082">
        <v>1941</v>
      </c>
      <c r="N1082" s="2">
        <f t="shared" si="101"/>
        <v>230.00555383822774</v>
      </c>
      <c r="O1082">
        <v>12</v>
      </c>
    </row>
    <row r="1083" spans="1:15" x14ac:dyDescent="0.25">
      <c r="A1083" t="s">
        <v>46</v>
      </c>
      <c r="B1083" t="s">
        <v>14</v>
      </c>
      <c r="C1083" t="s">
        <v>6</v>
      </c>
      <c r="D1083" t="str">
        <f t="shared" si="97"/>
        <v>FAB1_Leche Clasica Light 1 L</v>
      </c>
      <c r="E1083">
        <v>2022</v>
      </c>
      <c r="F1083">
        <v>6</v>
      </c>
      <c r="G1083">
        <f t="shared" si="98"/>
        <v>2</v>
      </c>
      <c r="H1083" s="1">
        <f t="shared" si="99"/>
        <v>44599</v>
      </c>
      <c r="I1083" s="1">
        <f t="shared" si="100"/>
        <v>44593</v>
      </c>
      <c r="J1083">
        <v>573642.39999999991</v>
      </c>
      <c r="K1083">
        <v>31128</v>
      </c>
      <c r="L1083">
        <f t="shared" si="96"/>
        <v>18.428501670521715</v>
      </c>
      <c r="M1083">
        <v>2594</v>
      </c>
      <c r="N1083" s="2">
        <f t="shared" si="101"/>
        <v>221.14202004626057</v>
      </c>
      <c r="O1083">
        <v>12</v>
      </c>
    </row>
    <row r="1084" spans="1:15" x14ac:dyDescent="0.25">
      <c r="A1084" t="s">
        <v>46</v>
      </c>
      <c r="B1084" t="s">
        <v>14</v>
      </c>
      <c r="C1084" t="s">
        <v>6</v>
      </c>
      <c r="D1084" t="str">
        <f t="shared" si="97"/>
        <v>FAB1_Leche Clasica Light 1 L</v>
      </c>
      <c r="E1084">
        <v>2022</v>
      </c>
      <c r="F1084">
        <v>7</v>
      </c>
      <c r="G1084">
        <f t="shared" si="98"/>
        <v>2</v>
      </c>
      <c r="H1084" s="1">
        <f t="shared" si="99"/>
        <v>44606</v>
      </c>
      <c r="I1084" s="1">
        <f t="shared" si="100"/>
        <v>44593</v>
      </c>
      <c r="J1084">
        <v>955466.85000000009</v>
      </c>
      <c r="K1084">
        <v>51912</v>
      </c>
      <c r="L1084">
        <f t="shared" si="96"/>
        <v>18.405510286638929</v>
      </c>
      <c r="M1084">
        <v>4326</v>
      </c>
      <c r="N1084" s="2">
        <f t="shared" si="101"/>
        <v>220.86612343966715</v>
      </c>
      <c r="O1084">
        <v>12</v>
      </c>
    </row>
    <row r="1085" spans="1:15" x14ac:dyDescent="0.25">
      <c r="A1085" t="s">
        <v>46</v>
      </c>
      <c r="B1085" t="s">
        <v>14</v>
      </c>
      <c r="C1085" t="s">
        <v>6</v>
      </c>
      <c r="D1085" t="str">
        <f t="shared" si="97"/>
        <v>FAB1_Leche Clasica Light 1 L</v>
      </c>
      <c r="E1085">
        <v>2022</v>
      </c>
      <c r="F1085">
        <v>8</v>
      </c>
      <c r="G1085">
        <f t="shared" si="98"/>
        <v>2</v>
      </c>
      <c r="H1085" s="1">
        <f t="shared" si="99"/>
        <v>44613</v>
      </c>
      <c r="I1085" s="1">
        <f t="shared" si="100"/>
        <v>44593</v>
      </c>
      <c r="J1085">
        <v>347646.16000000003</v>
      </c>
      <c r="K1085">
        <v>18180</v>
      </c>
      <c r="L1085">
        <f t="shared" si="96"/>
        <v>19.122451045104512</v>
      </c>
      <c r="M1085">
        <v>1515</v>
      </c>
      <c r="N1085" s="2">
        <f t="shared" si="101"/>
        <v>229.46941254125414</v>
      </c>
      <c r="O1085">
        <v>12</v>
      </c>
    </row>
    <row r="1086" spans="1:15" x14ac:dyDescent="0.25">
      <c r="A1086" t="s">
        <v>46</v>
      </c>
      <c r="B1086" t="s">
        <v>14</v>
      </c>
      <c r="C1086" t="s">
        <v>6</v>
      </c>
      <c r="D1086" t="str">
        <f t="shared" si="97"/>
        <v>FAB1_Leche Clasica Light 1 L</v>
      </c>
      <c r="E1086">
        <v>2022</v>
      </c>
      <c r="F1086">
        <v>9</v>
      </c>
      <c r="G1086">
        <f t="shared" si="98"/>
        <v>3</v>
      </c>
      <c r="H1086" s="1">
        <f t="shared" si="99"/>
        <v>44620</v>
      </c>
      <c r="I1086" s="1">
        <f t="shared" si="100"/>
        <v>44621</v>
      </c>
      <c r="J1086">
        <v>435883.58000000013</v>
      </c>
      <c r="K1086">
        <v>22488</v>
      </c>
      <c r="L1086">
        <f t="shared" si="96"/>
        <v>19.38294112415511</v>
      </c>
      <c r="M1086">
        <v>1874</v>
      </c>
      <c r="N1086" s="2">
        <f t="shared" si="101"/>
        <v>232.59529348986132</v>
      </c>
      <c r="O1086">
        <v>12</v>
      </c>
    </row>
    <row r="1087" spans="1:15" x14ac:dyDescent="0.25">
      <c r="A1087" t="s">
        <v>46</v>
      </c>
      <c r="B1087" t="s">
        <v>14</v>
      </c>
      <c r="C1087" t="s">
        <v>6</v>
      </c>
      <c r="D1087" t="str">
        <f t="shared" si="97"/>
        <v>FAB1_Leche Clasica Light 1 L</v>
      </c>
      <c r="E1087">
        <v>2022</v>
      </c>
      <c r="F1087">
        <v>10</v>
      </c>
      <c r="G1087">
        <f t="shared" si="98"/>
        <v>3</v>
      </c>
      <c r="H1087" s="1">
        <f t="shared" si="99"/>
        <v>44627</v>
      </c>
      <c r="I1087" s="1">
        <f t="shared" si="100"/>
        <v>44621</v>
      </c>
      <c r="J1087">
        <v>322590.14000000007</v>
      </c>
      <c r="K1087">
        <v>16536</v>
      </c>
      <c r="L1087">
        <f t="shared" si="96"/>
        <v>19.508353894533144</v>
      </c>
      <c r="M1087">
        <v>1378</v>
      </c>
      <c r="N1087" s="2">
        <f t="shared" si="101"/>
        <v>234.10024673439773</v>
      </c>
      <c r="O1087">
        <v>12</v>
      </c>
    </row>
    <row r="1088" spans="1:15" x14ac:dyDescent="0.25">
      <c r="A1088" t="s">
        <v>46</v>
      </c>
      <c r="B1088" t="s">
        <v>14</v>
      </c>
      <c r="C1088" t="s">
        <v>6</v>
      </c>
      <c r="D1088" t="str">
        <f t="shared" si="97"/>
        <v>FAB1_Leche Clasica Light 1 L</v>
      </c>
      <c r="E1088">
        <v>2022</v>
      </c>
      <c r="F1088">
        <v>11</v>
      </c>
      <c r="G1088">
        <f t="shared" si="98"/>
        <v>3</v>
      </c>
      <c r="H1088" s="1">
        <f t="shared" si="99"/>
        <v>44634</v>
      </c>
      <c r="I1088" s="1">
        <f t="shared" si="100"/>
        <v>44621</v>
      </c>
      <c r="J1088">
        <v>329476.82000000007</v>
      </c>
      <c r="K1088">
        <v>16884</v>
      </c>
      <c r="L1088">
        <f t="shared" si="96"/>
        <v>19.51414475242834</v>
      </c>
      <c r="M1088">
        <v>1407</v>
      </c>
      <c r="N1088" s="2">
        <f t="shared" si="101"/>
        <v>234.16973702914007</v>
      </c>
      <c r="O1088">
        <v>12</v>
      </c>
    </row>
    <row r="1089" spans="1:15" x14ac:dyDescent="0.25">
      <c r="A1089" t="s">
        <v>46</v>
      </c>
      <c r="B1089" t="s">
        <v>14</v>
      </c>
      <c r="C1089" t="s">
        <v>6</v>
      </c>
      <c r="D1089" t="str">
        <f t="shared" si="97"/>
        <v>FAB1_Leche Clasica Light 1 L</v>
      </c>
      <c r="E1089">
        <v>2022</v>
      </c>
      <c r="F1089">
        <v>12</v>
      </c>
      <c r="G1089">
        <f t="shared" si="98"/>
        <v>3</v>
      </c>
      <c r="H1089" s="1">
        <f t="shared" si="99"/>
        <v>44641</v>
      </c>
      <c r="I1089" s="1">
        <f t="shared" si="100"/>
        <v>44621</v>
      </c>
      <c r="J1089">
        <v>328253.2800000002</v>
      </c>
      <c r="K1089">
        <v>17016</v>
      </c>
      <c r="L1089">
        <f t="shared" si="96"/>
        <v>19.290860366713694</v>
      </c>
      <c r="M1089">
        <v>1418</v>
      </c>
      <c r="N1089" s="2">
        <f t="shared" si="101"/>
        <v>231.4903244005643</v>
      </c>
      <c r="O1089">
        <v>12</v>
      </c>
    </row>
    <row r="1090" spans="1:15" x14ac:dyDescent="0.25">
      <c r="A1090" t="s">
        <v>46</v>
      </c>
      <c r="B1090" t="s">
        <v>14</v>
      </c>
      <c r="C1090" t="s">
        <v>6</v>
      </c>
      <c r="D1090" t="str">
        <f t="shared" si="97"/>
        <v>FAB1_Leche Clasica Light 1 L</v>
      </c>
      <c r="E1090">
        <v>2022</v>
      </c>
      <c r="F1090">
        <v>13</v>
      </c>
      <c r="G1090">
        <f t="shared" si="98"/>
        <v>3</v>
      </c>
      <c r="H1090" s="1">
        <f t="shared" si="99"/>
        <v>44648</v>
      </c>
      <c r="I1090" s="1">
        <f t="shared" si="100"/>
        <v>44621</v>
      </c>
      <c r="J1090">
        <v>371085.76000000018</v>
      </c>
      <c r="K1090">
        <v>19344</v>
      </c>
      <c r="L1090">
        <f t="shared" ref="L1090:L1153" si="102">J1090/K1090</f>
        <v>19.183507030603813</v>
      </c>
      <c r="M1090">
        <v>1612</v>
      </c>
      <c r="N1090" s="2">
        <f t="shared" si="101"/>
        <v>230.20208436724576</v>
      </c>
      <c r="O1090">
        <v>12</v>
      </c>
    </row>
    <row r="1091" spans="1:15" x14ac:dyDescent="0.25">
      <c r="A1091" t="s">
        <v>46</v>
      </c>
      <c r="B1091" t="s">
        <v>14</v>
      </c>
      <c r="C1091" t="s">
        <v>6</v>
      </c>
      <c r="D1091" t="str">
        <f t="shared" ref="D1091:D1154" si="103">B1091&amp;"_"&amp;C1091</f>
        <v>FAB1_Leche Clasica Light 1 L</v>
      </c>
      <c r="E1091">
        <v>2022</v>
      </c>
      <c r="F1091">
        <v>14</v>
      </c>
      <c r="G1091">
        <f t="shared" ref="G1091:G1154" si="104">MONTH(DATE(E1091,1,4)+(F1091-1)*7-WEEKDAY(DATE(E1091,1,4),2)+4)</f>
        <v>4</v>
      </c>
      <c r="H1091" s="1">
        <f t="shared" ref="H1091:H1154" si="105">DATE(E1091,1,-2)-WEEKDAY(DATE(E1091,1,3))+F1091*7</f>
        <v>44655</v>
      </c>
      <c r="I1091" s="1">
        <f t="shared" ref="I1091:I1154" si="106">DATE(E1091,G1091,1)</f>
        <v>44652</v>
      </c>
      <c r="J1091">
        <v>351053.50000000006</v>
      </c>
      <c r="K1091">
        <v>18072</v>
      </c>
      <c r="L1091">
        <f t="shared" si="102"/>
        <v>19.42527113767154</v>
      </c>
      <c r="M1091">
        <v>1506</v>
      </c>
      <c r="N1091" s="2">
        <f t="shared" ref="N1091:N1154" si="107">J1091/M1091</f>
        <v>233.10325365205847</v>
      </c>
      <c r="O1091">
        <v>12</v>
      </c>
    </row>
    <row r="1092" spans="1:15" x14ac:dyDescent="0.25">
      <c r="A1092" t="s">
        <v>46</v>
      </c>
      <c r="B1092" t="s">
        <v>14</v>
      </c>
      <c r="C1092" t="s">
        <v>6</v>
      </c>
      <c r="D1092" t="str">
        <f t="shared" si="103"/>
        <v>FAB1_Leche Clasica Light 1 L</v>
      </c>
      <c r="E1092">
        <v>2022</v>
      </c>
      <c r="F1092">
        <v>15</v>
      </c>
      <c r="G1092">
        <f t="shared" si="104"/>
        <v>4</v>
      </c>
      <c r="H1092" s="1">
        <f t="shared" si="105"/>
        <v>44662</v>
      </c>
      <c r="I1092" s="1">
        <f t="shared" si="106"/>
        <v>44652</v>
      </c>
      <c r="J1092">
        <v>293696.8600000001</v>
      </c>
      <c r="K1092">
        <v>15336</v>
      </c>
      <c r="L1092">
        <f t="shared" si="102"/>
        <v>19.150812467396982</v>
      </c>
      <c r="M1092">
        <v>1278</v>
      </c>
      <c r="N1092" s="2">
        <f t="shared" si="107"/>
        <v>229.80974960876378</v>
      </c>
      <c r="O1092">
        <v>12</v>
      </c>
    </row>
    <row r="1093" spans="1:15" x14ac:dyDescent="0.25">
      <c r="A1093" t="s">
        <v>46</v>
      </c>
      <c r="B1093" t="s">
        <v>14</v>
      </c>
      <c r="C1093" t="s">
        <v>6</v>
      </c>
      <c r="D1093" t="str">
        <f t="shared" si="103"/>
        <v>FAB1_Leche Clasica Light 1 L</v>
      </c>
      <c r="E1093">
        <v>2022</v>
      </c>
      <c r="F1093">
        <v>16</v>
      </c>
      <c r="G1093">
        <f t="shared" si="104"/>
        <v>4</v>
      </c>
      <c r="H1093" s="1">
        <f t="shared" si="105"/>
        <v>44669</v>
      </c>
      <c r="I1093" s="1">
        <f t="shared" si="106"/>
        <v>44652</v>
      </c>
      <c r="J1093">
        <v>331328.77000000019</v>
      </c>
      <c r="K1093">
        <v>17328</v>
      </c>
      <c r="L1093">
        <f t="shared" si="102"/>
        <v>19.121004732225312</v>
      </c>
      <c r="M1093">
        <v>1444</v>
      </c>
      <c r="N1093" s="2">
        <f t="shared" si="107"/>
        <v>229.45205678670374</v>
      </c>
      <c r="O1093">
        <v>12</v>
      </c>
    </row>
    <row r="1094" spans="1:15" x14ac:dyDescent="0.25">
      <c r="A1094" t="s">
        <v>46</v>
      </c>
      <c r="B1094" t="s">
        <v>14</v>
      </c>
      <c r="C1094" t="s">
        <v>6</v>
      </c>
      <c r="D1094" t="str">
        <f t="shared" si="103"/>
        <v>FAB1_Leche Clasica Light 1 L</v>
      </c>
      <c r="E1094">
        <v>2022</v>
      </c>
      <c r="F1094">
        <v>17</v>
      </c>
      <c r="G1094">
        <f t="shared" si="104"/>
        <v>4</v>
      </c>
      <c r="H1094" s="1">
        <f t="shared" si="105"/>
        <v>44676</v>
      </c>
      <c r="I1094" s="1">
        <f t="shared" si="106"/>
        <v>44652</v>
      </c>
      <c r="J1094">
        <v>367899.30000000022</v>
      </c>
      <c r="K1094">
        <v>19392</v>
      </c>
      <c r="L1094">
        <f t="shared" si="102"/>
        <v>18.971704826732683</v>
      </c>
      <c r="M1094">
        <v>1616</v>
      </c>
      <c r="N1094" s="2">
        <f t="shared" si="107"/>
        <v>227.66045792079223</v>
      </c>
      <c r="O1094">
        <v>12</v>
      </c>
    </row>
    <row r="1095" spans="1:15" x14ac:dyDescent="0.25">
      <c r="A1095" t="s">
        <v>46</v>
      </c>
      <c r="B1095" t="s">
        <v>14</v>
      </c>
      <c r="C1095" t="s">
        <v>6</v>
      </c>
      <c r="D1095" t="str">
        <f t="shared" si="103"/>
        <v>FAB1_Leche Clasica Light 1 L</v>
      </c>
      <c r="E1095">
        <v>2022</v>
      </c>
      <c r="F1095">
        <v>18</v>
      </c>
      <c r="G1095">
        <f t="shared" si="104"/>
        <v>5</v>
      </c>
      <c r="H1095" s="1">
        <f t="shared" si="105"/>
        <v>44683</v>
      </c>
      <c r="I1095" s="1">
        <f t="shared" si="106"/>
        <v>44682</v>
      </c>
      <c r="J1095">
        <v>392613.57000000012</v>
      </c>
      <c r="K1095">
        <v>20220</v>
      </c>
      <c r="L1095">
        <f t="shared" si="102"/>
        <v>19.417090504451046</v>
      </c>
      <c r="M1095">
        <v>1685</v>
      </c>
      <c r="N1095" s="2">
        <f t="shared" si="107"/>
        <v>233.00508605341253</v>
      </c>
      <c r="O1095">
        <v>12</v>
      </c>
    </row>
    <row r="1096" spans="1:15" x14ac:dyDescent="0.25">
      <c r="A1096" t="s">
        <v>46</v>
      </c>
      <c r="B1096" t="s">
        <v>14</v>
      </c>
      <c r="C1096" t="s">
        <v>6</v>
      </c>
      <c r="D1096" t="str">
        <f t="shared" si="103"/>
        <v>FAB1_Leche Clasica Light 1 L</v>
      </c>
      <c r="E1096">
        <v>2022</v>
      </c>
      <c r="F1096">
        <v>19</v>
      </c>
      <c r="G1096">
        <f t="shared" si="104"/>
        <v>5</v>
      </c>
      <c r="H1096" s="1">
        <f t="shared" si="105"/>
        <v>44690</v>
      </c>
      <c r="I1096" s="1">
        <f t="shared" si="106"/>
        <v>44682</v>
      </c>
      <c r="J1096">
        <v>314096.2100000002</v>
      </c>
      <c r="K1096">
        <v>16260</v>
      </c>
      <c r="L1096">
        <f t="shared" si="102"/>
        <v>19.317110086100872</v>
      </c>
      <c r="M1096">
        <v>1355</v>
      </c>
      <c r="N1096" s="2">
        <f t="shared" si="107"/>
        <v>231.80532103321048</v>
      </c>
      <c r="O1096">
        <v>12</v>
      </c>
    </row>
    <row r="1097" spans="1:15" x14ac:dyDescent="0.25">
      <c r="A1097" t="s">
        <v>46</v>
      </c>
      <c r="B1097" t="s">
        <v>14</v>
      </c>
      <c r="C1097" t="s">
        <v>6</v>
      </c>
      <c r="D1097" t="str">
        <f t="shared" si="103"/>
        <v>FAB1_Leche Clasica Light 1 L</v>
      </c>
      <c r="E1097">
        <v>2022</v>
      </c>
      <c r="F1097">
        <v>20</v>
      </c>
      <c r="G1097">
        <f t="shared" si="104"/>
        <v>5</v>
      </c>
      <c r="H1097" s="1">
        <f t="shared" si="105"/>
        <v>44697</v>
      </c>
      <c r="I1097" s="1">
        <f t="shared" si="106"/>
        <v>44682</v>
      </c>
      <c r="J1097">
        <v>364932.4000000002</v>
      </c>
      <c r="K1097">
        <v>19188</v>
      </c>
      <c r="L1097">
        <f t="shared" si="102"/>
        <v>19.018782572441118</v>
      </c>
      <c r="M1097">
        <v>1599</v>
      </c>
      <c r="N1097" s="2">
        <f t="shared" si="107"/>
        <v>228.22539086929342</v>
      </c>
      <c r="O1097">
        <v>12</v>
      </c>
    </row>
    <row r="1098" spans="1:15" x14ac:dyDescent="0.25">
      <c r="A1098" t="s">
        <v>46</v>
      </c>
      <c r="B1098" t="s">
        <v>14</v>
      </c>
      <c r="C1098" t="s">
        <v>6</v>
      </c>
      <c r="D1098" t="str">
        <f t="shared" si="103"/>
        <v>FAB1_Leche Clasica Light 1 L</v>
      </c>
      <c r="E1098">
        <v>2022</v>
      </c>
      <c r="F1098">
        <v>21</v>
      </c>
      <c r="G1098">
        <f t="shared" si="104"/>
        <v>5</v>
      </c>
      <c r="H1098" s="1">
        <f t="shared" si="105"/>
        <v>44704</v>
      </c>
      <c r="I1098" s="1">
        <f t="shared" si="106"/>
        <v>44682</v>
      </c>
      <c r="J1098">
        <v>328770.37000000017</v>
      </c>
      <c r="K1098">
        <v>17616</v>
      </c>
      <c r="L1098">
        <f t="shared" si="102"/>
        <v>18.663168142597648</v>
      </c>
      <c r="M1098">
        <v>1468</v>
      </c>
      <c r="N1098" s="2">
        <f t="shared" si="107"/>
        <v>223.95801771117178</v>
      </c>
      <c r="O1098">
        <v>12</v>
      </c>
    </row>
    <row r="1099" spans="1:15" x14ac:dyDescent="0.25">
      <c r="A1099" t="s">
        <v>46</v>
      </c>
      <c r="B1099" t="s">
        <v>14</v>
      </c>
      <c r="C1099" t="s">
        <v>6</v>
      </c>
      <c r="D1099" t="str">
        <f t="shared" si="103"/>
        <v>FAB1_Leche Clasica Light 1 L</v>
      </c>
      <c r="E1099">
        <v>2022</v>
      </c>
      <c r="F1099">
        <v>22</v>
      </c>
      <c r="G1099">
        <f t="shared" si="104"/>
        <v>6</v>
      </c>
      <c r="H1099" s="1">
        <f t="shared" si="105"/>
        <v>44711</v>
      </c>
      <c r="I1099" s="1">
        <f t="shared" si="106"/>
        <v>44713</v>
      </c>
      <c r="J1099">
        <v>408691.18000000017</v>
      </c>
      <c r="K1099">
        <v>21840</v>
      </c>
      <c r="L1099">
        <f t="shared" si="102"/>
        <v>18.712966117216126</v>
      </c>
      <c r="M1099">
        <v>1820</v>
      </c>
      <c r="N1099" s="2">
        <f t="shared" si="107"/>
        <v>224.55559340659349</v>
      </c>
      <c r="O1099">
        <v>12</v>
      </c>
    </row>
    <row r="1100" spans="1:15" x14ac:dyDescent="0.25">
      <c r="A1100" t="s">
        <v>46</v>
      </c>
      <c r="B1100" t="s">
        <v>14</v>
      </c>
      <c r="C1100" t="s">
        <v>6</v>
      </c>
      <c r="D1100" t="str">
        <f t="shared" si="103"/>
        <v>FAB1_Leche Clasica Light 1 L</v>
      </c>
      <c r="E1100">
        <v>2022</v>
      </c>
      <c r="F1100">
        <v>23</v>
      </c>
      <c r="G1100">
        <f t="shared" si="104"/>
        <v>6</v>
      </c>
      <c r="H1100" s="1">
        <f t="shared" si="105"/>
        <v>44718</v>
      </c>
      <c r="I1100" s="1">
        <f t="shared" si="106"/>
        <v>44713</v>
      </c>
      <c r="J1100">
        <v>325570.46000000008</v>
      </c>
      <c r="K1100">
        <v>17064</v>
      </c>
      <c r="L1100">
        <f t="shared" si="102"/>
        <v>19.079375293014539</v>
      </c>
      <c r="M1100">
        <v>1422</v>
      </c>
      <c r="N1100" s="2">
        <f t="shared" si="107"/>
        <v>228.95250351617446</v>
      </c>
      <c r="O1100">
        <v>12</v>
      </c>
    </row>
    <row r="1101" spans="1:15" x14ac:dyDescent="0.25">
      <c r="A1101" t="s">
        <v>46</v>
      </c>
      <c r="B1101" t="s">
        <v>14</v>
      </c>
      <c r="C1101" t="s">
        <v>6</v>
      </c>
      <c r="D1101" t="str">
        <f t="shared" si="103"/>
        <v>FAB1_Leche Clasica Light 1 L</v>
      </c>
      <c r="E1101">
        <v>2022</v>
      </c>
      <c r="F1101">
        <v>24</v>
      </c>
      <c r="G1101">
        <f t="shared" si="104"/>
        <v>6</v>
      </c>
      <c r="H1101" s="1">
        <f t="shared" si="105"/>
        <v>44725</v>
      </c>
      <c r="I1101" s="1">
        <f t="shared" si="106"/>
        <v>44713</v>
      </c>
      <c r="J1101">
        <v>318488.20000000013</v>
      </c>
      <c r="K1101">
        <v>16536</v>
      </c>
      <c r="L1101">
        <f t="shared" si="102"/>
        <v>19.260292694726665</v>
      </c>
      <c r="M1101">
        <v>1378</v>
      </c>
      <c r="N1101" s="2">
        <f t="shared" si="107"/>
        <v>231.12351233671998</v>
      </c>
      <c r="O1101">
        <v>12</v>
      </c>
    </row>
    <row r="1102" spans="1:15" x14ac:dyDescent="0.25">
      <c r="A1102" t="s">
        <v>46</v>
      </c>
      <c r="B1102" t="s">
        <v>14</v>
      </c>
      <c r="C1102" t="s">
        <v>6</v>
      </c>
      <c r="D1102" t="str">
        <f t="shared" si="103"/>
        <v>FAB1_Leche Clasica Light 1 L</v>
      </c>
      <c r="E1102">
        <v>2022</v>
      </c>
      <c r="F1102">
        <v>25</v>
      </c>
      <c r="G1102">
        <f t="shared" si="104"/>
        <v>6</v>
      </c>
      <c r="H1102" s="1">
        <f t="shared" si="105"/>
        <v>44732</v>
      </c>
      <c r="I1102" s="1">
        <f t="shared" si="106"/>
        <v>44713</v>
      </c>
      <c r="J1102">
        <v>328690.68000000011</v>
      </c>
      <c r="K1102">
        <v>17808</v>
      </c>
      <c r="L1102">
        <f t="shared" si="102"/>
        <v>18.457473045822109</v>
      </c>
      <c r="M1102">
        <v>1484</v>
      </c>
      <c r="N1102" s="2">
        <f t="shared" si="107"/>
        <v>221.48967654986529</v>
      </c>
      <c r="O1102">
        <v>12</v>
      </c>
    </row>
    <row r="1103" spans="1:15" x14ac:dyDescent="0.25">
      <c r="A1103" t="s">
        <v>46</v>
      </c>
      <c r="B1103" t="s">
        <v>14</v>
      </c>
      <c r="C1103" t="s">
        <v>6</v>
      </c>
      <c r="D1103" t="str">
        <f t="shared" si="103"/>
        <v>FAB1_Leche Clasica Light 1 L</v>
      </c>
      <c r="E1103">
        <v>2022</v>
      </c>
      <c r="F1103">
        <v>26</v>
      </c>
      <c r="G1103">
        <f t="shared" si="104"/>
        <v>6</v>
      </c>
      <c r="H1103" s="1">
        <f t="shared" si="105"/>
        <v>44739</v>
      </c>
      <c r="I1103" s="1">
        <f t="shared" si="106"/>
        <v>44713</v>
      </c>
      <c r="J1103">
        <v>335020.22000000009</v>
      </c>
      <c r="K1103">
        <v>18216</v>
      </c>
      <c r="L1103">
        <f t="shared" si="102"/>
        <v>18.391536012296886</v>
      </c>
      <c r="M1103">
        <v>1518</v>
      </c>
      <c r="N1103" s="2">
        <f t="shared" si="107"/>
        <v>220.69843214756264</v>
      </c>
      <c r="O1103">
        <v>12</v>
      </c>
    </row>
    <row r="1104" spans="1:15" x14ac:dyDescent="0.25">
      <c r="A1104" t="s">
        <v>46</v>
      </c>
      <c r="B1104" t="s">
        <v>14</v>
      </c>
      <c r="C1104" t="s">
        <v>6</v>
      </c>
      <c r="D1104" t="str">
        <f t="shared" si="103"/>
        <v>FAB1_Leche Clasica Light 1 L</v>
      </c>
      <c r="E1104">
        <v>2022</v>
      </c>
      <c r="F1104">
        <v>27</v>
      </c>
      <c r="G1104">
        <f t="shared" si="104"/>
        <v>7</v>
      </c>
      <c r="H1104" s="1">
        <f t="shared" si="105"/>
        <v>44746</v>
      </c>
      <c r="I1104" s="1">
        <f t="shared" si="106"/>
        <v>44743</v>
      </c>
      <c r="J1104">
        <v>391077.00000000012</v>
      </c>
      <c r="K1104">
        <v>20916</v>
      </c>
      <c r="L1104">
        <f t="shared" si="102"/>
        <v>18.697504302925996</v>
      </c>
      <c r="M1104">
        <v>1743</v>
      </c>
      <c r="N1104" s="2">
        <f t="shared" si="107"/>
        <v>224.37005163511193</v>
      </c>
      <c r="O1104">
        <v>12</v>
      </c>
    </row>
    <row r="1105" spans="1:15" x14ac:dyDescent="0.25">
      <c r="A1105" t="s">
        <v>46</v>
      </c>
      <c r="B1105" t="s">
        <v>14</v>
      </c>
      <c r="C1105" t="s">
        <v>6</v>
      </c>
      <c r="D1105" t="str">
        <f t="shared" si="103"/>
        <v>FAB1_Leche Clasica Light 1 L</v>
      </c>
      <c r="E1105">
        <v>2022</v>
      </c>
      <c r="F1105">
        <v>28</v>
      </c>
      <c r="G1105">
        <f t="shared" si="104"/>
        <v>7</v>
      </c>
      <c r="H1105" s="1">
        <f t="shared" si="105"/>
        <v>44753</v>
      </c>
      <c r="I1105" s="1">
        <f t="shared" si="106"/>
        <v>44743</v>
      </c>
      <c r="J1105">
        <v>304310.94</v>
      </c>
      <c r="K1105">
        <v>16344</v>
      </c>
      <c r="L1105">
        <f t="shared" si="102"/>
        <v>18.619122613803231</v>
      </c>
      <c r="M1105">
        <v>1362</v>
      </c>
      <c r="N1105" s="2">
        <f t="shared" si="107"/>
        <v>223.42947136563876</v>
      </c>
      <c r="O1105">
        <v>12</v>
      </c>
    </row>
    <row r="1106" spans="1:15" x14ac:dyDescent="0.25">
      <c r="A1106" t="s">
        <v>46</v>
      </c>
      <c r="B1106" t="s">
        <v>14</v>
      </c>
      <c r="C1106" t="s">
        <v>6</v>
      </c>
      <c r="D1106" t="str">
        <f t="shared" si="103"/>
        <v>FAB1_Leche Clasica Light 1 L</v>
      </c>
      <c r="E1106">
        <v>2022</v>
      </c>
      <c r="F1106">
        <v>29</v>
      </c>
      <c r="G1106">
        <f t="shared" si="104"/>
        <v>7</v>
      </c>
      <c r="H1106" s="1">
        <f t="shared" si="105"/>
        <v>44760</v>
      </c>
      <c r="I1106" s="1">
        <f t="shared" si="106"/>
        <v>44743</v>
      </c>
      <c r="J1106">
        <v>343800.88000000012</v>
      </c>
      <c r="K1106">
        <v>17724</v>
      </c>
      <c r="L1106">
        <f t="shared" si="102"/>
        <v>19.397476867524269</v>
      </c>
      <c r="M1106">
        <v>1477</v>
      </c>
      <c r="N1106" s="2">
        <f t="shared" si="107"/>
        <v>232.76972241029122</v>
      </c>
      <c r="O1106">
        <v>12</v>
      </c>
    </row>
    <row r="1107" spans="1:15" x14ac:dyDescent="0.25">
      <c r="A1107" t="s">
        <v>46</v>
      </c>
      <c r="B1107" t="s">
        <v>14</v>
      </c>
      <c r="C1107" t="s">
        <v>6</v>
      </c>
      <c r="D1107" t="str">
        <f t="shared" si="103"/>
        <v>FAB1_Leche Clasica Light 1 L</v>
      </c>
      <c r="E1107">
        <v>2022</v>
      </c>
      <c r="F1107">
        <v>30</v>
      </c>
      <c r="G1107">
        <f t="shared" si="104"/>
        <v>7</v>
      </c>
      <c r="H1107" s="1">
        <f t="shared" si="105"/>
        <v>44767</v>
      </c>
      <c r="I1107" s="1">
        <f t="shared" si="106"/>
        <v>44743</v>
      </c>
      <c r="J1107">
        <v>294622.06</v>
      </c>
      <c r="K1107">
        <v>15132</v>
      </c>
      <c r="L1107">
        <f t="shared" si="102"/>
        <v>19.470133491937617</v>
      </c>
      <c r="M1107">
        <v>1261</v>
      </c>
      <c r="N1107" s="2">
        <f t="shared" si="107"/>
        <v>233.6416019032514</v>
      </c>
      <c r="O1107">
        <v>12</v>
      </c>
    </row>
    <row r="1108" spans="1:15" x14ac:dyDescent="0.25">
      <c r="A1108" t="s">
        <v>46</v>
      </c>
      <c r="B1108" t="s">
        <v>14</v>
      </c>
      <c r="C1108" t="s">
        <v>6</v>
      </c>
      <c r="D1108" t="str">
        <f t="shared" si="103"/>
        <v>FAB1_Leche Clasica Light 1 L</v>
      </c>
      <c r="E1108">
        <v>2022</v>
      </c>
      <c r="F1108">
        <v>31</v>
      </c>
      <c r="G1108">
        <f t="shared" si="104"/>
        <v>8</v>
      </c>
      <c r="H1108" s="1">
        <f t="shared" si="105"/>
        <v>44774</v>
      </c>
      <c r="I1108" s="1">
        <f t="shared" si="106"/>
        <v>44774</v>
      </c>
      <c r="J1108">
        <v>382211.49000000011</v>
      </c>
      <c r="K1108">
        <v>19620</v>
      </c>
      <c r="L1108">
        <f t="shared" si="102"/>
        <v>19.480707951070343</v>
      </c>
      <c r="M1108">
        <v>1635</v>
      </c>
      <c r="N1108" s="2">
        <f t="shared" si="107"/>
        <v>233.76849541284409</v>
      </c>
      <c r="O1108">
        <v>12</v>
      </c>
    </row>
    <row r="1109" spans="1:15" x14ac:dyDescent="0.25">
      <c r="A1109" t="s">
        <v>46</v>
      </c>
      <c r="B1109" t="s">
        <v>14</v>
      </c>
      <c r="C1109" t="s">
        <v>6</v>
      </c>
      <c r="D1109" t="str">
        <f t="shared" si="103"/>
        <v>FAB1_Leche Clasica Light 1 L</v>
      </c>
      <c r="E1109">
        <v>2022</v>
      </c>
      <c r="F1109">
        <v>32</v>
      </c>
      <c r="G1109">
        <f t="shared" si="104"/>
        <v>8</v>
      </c>
      <c r="H1109" s="1">
        <f t="shared" si="105"/>
        <v>44781</v>
      </c>
      <c r="I1109" s="1">
        <f t="shared" si="106"/>
        <v>44774</v>
      </c>
      <c r="J1109">
        <v>366770.00000000012</v>
      </c>
      <c r="K1109">
        <v>19236</v>
      </c>
      <c r="L1109">
        <f t="shared" si="102"/>
        <v>19.066853815762119</v>
      </c>
      <c r="M1109">
        <v>1603</v>
      </c>
      <c r="N1109" s="2">
        <f t="shared" si="107"/>
        <v>228.80224578914542</v>
      </c>
      <c r="O1109">
        <v>12</v>
      </c>
    </row>
    <row r="1110" spans="1:15" x14ac:dyDescent="0.25">
      <c r="A1110" t="s">
        <v>46</v>
      </c>
      <c r="B1110" t="s">
        <v>14</v>
      </c>
      <c r="C1110" t="s">
        <v>6</v>
      </c>
      <c r="D1110" t="str">
        <f t="shared" si="103"/>
        <v>FAB1_Leche Clasica Light 1 L</v>
      </c>
      <c r="E1110">
        <v>2022</v>
      </c>
      <c r="F1110">
        <v>33</v>
      </c>
      <c r="G1110">
        <f t="shared" si="104"/>
        <v>8</v>
      </c>
      <c r="H1110" s="1">
        <f t="shared" si="105"/>
        <v>44788</v>
      </c>
      <c r="I1110" s="1">
        <f t="shared" si="106"/>
        <v>44774</v>
      </c>
      <c r="J1110">
        <v>526621.28999999992</v>
      </c>
      <c r="K1110">
        <v>29304</v>
      </c>
      <c r="L1110">
        <f t="shared" si="102"/>
        <v>17.970969492219488</v>
      </c>
      <c r="M1110">
        <v>2442</v>
      </c>
      <c r="N1110" s="2">
        <f t="shared" si="107"/>
        <v>215.65163390663386</v>
      </c>
      <c r="O1110">
        <v>12</v>
      </c>
    </row>
    <row r="1111" spans="1:15" x14ac:dyDescent="0.25">
      <c r="A1111" t="s">
        <v>46</v>
      </c>
      <c r="B1111" t="s">
        <v>14</v>
      </c>
      <c r="C1111" t="s">
        <v>6</v>
      </c>
      <c r="D1111" t="str">
        <f t="shared" si="103"/>
        <v>FAB1_Leche Clasica Light 1 L</v>
      </c>
      <c r="E1111">
        <v>2022</v>
      </c>
      <c r="F1111">
        <v>34</v>
      </c>
      <c r="G1111">
        <f t="shared" si="104"/>
        <v>8</v>
      </c>
      <c r="H1111" s="1">
        <f t="shared" si="105"/>
        <v>44795</v>
      </c>
      <c r="I1111" s="1">
        <f t="shared" si="106"/>
        <v>44774</v>
      </c>
      <c r="J1111">
        <v>307838.74000000011</v>
      </c>
      <c r="K1111">
        <v>15624</v>
      </c>
      <c r="L1111">
        <f t="shared" si="102"/>
        <v>19.702940348182292</v>
      </c>
      <c r="M1111">
        <v>1302</v>
      </c>
      <c r="N1111" s="2">
        <f t="shared" si="107"/>
        <v>236.43528417818749</v>
      </c>
      <c r="O1111">
        <v>12</v>
      </c>
    </row>
    <row r="1112" spans="1:15" x14ac:dyDescent="0.25">
      <c r="A1112" t="s">
        <v>46</v>
      </c>
      <c r="B1112" t="s">
        <v>14</v>
      </c>
      <c r="C1112" t="s">
        <v>6</v>
      </c>
      <c r="D1112" t="str">
        <f t="shared" si="103"/>
        <v>FAB1_Leche Clasica Light 1 L</v>
      </c>
      <c r="E1112">
        <v>2022</v>
      </c>
      <c r="F1112">
        <v>35</v>
      </c>
      <c r="G1112">
        <f t="shared" si="104"/>
        <v>9</v>
      </c>
      <c r="H1112" s="1">
        <f t="shared" si="105"/>
        <v>44802</v>
      </c>
      <c r="I1112" s="1">
        <f t="shared" si="106"/>
        <v>44805</v>
      </c>
      <c r="J1112">
        <v>374212.04999999987</v>
      </c>
      <c r="K1112">
        <v>18588</v>
      </c>
      <c r="L1112">
        <f t="shared" si="102"/>
        <v>20.13191575209812</v>
      </c>
      <c r="M1112">
        <v>1549</v>
      </c>
      <c r="N1112" s="2">
        <f t="shared" si="107"/>
        <v>241.58298902517745</v>
      </c>
      <c r="O1112">
        <v>12</v>
      </c>
    </row>
    <row r="1113" spans="1:15" x14ac:dyDescent="0.25">
      <c r="A1113" t="s">
        <v>46</v>
      </c>
      <c r="B1113" t="s">
        <v>14</v>
      </c>
      <c r="C1113" t="s">
        <v>6</v>
      </c>
      <c r="D1113" t="str">
        <f t="shared" si="103"/>
        <v>FAB1_Leche Clasica Light 1 L</v>
      </c>
      <c r="E1113">
        <v>2022</v>
      </c>
      <c r="F1113">
        <v>36</v>
      </c>
      <c r="G1113">
        <f t="shared" si="104"/>
        <v>9</v>
      </c>
      <c r="H1113" s="1">
        <f t="shared" si="105"/>
        <v>44809</v>
      </c>
      <c r="I1113" s="1">
        <f t="shared" si="106"/>
        <v>44805</v>
      </c>
      <c r="J1113">
        <v>357497.22999999975</v>
      </c>
      <c r="K1113">
        <v>17808</v>
      </c>
      <c r="L1113">
        <f t="shared" si="102"/>
        <v>20.075091531895762</v>
      </c>
      <c r="M1113">
        <v>1484</v>
      </c>
      <c r="N1113" s="2">
        <f t="shared" si="107"/>
        <v>240.90109838274915</v>
      </c>
      <c r="O1113">
        <v>12</v>
      </c>
    </row>
    <row r="1114" spans="1:15" x14ac:dyDescent="0.25">
      <c r="A1114" t="s">
        <v>46</v>
      </c>
      <c r="B1114" t="s">
        <v>14</v>
      </c>
      <c r="C1114" t="s">
        <v>6</v>
      </c>
      <c r="D1114" t="str">
        <f t="shared" si="103"/>
        <v>FAB1_Leche Clasica Light 1 L</v>
      </c>
      <c r="E1114">
        <v>2022</v>
      </c>
      <c r="F1114">
        <v>37</v>
      </c>
      <c r="G1114">
        <f t="shared" si="104"/>
        <v>9</v>
      </c>
      <c r="H1114" s="1">
        <f t="shared" si="105"/>
        <v>44816</v>
      </c>
      <c r="I1114" s="1">
        <f t="shared" si="106"/>
        <v>44805</v>
      </c>
      <c r="J1114">
        <v>314463.5199999999</v>
      </c>
      <c r="K1114">
        <v>15780</v>
      </c>
      <c r="L1114">
        <f t="shared" si="102"/>
        <v>19.927979721166025</v>
      </c>
      <c r="M1114">
        <v>1315</v>
      </c>
      <c r="N1114" s="2">
        <f t="shared" si="107"/>
        <v>239.13575665399233</v>
      </c>
      <c r="O1114">
        <v>12</v>
      </c>
    </row>
    <row r="1115" spans="1:15" x14ac:dyDescent="0.25">
      <c r="A1115" t="s">
        <v>46</v>
      </c>
      <c r="B1115" t="s">
        <v>14</v>
      </c>
      <c r="C1115" t="s">
        <v>6</v>
      </c>
      <c r="D1115" t="str">
        <f t="shared" si="103"/>
        <v>FAB1_Leche Clasica Light 1 L</v>
      </c>
      <c r="E1115">
        <v>2022</v>
      </c>
      <c r="F1115">
        <v>38</v>
      </c>
      <c r="G1115">
        <f t="shared" si="104"/>
        <v>9</v>
      </c>
      <c r="H1115" s="1">
        <f t="shared" si="105"/>
        <v>44823</v>
      </c>
      <c r="I1115" s="1">
        <f t="shared" si="106"/>
        <v>44805</v>
      </c>
      <c r="J1115">
        <v>337654.11999999976</v>
      </c>
      <c r="K1115">
        <v>16764</v>
      </c>
      <c r="L1115">
        <f t="shared" si="102"/>
        <v>20.141620138391779</v>
      </c>
      <c r="M1115">
        <v>1397</v>
      </c>
      <c r="N1115" s="2">
        <f t="shared" si="107"/>
        <v>241.69944166070132</v>
      </c>
      <c r="O1115">
        <v>12</v>
      </c>
    </row>
    <row r="1116" spans="1:15" x14ac:dyDescent="0.25">
      <c r="A1116" t="s">
        <v>46</v>
      </c>
      <c r="B1116" t="s">
        <v>14</v>
      </c>
      <c r="C1116" t="s">
        <v>6</v>
      </c>
      <c r="D1116" t="str">
        <f t="shared" si="103"/>
        <v>FAB1_Leche Clasica Light 1 L</v>
      </c>
      <c r="E1116">
        <v>2022</v>
      </c>
      <c r="F1116">
        <v>39</v>
      </c>
      <c r="G1116">
        <f t="shared" si="104"/>
        <v>9</v>
      </c>
      <c r="H1116" s="1">
        <f t="shared" si="105"/>
        <v>44830</v>
      </c>
      <c r="I1116" s="1">
        <f t="shared" si="106"/>
        <v>44805</v>
      </c>
      <c r="J1116">
        <v>320104.0399999998</v>
      </c>
      <c r="K1116">
        <v>15552</v>
      </c>
      <c r="L1116">
        <f t="shared" si="102"/>
        <v>20.582821502057602</v>
      </c>
      <c r="M1116">
        <v>1296</v>
      </c>
      <c r="N1116" s="2">
        <f t="shared" si="107"/>
        <v>246.99385802469121</v>
      </c>
      <c r="O1116">
        <v>12</v>
      </c>
    </row>
    <row r="1117" spans="1:15" x14ac:dyDescent="0.25">
      <c r="A1117" t="s">
        <v>46</v>
      </c>
      <c r="B1117" t="s">
        <v>14</v>
      </c>
      <c r="C1117" t="s">
        <v>6</v>
      </c>
      <c r="D1117" t="str">
        <f t="shared" si="103"/>
        <v>FAB1_Leche Clasica Light 1 L</v>
      </c>
      <c r="E1117">
        <v>2022</v>
      </c>
      <c r="F1117">
        <v>40</v>
      </c>
      <c r="G1117">
        <f t="shared" si="104"/>
        <v>10</v>
      </c>
      <c r="H1117" s="1">
        <f t="shared" si="105"/>
        <v>44837</v>
      </c>
      <c r="I1117" s="1">
        <f t="shared" si="106"/>
        <v>44835</v>
      </c>
      <c r="J1117">
        <v>404132.1199999997</v>
      </c>
      <c r="K1117">
        <v>20220</v>
      </c>
      <c r="L1117">
        <f t="shared" si="102"/>
        <v>19.98675173095943</v>
      </c>
      <c r="M1117">
        <v>1685</v>
      </c>
      <c r="N1117" s="2">
        <f t="shared" si="107"/>
        <v>239.84102077151317</v>
      </c>
      <c r="O1117">
        <v>12</v>
      </c>
    </row>
    <row r="1118" spans="1:15" x14ac:dyDescent="0.25">
      <c r="A1118" t="s">
        <v>46</v>
      </c>
      <c r="B1118" t="s">
        <v>14</v>
      </c>
      <c r="C1118" t="s">
        <v>6</v>
      </c>
      <c r="D1118" t="str">
        <f t="shared" si="103"/>
        <v>FAB1_Leche Clasica Light 1 L</v>
      </c>
      <c r="E1118">
        <v>2022</v>
      </c>
      <c r="F1118">
        <v>41</v>
      </c>
      <c r="G1118">
        <f t="shared" si="104"/>
        <v>10</v>
      </c>
      <c r="H1118" s="1">
        <f t="shared" si="105"/>
        <v>44844</v>
      </c>
      <c r="I1118" s="1">
        <f t="shared" si="106"/>
        <v>44835</v>
      </c>
      <c r="J1118">
        <v>472539.97999999986</v>
      </c>
      <c r="K1118">
        <v>24948</v>
      </c>
      <c r="L1118">
        <f t="shared" si="102"/>
        <v>18.940996472663134</v>
      </c>
      <c r="M1118">
        <v>2079</v>
      </c>
      <c r="N1118" s="2">
        <f t="shared" si="107"/>
        <v>227.29195767195762</v>
      </c>
      <c r="O1118">
        <v>12</v>
      </c>
    </row>
    <row r="1119" spans="1:15" x14ac:dyDescent="0.25">
      <c r="A1119" t="s">
        <v>46</v>
      </c>
      <c r="B1119" t="s">
        <v>14</v>
      </c>
      <c r="C1119" t="s">
        <v>6</v>
      </c>
      <c r="D1119" t="str">
        <f t="shared" si="103"/>
        <v>FAB1_Leche Clasica Light 1 L</v>
      </c>
      <c r="E1119">
        <v>2022</v>
      </c>
      <c r="F1119">
        <v>42</v>
      </c>
      <c r="G1119">
        <f t="shared" si="104"/>
        <v>10</v>
      </c>
      <c r="H1119" s="1">
        <f t="shared" si="105"/>
        <v>44851</v>
      </c>
      <c r="I1119" s="1">
        <f t="shared" si="106"/>
        <v>44835</v>
      </c>
      <c r="J1119">
        <v>471241.97999999975</v>
      </c>
      <c r="K1119">
        <v>24552</v>
      </c>
      <c r="L1119">
        <f t="shared" si="102"/>
        <v>19.193629032258055</v>
      </c>
      <c r="M1119">
        <v>2046</v>
      </c>
      <c r="N1119" s="2">
        <f t="shared" si="107"/>
        <v>230.32354838709665</v>
      </c>
      <c r="O1119">
        <v>12</v>
      </c>
    </row>
    <row r="1120" spans="1:15" x14ac:dyDescent="0.25">
      <c r="A1120" t="s">
        <v>46</v>
      </c>
      <c r="B1120" t="s">
        <v>14</v>
      </c>
      <c r="C1120" t="s">
        <v>6</v>
      </c>
      <c r="D1120" t="str">
        <f t="shared" si="103"/>
        <v>FAB1_Leche Clasica Light 1 L</v>
      </c>
      <c r="E1120">
        <v>2022</v>
      </c>
      <c r="F1120">
        <v>43</v>
      </c>
      <c r="G1120">
        <f t="shared" si="104"/>
        <v>10</v>
      </c>
      <c r="H1120" s="1">
        <f t="shared" si="105"/>
        <v>44858</v>
      </c>
      <c r="I1120" s="1">
        <f t="shared" si="106"/>
        <v>44835</v>
      </c>
      <c r="J1120">
        <v>277592.65999999986</v>
      </c>
      <c r="K1120">
        <v>13488</v>
      </c>
      <c r="L1120">
        <f t="shared" si="102"/>
        <v>20.580713226571756</v>
      </c>
      <c r="M1120">
        <v>1124</v>
      </c>
      <c r="N1120" s="2">
        <f t="shared" si="107"/>
        <v>246.96855871886109</v>
      </c>
      <c r="O1120">
        <v>12</v>
      </c>
    </row>
    <row r="1121" spans="1:15" x14ac:dyDescent="0.25">
      <c r="A1121" t="s">
        <v>46</v>
      </c>
      <c r="B1121" t="s">
        <v>14</v>
      </c>
      <c r="C1121" t="s">
        <v>6</v>
      </c>
      <c r="D1121" t="str">
        <f t="shared" si="103"/>
        <v>FAB1_Leche Clasica Light 1 L</v>
      </c>
      <c r="E1121">
        <v>2022</v>
      </c>
      <c r="F1121">
        <v>44</v>
      </c>
      <c r="G1121">
        <f t="shared" si="104"/>
        <v>11</v>
      </c>
      <c r="H1121" s="1">
        <f t="shared" si="105"/>
        <v>44865</v>
      </c>
      <c r="I1121" s="1">
        <f t="shared" si="106"/>
        <v>44866</v>
      </c>
      <c r="J1121">
        <v>344444.91999999987</v>
      </c>
      <c r="K1121">
        <v>16920</v>
      </c>
      <c r="L1121">
        <f t="shared" si="102"/>
        <v>20.357264775413704</v>
      </c>
      <c r="M1121">
        <v>1410</v>
      </c>
      <c r="N1121" s="2">
        <f t="shared" si="107"/>
        <v>244.28717730496444</v>
      </c>
      <c r="O1121">
        <v>12</v>
      </c>
    </row>
    <row r="1122" spans="1:15" x14ac:dyDescent="0.25">
      <c r="A1122" t="s">
        <v>46</v>
      </c>
      <c r="B1122" t="s">
        <v>14</v>
      </c>
      <c r="C1122" t="s">
        <v>6</v>
      </c>
      <c r="D1122" t="str">
        <f t="shared" si="103"/>
        <v>FAB1_Leche Clasica Light 1 L</v>
      </c>
      <c r="E1122">
        <v>2022</v>
      </c>
      <c r="F1122">
        <v>45</v>
      </c>
      <c r="G1122">
        <f t="shared" si="104"/>
        <v>11</v>
      </c>
      <c r="H1122" s="1">
        <f t="shared" si="105"/>
        <v>44872</v>
      </c>
      <c r="I1122" s="1">
        <f t="shared" si="106"/>
        <v>44866</v>
      </c>
      <c r="J1122">
        <v>378541.14999999979</v>
      </c>
      <c r="K1122">
        <v>20052</v>
      </c>
      <c r="L1122">
        <f t="shared" si="102"/>
        <v>18.877974765609405</v>
      </c>
      <c r="M1122">
        <v>1671</v>
      </c>
      <c r="N1122" s="2">
        <f t="shared" si="107"/>
        <v>226.53569718731285</v>
      </c>
      <c r="O1122">
        <v>12</v>
      </c>
    </row>
    <row r="1123" spans="1:15" x14ac:dyDescent="0.25">
      <c r="A1123" t="s">
        <v>46</v>
      </c>
      <c r="B1123" t="s">
        <v>14</v>
      </c>
      <c r="C1123" t="s">
        <v>6</v>
      </c>
      <c r="D1123" t="str">
        <f t="shared" si="103"/>
        <v>FAB1_Leche Clasica Light 1 L</v>
      </c>
      <c r="E1123">
        <v>2022</v>
      </c>
      <c r="F1123">
        <v>46</v>
      </c>
      <c r="G1123">
        <f t="shared" si="104"/>
        <v>11</v>
      </c>
      <c r="H1123" s="1">
        <f t="shared" si="105"/>
        <v>44879</v>
      </c>
      <c r="I1123" s="1">
        <f t="shared" si="106"/>
        <v>44866</v>
      </c>
      <c r="J1123">
        <v>320178.81999999983</v>
      </c>
      <c r="K1123">
        <v>16116</v>
      </c>
      <c r="L1123">
        <f t="shared" si="102"/>
        <v>19.867139488706865</v>
      </c>
      <c r="M1123">
        <v>1343</v>
      </c>
      <c r="N1123" s="2">
        <f t="shared" si="107"/>
        <v>238.40567386448237</v>
      </c>
      <c r="O1123">
        <v>12</v>
      </c>
    </row>
    <row r="1124" spans="1:15" x14ac:dyDescent="0.25">
      <c r="A1124" t="s">
        <v>46</v>
      </c>
      <c r="B1124" t="s">
        <v>14</v>
      </c>
      <c r="C1124" t="s">
        <v>6</v>
      </c>
      <c r="D1124" t="str">
        <f t="shared" si="103"/>
        <v>FAB1_Leche Clasica Light 1 L</v>
      </c>
      <c r="E1124">
        <v>2022</v>
      </c>
      <c r="F1124">
        <v>47</v>
      </c>
      <c r="G1124">
        <f t="shared" si="104"/>
        <v>11</v>
      </c>
      <c r="H1124" s="1">
        <f t="shared" si="105"/>
        <v>44886</v>
      </c>
      <c r="I1124" s="1">
        <f t="shared" si="106"/>
        <v>44866</v>
      </c>
      <c r="J1124">
        <v>287020.0799999999</v>
      </c>
      <c r="K1124">
        <v>14028</v>
      </c>
      <c r="L1124">
        <f t="shared" si="102"/>
        <v>20.460513259195888</v>
      </c>
      <c r="M1124">
        <v>1169</v>
      </c>
      <c r="N1124" s="2">
        <f t="shared" si="107"/>
        <v>245.52615911035065</v>
      </c>
      <c r="O1124">
        <v>12</v>
      </c>
    </row>
    <row r="1125" spans="1:15" x14ac:dyDescent="0.25">
      <c r="A1125" t="s">
        <v>46</v>
      </c>
      <c r="B1125" t="s">
        <v>14</v>
      </c>
      <c r="C1125" t="s">
        <v>6</v>
      </c>
      <c r="D1125" t="str">
        <f t="shared" si="103"/>
        <v>FAB1_Leche Clasica Light 1 L</v>
      </c>
      <c r="E1125">
        <v>2022</v>
      </c>
      <c r="F1125">
        <v>48</v>
      </c>
      <c r="G1125">
        <f t="shared" si="104"/>
        <v>12</v>
      </c>
      <c r="H1125" s="1">
        <f t="shared" si="105"/>
        <v>44893</v>
      </c>
      <c r="I1125" s="1">
        <f t="shared" si="106"/>
        <v>44896</v>
      </c>
      <c r="J1125">
        <v>241458.99999999988</v>
      </c>
      <c r="K1125">
        <v>11964</v>
      </c>
      <c r="L1125">
        <f t="shared" si="102"/>
        <v>20.182129722500825</v>
      </c>
      <c r="M1125">
        <v>997</v>
      </c>
      <c r="N1125" s="2">
        <f t="shared" si="107"/>
        <v>242.1855566700099</v>
      </c>
      <c r="O1125">
        <v>12</v>
      </c>
    </row>
    <row r="1126" spans="1:15" x14ac:dyDescent="0.25">
      <c r="A1126" t="s">
        <v>46</v>
      </c>
      <c r="B1126" t="s">
        <v>14</v>
      </c>
      <c r="C1126" t="s">
        <v>6</v>
      </c>
      <c r="D1126" t="str">
        <f t="shared" si="103"/>
        <v>FAB1_Leche Clasica Light 1 L</v>
      </c>
      <c r="E1126">
        <v>2022</v>
      </c>
      <c r="F1126">
        <v>49</v>
      </c>
      <c r="G1126">
        <f t="shared" si="104"/>
        <v>12</v>
      </c>
      <c r="H1126" s="1">
        <f t="shared" si="105"/>
        <v>44900</v>
      </c>
      <c r="I1126" s="1">
        <f t="shared" si="106"/>
        <v>44896</v>
      </c>
      <c r="J1126">
        <v>312284.55999999982</v>
      </c>
      <c r="K1126">
        <v>15456</v>
      </c>
      <c r="L1126">
        <f t="shared" si="102"/>
        <v>20.204746376811581</v>
      </c>
      <c r="M1126">
        <v>1288</v>
      </c>
      <c r="N1126" s="2">
        <f t="shared" si="107"/>
        <v>242.45695652173899</v>
      </c>
      <c r="O1126">
        <v>12</v>
      </c>
    </row>
    <row r="1127" spans="1:15" x14ac:dyDescent="0.25">
      <c r="A1127" t="s">
        <v>46</v>
      </c>
      <c r="B1127" t="s">
        <v>14</v>
      </c>
      <c r="C1127" t="s">
        <v>6</v>
      </c>
      <c r="D1127" t="str">
        <f t="shared" si="103"/>
        <v>FAB1_Leche Clasica Light 1 L</v>
      </c>
      <c r="E1127">
        <v>2022</v>
      </c>
      <c r="F1127">
        <v>50</v>
      </c>
      <c r="G1127">
        <f t="shared" si="104"/>
        <v>12</v>
      </c>
      <c r="H1127" s="1">
        <f t="shared" si="105"/>
        <v>44907</v>
      </c>
      <c r="I1127" s="1">
        <f t="shared" si="106"/>
        <v>44896</v>
      </c>
      <c r="J1127">
        <v>295569.25999999983</v>
      </c>
      <c r="K1127">
        <v>14556</v>
      </c>
      <c r="L1127">
        <f t="shared" si="102"/>
        <v>20.30566501786204</v>
      </c>
      <c r="M1127">
        <v>1213</v>
      </c>
      <c r="N1127" s="2">
        <f t="shared" si="107"/>
        <v>243.66798021434445</v>
      </c>
      <c r="O1127">
        <v>12</v>
      </c>
    </row>
    <row r="1128" spans="1:15" x14ac:dyDescent="0.25">
      <c r="A1128" t="s">
        <v>46</v>
      </c>
      <c r="B1128" t="s">
        <v>14</v>
      </c>
      <c r="C1128" t="s">
        <v>6</v>
      </c>
      <c r="D1128" t="str">
        <f t="shared" si="103"/>
        <v>FAB1_Leche Clasica Light 1 L</v>
      </c>
      <c r="E1128">
        <v>2022</v>
      </c>
      <c r="F1128">
        <v>51</v>
      </c>
      <c r="G1128">
        <f t="shared" si="104"/>
        <v>12</v>
      </c>
      <c r="H1128" s="1">
        <f t="shared" si="105"/>
        <v>44914</v>
      </c>
      <c r="I1128" s="1">
        <f t="shared" si="106"/>
        <v>44896</v>
      </c>
      <c r="J1128">
        <v>300890.64999999991</v>
      </c>
      <c r="K1128">
        <v>15000</v>
      </c>
      <c r="L1128">
        <f t="shared" si="102"/>
        <v>20.059376666666662</v>
      </c>
      <c r="M1128">
        <v>1250</v>
      </c>
      <c r="N1128" s="2">
        <f t="shared" si="107"/>
        <v>240.71251999999993</v>
      </c>
      <c r="O1128">
        <v>12</v>
      </c>
    </row>
    <row r="1129" spans="1:15" x14ac:dyDescent="0.25">
      <c r="A1129" t="s">
        <v>46</v>
      </c>
      <c r="B1129" t="s">
        <v>14</v>
      </c>
      <c r="C1129" t="s">
        <v>6</v>
      </c>
      <c r="D1129" t="str">
        <f t="shared" si="103"/>
        <v>FAB1_Leche Clasica Light 1 L</v>
      </c>
      <c r="E1129">
        <v>2022</v>
      </c>
      <c r="F1129">
        <v>52</v>
      </c>
      <c r="G1129">
        <f t="shared" si="104"/>
        <v>12</v>
      </c>
      <c r="H1129" s="1">
        <f t="shared" si="105"/>
        <v>44921</v>
      </c>
      <c r="I1129" s="1">
        <f t="shared" si="106"/>
        <v>44896</v>
      </c>
      <c r="J1129">
        <v>296846.12999999989</v>
      </c>
      <c r="K1129">
        <v>14988</v>
      </c>
      <c r="L1129">
        <f t="shared" si="102"/>
        <v>19.805586469175331</v>
      </c>
      <c r="M1129">
        <v>1249</v>
      </c>
      <c r="N1129" s="2">
        <f t="shared" si="107"/>
        <v>237.66703763010401</v>
      </c>
      <c r="O1129">
        <v>12</v>
      </c>
    </row>
    <row r="1130" spans="1:15" x14ac:dyDescent="0.25">
      <c r="A1130" t="s">
        <v>46</v>
      </c>
      <c r="B1130" t="s">
        <v>14</v>
      </c>
      <c r="C1130" t="s">
        <v>6</v>
      </c>
      <c r="D1130" t="str">
        <f t="shared" si="103"/>
        <v>FAB1_Leche Clasica Light 1 L</v>
      </c>
      <c r="E1130">
        <v>2023</v>
      </c>
      <c r="F1130">
        <v>1</v>
      </c>
      <c r="G1130">
        <f t="shared" si="104"/>
        <v>1</v>
      </c>
      <c r="H1130" s="1">
        <f t="shared" si="105"/>
        <v>44928</v>
      </c>
      <c r="I1130" s="1">
        <f t="shared" si="106"/>
        <v>44927</v>
      </c>
      <c r="J1130">
        <v>296520.7899999998</v>
      </c>
      <c r="K1130">
        <v>14688</v>
      </c>
      <c r="L1130">
        <f t="shared" si="102"/>
        <v>20.187962282135064</v>
      </c>
      <c r="M1130">
        <v>1224</v>
      </c>
      <c r="N1130" s="2">
        <f t="shared" si="107"/>
        <v>242.25554738562076</v>
      </c>
      <c r="O1130">
        <v>12</v>
      </c>
    </row>
    <row r="1131" spans="1:15" x14ac:dyDescent="0.25">
      <c r="A1131" t="s">
        <v>46</v>
      </c>
      <c r="B1131" t="s">
        <v>14</v>
      </c>
      <c r="C1131" t="s">
        <v>6</v>
      </c>
      <c r="D1131" t="str">
        <f t="shared" si="103"/>
        <v>FAB1_Leche Clasica Light 1 L</v>
      </c>
      <c r="E1131">
        <v>2023</v>
      </c>
      <c r="F1131">
        <v>2</v>
      </c>
      <c r="G1131">
        <f t="shared" si="104"/>
        <v>1</v>
      </c>
      <c r="H1131" s="1">
        <f t="shared" si="105"/>
        <v>44935</v>
      </c>
      <c r="I1131" s="1">
        <f t="shared" si="106"/>
        <v>44927</v>
      </c>
      <c r="J1131">
        <v>283382.23999999993</v>
      </c>
      <c r="K1131">
        <v>14544</v>
      </c>
      <c r="L1131">
        <f t="shared" si="102"/>
        <v>19.484477447744769</v>
      </c>
      <c r="M1131">
        <v>1212</v>
      </c>
      <c r="N1131" s="2">
        <f t="shared" si="107"/>
        <v>233.81372937293725</v>
      </c>
      <c r="O1131">
        <v>12</v>
      </c>
    </row>
    <row r="1132" spans="1:15" x14ac:dyDescent="0.25">
      <c r="A1132" t="s">
        <v>46</v>
      </c>
      <c r="B1132" t="s">
        <v>14</v>
      </c>
      <c r="C1132" t="s">
        <v>6</v>
      </c>
      <c r="D1132" t="str">
        <f t="shared" si="103"/>
        <v>FAB1_Leche Clasica Light 1 L</v>
      </c>
      <c r="E1132">
        <v>2023</v>
      </c>
      <c r="F1132">
        <v>3</v>
      </c>
      <c r="G1132">
        <f t="shared" si="104"/>
        <v>1</v>
      </c>
      <c r="H1132" s="1">
        <f t="shared" si="105"/>
        <v>44942</v>
      </c>
      <c r="I1132" s="1">
        <f t="shared" si="106"/>
        <v>44927</v>
      </c>
      <c r="J1132">
        <v>244256.46999999991</v>
      </c>
      <c r="K1132">
        <v>12372</v>
      </c>
      <c r="L1132">
        <f t="shared" si="102"/>
        <v>19.742682670546387</v>
      </c>
      <c r="M1132">
        <v>1031</v>
      </c>
      <c r="N1132" s="2">
        <f t="shared" si="107"/>
        <v>236.91219204655667</v>
      </c>
      <c r="O1132">
        <v>12</v>
      </c>
    </row>
    <row r="1133" spans="1:15" x14ac:dyDescent="0.25">
      <c r="A1133" t="s">
        <v>46</v>
      </c>
      <c r="B1133" t="s">
        <v>14</v>
      </c>
      <c r="C1133" t="s">
        <v>6</v>
      </c>
      <c r="D1133" t="str">
        <f t="shared" si="103"/>
        <v>FAB1_Leche Clasica Light 1 L</v>
      </c>
      <c r="E1133">
        <v>2023</v>
      </c>
      <c r="F1133">
        <v>4</v>
      </c>
      <c r="G1133">
        <f t="shared" si="104"/>
        <v>1</v>
      </c>
      <c r="H1133" s="1">
        <f t="shared" si="105"/>
        <v>44949</v>
      </c>
      <c r="I1133" s="1">
        <f t="shared" si="106"/>
        <v>44927</v>
      </c>
      <c r="J1133">
        <v>218129.13999999993</v>
      </c>
      <c r="K1133">
        <v>11088</v>
      </c>
      <c r="L1133">
        <f t="shared" si="102"/>
        <v>19.672541486291479</v>
      </c>
      <c r="M1133">
        <v>924</v>
      </c>
      <c r="N1133" s="2">
        <f t="shared" si="107"/>
        <v>236.07049783549775</v>
      </c>
      <c r="O1133">
        <v>12</v>
      </c>
    </row>
    <row r="1134" spans="1:15" x14ac:dyDescent="0.25">
      <c r="A1134" t="s">
        <v>46</v>
      </c>
      <c r="B1134" t="s">
        <v>14</v>
      </c>
      <c r="C1134" t="s">
        <v>6</v>
      </c>
      <c r="D1134" t="str">
        <f t="shared" si="103"/>
        <v>FAB1_Leche Clasica Light 1 L</v>
      </c>
      <c r="E1134">
        <v>2023</v>
      </c>
      <c r="F1134">
        <v>5</v>
      </c>
      <c r="G1134">
        <f t="shared" si="104"/>
        <v>2</v>
      </c>
      <c r="H1134" s="1">
        <f t="shared" si="105"/>
        <v>44956</v>
      </c>
      <c r="I1134" s="1">
        <f t="shared" si="106"/>
        <v>44958</v>
      </c>
      <c r="J1134">
        <v>304326.02999999985</v>
      </c>
      <c r="K1134">
        <v>15192</v>
      </c>
      <c r="L1134">
        <f t="shared" si="102"/>
        <v>20.031992496050542</v>
      </c>
      <c r="M1134">
        <v>1266</v>
      </c>
      <c r="N1134" s="2">
        <f t="shared" si="107"/>
        <v>240.38390995260653</v>
      </c>
      <c r="O1134">
        <v>12</v>
      </c>
    </row>
    <row r="1135" spans="1:15" x14ac:dyDescent="0.25">
      <c r="A1135" t="s">
        <v>46</v>
      </c>
      <c r="B1135" t="s">
        <v>14</v>
      </c>
      <c r="C1135" t="s">
        <v>6</v>
      </c>
      <c r="D1135" t="str">
        <f t="shared" si="103"/>
        <v>FAB1_Leche Clasica Light 1 L</v>
      </c>
      <c r="E1135">
        <v>2023</v>
      </c>
      <c r="F1135">
        <v>6</v>
      </c>
      <c r="G1135">
        <f t="shared" si="104"/>
        <v>2</v>
      </c>
      <c r="H1135" s="1">
        <f t="shared" si="105"/>
        <v>44963</v>
      </c>
      <c r="I1135" s="1">
        <f t="shared" si="106"/>
        <v>44958</v>
      </c>
      <c r="J1135">
        <v>263872.16999999987</v>
      </c>
      <c r="K1135">
        <v>13392</v>
      </c>
      <c r="L1135">
        <f t="shared" si="102"/>
        <v>19.703716397849451</v>
      </c>
      <c r="M1135">
        <v>1116</v>
      </c>
      <c r="N1135" s="2">
        <f t="shared" si="107"/>
        <v>236.44459677419343</v>
      </c>
      <c r="O1135">
        <v>12</v>
      </c>
    </row>
    <row r="1136" spans="1:15" x14ac:dyDescent="0.25">
      <c r="A1136" t="s">
        <v>46</v>
      </c>
      <c r="B1136" t="s">
        <v>14</v>
      </c>
      <c r="C1136" t="s">
        <v>6</v>
      </c>
      <c r="D1136" t="str">
        <f t="shared" si="103"/>
        <v>FAB1_Leche Clasica Light 1 L</v>
      </c>
      <c r="E1136">
        <v>2023</v>
      </c>
      <c r="F1136">
        <v>7</v>
      </c>
      <c r="G1136">
        <f t="shared" si="104"/>
        <v>2</v>
      </c>
      <c r="H1136" s="1">
        <f t="shared" si="105"/>
        <v>44970</v>
      </c>
      <c r="I1136" s="1">
        <f t="shared" si="106"/>
        <v>44958</v>
      </c>
      <c r="J1136">
        <v>371296.61999999988</v>
      </c>
      <c r="K1136">
        <v>19872</v>
      </c>
      <c r="L1136">
        <f t="shared" si="102"/>
        <v>18.684411231884052</v>
      </c>
      <c r="M1136">
        <v>1656</v>
      </c>
      <c r="N1136" s="2">
        <f t="shared" si="107"/>
        <v>224.21293478260861</v>
      </c>
      <c r="O1136">
        <v>12</v>
      </c>
    </row>
    <row r="1137" spans="1:15" x14ac:dyDescent="0.25">
      <c r="A1137" t="s">
        <v>46</v>
      </c>
      <c r="B1137" t="s">
        <v>14</v>
      </c>
      <c r="C1137" t="s">
        <v>6</v>
      </c>
      <c r="D1137" t="str">
        <f t="shared" si="103"/>
        <v>FAB1_Leche Clasica Light 1 L</v>
      </c>
      <c r="E1137">
        <v>2023</v>
      </c>
      <c r="F1137">
        <v>8</v>
      </c>
      <c r="G1137">
        <f t="shared" si="104"/>
        <v>2</v>
      </c>
      <c r="H1137" s="1">
        <f t="shared" si="105"/>
        <v>44977</v>
      </c>
      <c r="I1137" s="1">
        <f t="shared" si="106"/>
        <v>44958</v>
      </c>
      <c r="J1137">
        <v>217992.11999999994</v>
      </c>
      <c r="K1137">
        <v>11064</v>
      </c>
      <c r="L1137">
        <f t="shared" si="102"/>
        <v>19.702830802603032</v>
      </c>
      <c r="M1137">
        <v>922</v>
      </c>
      <c r="N1137" s="2">
        <f t="shared" si="107"/>
        <v>236.43396963123638</v>
      </c>
      <c r="O1137">
        <v>12</v>
      </c>
    </row>
    <row r="1138" spans="1:15" x14ac:dyDescent="0.25">
      <c r="A1138" t="s">
        <v>46</v>
      </c>
      <c r="B1138" t="s">
        <v>14</v>
      </c>
      <c r="C1138" t="s">
        <v>6</v>
      </c>
      <c r="D1138" t="str">
        <f t="shared" si="103"/>
        <v>FAB1_Leche Clasica Light 1 L</v>
      </c>
      <c r="E1138">
        <v>2023</v>
      </c>
      <c r="F1138">
        <v>9</v>
      </c>
      <c r="G1138">
        <f t="shared" si="104"/>
        <v>3</v>
      </c>
      <c r="H1138" s="1">
        <f t="shared" si="105"/>
        <v>44984</v>
      </c>
      <c r="I1138" s="1">
        <f t="shared" si="106"/>
        <v>44986</v>
      </c>
      <c r="J1138">
        <v>289469.7799999998</v>
      </c>
      <c r="K1138">
        <v>15000</v>
      </c>
      <c r="L1138">
        <f t="shared" si="102"/>
        <v>19.297985333333319</v>
      </c>
      <c r="M1138">
        <v>1250</v>
      </c>
      <c r="N1138" s="2">
        <f t="shared" si="107"/>
        <v>231.57582399999984</v>
      </c>
      <c r="O1138">
        <v>12</v>
      </c>
    </row>
    <row r="1139" spans="1:15" x14ac:dyDescent="0.25">
      <c r="A1139" t="s">
        <v>46</v>
      </c>
      <c r="B1139" t="s">
        <v>14</v>
      </c>
      <c r="C1139" t="s">
        <v>6</v>
      </c>
      <c r="D1139" t="str">
        <f t="shared" si="103"/>
        <v>FAB1_Leche Clasica Light 1 L</v>
      </c>
      <c r="E1139">
        <v>2023</v>
      </c>
      <c r="F1139">
        <v>10</v>
      </c>
      <c r="G1139">
        <f t="shared" si="104"/>
        <v>3</v>
      </c>
      <c r="H1139" s="1">
        <f t="shared" si="105"/>
        <v>44991</v>
      </c>
      <c r="I1139" s="1">
        <f t="shared" si="106"/>
        <v>44986</v>
      </c>
      <c r="J1139">
        <v>238419.14999999991</v>
      </c>
      <c r="K1139">
        <v>12216</v>
      </c>
      <c r="L1139">
        <f t="shared" si="102"/>
        <v>19.516957269155199</v>
      </c>
      <c r="M1139">
        <v>1018</v>
      </c>
      <c r="N1139" s="2">
        <f t="shared" si="107"/>
        <v>234.20348722986239</v>
      </c>
      <c r="O1139">
        <v>12</v>
      </c>
    </row>
    <row r="1140" spans="1:15" x14ac:dyDescent="0.25">
      <c r="A1140" t="s">
        <v>46</v>
      </c>
      <c r="B1140" t="s">
        <v>14</v>
      </c>
      <c r="C1140" t="s">
        <v>6</v>
      </c>
      <c r="D1140" t="str">
        <f t="shared" si="103"/>
        <v>FAB1_Leche Clasica Light 1 L</v>
      </c>
      <c r="E1140">
        <v>2023</v>
      </c>
      <c r="F1140">
        <v>11</v>
      </c>
      <c r="G1140">
        <f t="shared" si="104"/>
        <v>3</v>
      </c>
      <c r="H1140" s="1">
        <f t="shared" si="105"/>
        <v>44998</v>
      </c>
      <c r="I1140" s="1">
        <f t="shared" si="106"/>
        <v>44986</v>
      </c>
      <c r="J1140">
        <v>249211.28</v>
      </c>
      <c r="K1140">
        <v>12348</v>
      </c>
      <c r="L1140">
        <f t="shared" si="102"/>
        <v>20.182319403952057</v>
      </c>
      <c r="M1140">
        <v>1029</v>
      </c>
      <c r="N1140" s="2">
        <f t="shared" si="107"/>
        <v>242.18783284742469</v>
      </c>
      <c r="O1140">
        <v>12</v>
      </c>
    </row>
    <row r="1141" spans="1:15" x14ac:dyDescent="0.25">
      <c r="A1141" t="s">
        <v>46</v>
      </c>
      <c r="B1141" t="s">
        <v>14</v>
      </c>
      <c r="C1141" t="s">
        <v>6</v>
      </c>
      <c r="D1141" t="str">
        <f t="shared" si="103"/>
        <v>FAB1_Leche Clasica Light 1 L</v>
      </c>
      <c r="E1141">
        <v>2023</v>
      </c>
      <c r="F1141">
        <v>12</v>
      </c>
      <c r="G1141">
        <f t="shared" si="104"/>
        <v>3</v>
      </c>
      <c r="H1141" s="1">
        <f t="shared" si="105"/>
        <v>45005</v>
      </c>
      <c r="I1141" s="1">
        <f t="shared" si="106"/>
        <v>44986</v>
      </c>
      <c r="J1141">
        <v>219341</v>
      </c>
      <c r="K1141">
        <v>10872</v>
      </c>
      <c r="L1141">
        <f t="shared" si="102"/>
        <v>20.174852832965417</v>
      </c>
      <c r="M1141">
        <v>906</v>
      </c>
      <c r="N1141" s="2">
        <f t="shared" si="107"/>
        <v>242.09823399558499</v>
      </c>
      <c r="O1141">
        <v>12</v>
      </c>
    </row>
    <row r="1142" spans="1:15" x14ac:dyDescent="0.25">
      <c r="A1142" t="s">
        <v>46</v>
      </c>
      <c r="B1142" t="s">
        <v>14</v>
      </c>
      <c r="C1142" t="s">
        <v>6</v>
      </c>
      <c r="D1142" t="str">
        <f t="shared" si="103"/>
        <v>FAB1_Leche Clasica Light 1 L</v>
      </c>
      <c r="E1142">
        <v>2023</v>
      </c>
      <c r="F1142">
        <v>13</v>
      </c>
      <c r="G1142">
        <f t="shared" si="104"/>
        <v>3</v>
      </c>
      <c r="H1142" s="1">
        <f t="shared" si="105"/>
        <v>45012</v>
      </c>
      <c r="I1142" s="1">
        <f t="shared" si="106"/>
        <v>44986</v>
      </c>
      <c r="J1142">
        <v>211502.18</v>
      </c>
      <c r="K1142">
        <v>10440</v>
      </c>
      <c r="L1142">
        <f t="shared" si="102"/>
        <v>20.258829501915709</v>
      </c>
      <c r="M1142">
        <v>870</v>
      </c>
      <c r="N1142" s="2">
        <f t="shared" si="107"/>
        <v>243.1059540229885</v>
      </c>
      <c r="O1142">
        <v>12</v>
      </c>
    </row>
    <row r="1143" spans="1:15" x14ac:dyDescent="0.25">
      <c r="A1143" t="s">
        <v>46</v>
      </c>
      <c r="B1143" t="s">
        <v>14</v>
      </c>
      <c r="C1143" t="s">
        <v>6</v>
      </c>
      <c r="D1143" t="str">
        <f t="shared" si="103"/>
        <v>FAB1_Leche Clasica Light 1 L</v>
      </c>
      <c r="E1143">
        <v>2023</v>
      </c>
      <c r="F1143">
        <v>14</v>
      </c>
      <c r="G1143">
        <f t="shared" si="104"/>
        <v>4</v>
      </c>
      <c r="H1143" s="1">
        <f t="shared" si="105"/>
        <v>45019</v>
      </c>
      <c r="I1143" s="1">
        <f t="shared" si="106"/>
        <v>45017</v>
      </c>
      <c r="J1143">
        <v>314268.35999999993</v>
      </c>
      <c r="K1143">
        <v>16188</v>
      </c>
      <c r="L1143">
        <f t="shared" si="102"/>
        <v>19.413661971830983</v>
      </c>
      <c r="M1143">
        <v>1349</v>
      </c>
      <c r="N1143" s="2">
        <f t="shared" si="107"/>
        <v>232.96394366197177</v>
      </c>
      <c r="O1143">
        <v>12</v>
      </c>
    </row>
    <row r="1144" spans="1:15" x14ac:dyDescent="0.25">
      <c r="A1144" t="s">
        <v>46</v>
      </c>
      <c r="B1144" t="s">
        <v>14</v>
      </c>
      <c r="C1144" t="s">
        <v>6</v>
      </c>
      <c r="D1144" t="str">
        <f t="shared" si="103"/>
        <v>FAB1_Leche Clasica Light 1 L</v>
      </c>
      <c r="E1144">
        <v>2023</v>
      </c>
      <c r="F1144">
        <v>15</v>
      </c>
      <c r="G1144">
        <f t="shared" si="104"/>
        <v>4</v>
      </c>
      <c r="H1144" s="1">
        <f t="shared" si="105"/>
        <v>45026</v>
      </c>
      <c r="I1144" s="1">
        <f t="shared" si="106"/>
        <v>45017</v>
      </c>
      <c r="J1144">
        <v>241046.98999999993</v>
      </c>
      <c r="K1144">
        <v>12624</v>
      </c>
      <c r="L1144">
        <f t="shared" si="102"/>
        <v>19.094343314321922</v>
      </c>
      <c r="M1144">
        <v>1052</v>
      </c>
      <c r="N1144" s="2">
        <f t="shared" si="107"/>
        <v>229.13211977186305</v>
      </c>
      <c r="O1144">
        <v>12</v>
      </c>
    </row>
    <row r="1145" spans="1:15" x14ac:dyDescent="0.25">
      <c r="A1145" t="s">
        <v>46</v>
      </c>
      <c r="B1145" t="s">
        <v>14</v>
      </c>
      <c r="C1145" t="s">
        <v>6</v>
      </c>
      <c r="D1145" t="str">
        <f t="shared" si="103"/>
        <v>FAB1_Leche Clasica Light 1 L</v>
      </c>
      <c r="E1145">
        <v>2023</v>
      </c>
      <c r="F1145">
        <v>16</v>
      </c>
      <c r="G1145">
        <f t="shared" si="104"/>
        <v>4</v>
      </c>
      <c r="H1145" s="1">
        <f t="shared" si="105"/>
        <v>45033</v>
      </c>
      <c r="I1145" s="1">
        <f t="shared" si="106"/>
        <v>45017</v>
      </c>
      <c r="J1145">
        <v>259728.34000000003</v>
      </c>
      <c r="K1145">
        <v>13524</v>
      </c>
      <c r="L1145">
        <f t="shared" si="102"/>
        <v>19.204994084590361</v>
      </c>
      <c r="M1145">
        <v>1127</v>
      </c>
      <c r="N1145" s="2">
        <f t="shared" si="107"/>
        <v>230.45992901508433</v>
      </c>
      <c r="O1145">
        <v>12</v>
      </c>
    </row>
    <row r="1146" spans="1:15" x14ac:dyDescent="0.25">
      <c r="A1146" t="s">
        <v>46</v>
      </c>
      <c r="B1146" t="s">
        <v>14</v>
      </c>
      <c r="C1146" t="s">
        <v>6</v>
      </c>
      <c r="D1146" t="str">
        <f t="shared" si="103"/>
        <v>FAB1_Leche Clasica Light 1 L</v>
      </c>
      <c r="E1146">
        <v>2023</v>
      </c>
      <c r="F1146">
        <v>17</v>
      </c>
      <c r="G1146">
        <f t="shared" si="104"/>
        <v>4</v>
      </c>
      <c r="H1146" s="1">
        <f t="shared" si="105"/>
        <v>45040</v>
      </c>
      <c r="I1146" s="1">
        <f t="shared" si="106"/>
        <v>45017</v>
      </c>
      <c r="J1146">
        <v>300799.23999999987</v>
      </c>
      <c r="K1146">
        <v>15576</v>
      </c>
      <c r="L1146">
        <f t="shared" si="102"/>
        <v>19.311712891628137</v>
      </c>
      <c r="M1146">
        <v>1298</v>
      </c>
      <c r="N1146" s="2">
        <f t="shared" si="107"/>
        <v>231.74055469953765</v>
      </c>
      <c r="O1146">
        <v>12</v>
      </c>
    </row>
    <row r="1147" spans="1:15" x14ac:dyDescent="0.25">
      <c r="A1147" t="s">
        <v>46</v>
      </c>
      <c r="B1147" t="s">
        <v>14</v>
      </c>
      <c r="C1147" t="s">
        <v>6</v>
      </c>
      <c r="D1147" t="str">
        <f t="shared" si="103"/>
        <v>FAB1_Leche Clasica Light 1 L</v>
      </c>
      <c r="E1147">
        <v>2023</v>
      </c>
      <c r="F1147">
        <v>18</v>
      </c>
      <c r="G1147">
        <f t="shared" si="104"/>
        <v>5</v>
      </c>
      <c r="H1147" s="1">
        <f t="shared" si="105"/>
        <v>45047</v>
      </c>
      <c r="I1147" s="1">
        <f t="shared" si="106"/>
        <v>45047</v>
      </c>
      <c r="J1147">
        <v>311896.66999999987</v>
      </c>
      <c r="K1147">
        <v>15960</v>
      </c>
      <c r="L1147">
        <f t="shared" si="102"/>
        <v>19.542397869674176</v>
      </c>
      <c r="M1147">
        <v>1330</v>
      </c>
      <c r="N1147" s="2">
        <f t="shared" si="107"/>
        <v>234.50877443609014</v>
      </c>
      <c r="O1147">
        <v>12</v>
      </c>
    </row>
    <row r="1148" spans="1:15" x14ac:dyDescent="0.25">
      <c r="A1148" t="s">
        <v>46</v>
      </c>
      <c r="B1148" t="s">
        <v>14</v>
      </c>
      <c r="C1148" t="s">
        <v>6</v>
      </c>
      <c r="D1148" t="str">
        <f t="shared" si="103"/>
        <v>FAB1_Leche Clasica Light 1 L</v>
      </c>
      <c r="E1148">
        <v>2023</v>
      </c>
      <c r="F1148">
        <v>19</v>
      </c>
      <c r="G1148">
        <f t="shared" si="104"/>
        <v>5</v>
      </c>
      <c r="H1148" s="1">
        <f t="shared" si="105"/>
        <v>45054</v>
      </c>
      <c r="I1148" s="1">
        <f t="shared" si="106"/>
        <v>45047</v>
      </c>
      <c r="J1148">
        <v>226592.41999999998</v>
      </c>
      <c r="K1148">
        <v>12312</v>
      </c>
      <c r="L1148">
        <f t="shared" si="102"/>
        <v>18.404192657569848</v>
      </c>
      <c r="M1148">
        <v>1026</v>
      </c>
      <c r="N1148" s="2">
        <f t="shared" si="107"/>
        <v>220.85031189083819</v>
      </c>
      <c r="O1148">
        <v>12</v>
      </c>
    </row>
    <row r="1149" spans="1:15" x14ac:dyDescent="0.25">
      <c r="A1149" t="s">
        <v>46</v>
      </c>
      <c r="B1149" t="s">
        <v>14</v>
      </c>
      <c r="C1149" t="s">
        <v>6</v>
      </c>
      <c r="D1149" t="str">
        <f t="shared" si="103"/>
        <v>FAB1_Leche Clasica Light 1 L</v>
      </c>
      <c r="E1149">
        <v>2023</v>
      </c>
      <c r="F1149">
        <v>20</v>
      </c>
      <c r="G1149">
        <f t="shared" si="104"/>
        <v>5</v>
      </c>
      <c r="H1149" s="1">
        <f t="shared" si="105"/>
        <v>45061</v>
      </c>
      <c r="I1149" s="1">
        <f t="shared" si="106"/>
        <v>45047</v>
      </c>
      <c r="J1149">
        <v>266409.49</v>
      </c>
      <c r="K1149">
        <v>14952</v>
      </c>
      <c r="L1149">
        <f t="shared" si="102"/>
        <v>17.817649143927234</v>
      </c>
      <c r="M1149">
        <v>1246</v>
      </c>
      <c r="N1149" s="2">
        <f t="shared" si="107"/>
        <v>213.81178972712681</v>
      </c>
      <c r="O1149">
        <v>12</v>
      </c>
    </row>
    <row r="1150" spans="1:15" x14ac:dyDescent="0.25">
      <c r="A1150" t="s">
        <v>46</v>
      </c>
      <c r="B1150" t="s">
        <v>14</v>
      </c>
      <c r="C1150" t="s">
        <v>6</v>
      </c>
      <c r="D1150" t="str">
        <f t="shared" si="103"/>
        <v>FAB1_Leche Clasica Light 1 L</v>
      </c>
      <c r="E1150">
        <v>2023</v>
      </c>
      <c r="F1150">
        <v>21</v>
      </c>
      <c r="G1150">
        <f t="shared" si="104"/>
        <v>5</v>
      </c>
      <c r="H1150" s="1">
        <f t="shared" si="105"/>
        <v>45068</v>
      </c>
      <c r="I1150" s="1">
        <f t="shared" si="106"/>
        <v>45047</v>
      </c>
      <c r="J1150">
        <v>242385.86000000004</v>
      </c>
      <c r="K1150">
        <v>13860</v>
      </c>
      <c r="L1150">
        <f t="shared" si="102"/>
        <v>17.488157287157289</v>
      </c>
      <c r="M1150">
        <v>1155</v>
      </c>
      <c r="N1150" s="2">
        <f t="shared" si="107"/>
        <v>209.85788744588749</v>
      </c>
      <c r="O1150">
        <v>12</v>
      </c>
    </row>
    <row r="1151" spans="1:15" x14ac:dyDescent="0.25">
      <c r="A1151" t="s">
        <v>46</v>
      </c>
      <c r="B1151" t="s">
        <v>14</v>
      </c>
      <c r="C1151" t="s">
        <v>6</v>
      </c>
      <c r="D1151" t="str">
        <f t="shared" si="103"/>
        <v>FAB1_Leche Clasica Light 1 L</v>
      </c>
      <c r="E1151">
        <v>2023</v>
      </c>
      <c r="F1151">
        <v>22</v>
      </c>
      <c r="G1151">
        <f t="shared" si="104"/>
        <v>6</v>
      </c>
      <c r="H1151" s="1">
        <f t="shared" si="105"/>
        <v>45075</v>
      </c>
      <c r="I1151" s="1">
        <f t="shared" si="106"/>
        <v>45078</v>
      </c>
      <c r="J1151">
        <v>285817.21999999986</v>
      </c>
      <c r="K1151">
        <v>15180</v>
      </c>
      <c r="L1151">
        <f t="shared" si="102"/>
        <v>18.828538866930163</v>
      </c>
      <c r="M1151">
        <v>1265</v>
      </c>
      <c r="N1151" s="2">
        <f t="shared" si="107"/>
        <v>225.94246640316194</v>
      </c>
      <c r="O1151">
        <v>12</v>
      </c>
    </row>
    <row r="1152" spans="1:15" x14ac:dyDescent="0.25">
      <c r="A1152" t="s">
        <v>46</v>
      </c>
      <c r="B1152" t="s">
        <v>14</v>
      </c>
      <c r="C1152" t="s">
        <v>6</v>
      </c>
      <c r="D1152" t="str">
        <f t="shared" si="103"/>
        <v>FAB1_Leche Clasica Light 1 L</v>
      </c>
      <c r="E1152">
        <v>2023</v>
      </c>
      <c r="F1152">
        <v>23</v>
      </c>
      <c r="G1152">
        <f t="shared" si="104"/>
        <v>6</v>
      </c>
      <c r="H1152" s="1">
        <f t="shared" si="105"/>
        <v>45082</v>
      </c>
      <c r="I1152" s="1">
        <f t="shared" si="106"/>
        <v>45078</v>
      </c>
      <c r="J1152">
        <v>276490.76</v>
      </c>
      <c r="K1152">
        <v>14496</v>
      </c>
      <c r="L1152">
        <f t="shared" si="102"/>
        <v>19.07358995584989</v>
      </c>
      <c r="M1152">
        <v>1208</v>
      </c>
      <c r="N1152" s="2">
        <f t="shared" si="107"/>
        <v>228.88307947019868</v>
      </c>
      <c r="O1152">
        <v>12</v>
      </c>
    </row>
    <row r="1153" spans="1:15" x14ac:dyDescent="0.25">
      <c r="A1153" t="s">
        <v>46</v>
      </c>
      <c r="B1153" t="s">
        <v>14</v>
      </c>
      <c r="C1153" t="s">
        <v>6</v>
      </c>
      <c r="D1153" t="str">
        <f t="shared" si="103"/>
        <v>FAB1_Leche Clasica Light 1 L</v>
      </c>
      <c r="E1153">
        <v>2023</v>
      </c>
      <c r="F1153">
        <v>24</v>
      </c>
      <c r="G1153">
        <f t="shared" si="104"/>
        <v>6</v>
      </c>
      <c r="H1153" s="1">
        <f t="shared" si="105"/>
        <v>45089</v>
      </c>
      <c r="I1153" s="1">
        <f t="shared" si="106"/>
        <v>45078</v>
      </c>
      <c r="J1153">
        <v>235542.53</v>
      </c>
      <c r="K1153">
        <v>12396</v>
      </c>
      <c r="L1153">
        <f t="shared" si="102"/>
        <v>19.001494837044209</v>
      </c>
      <c r="M1153">
        <v>1033</v>
      </c>
      <c r="N1153" s="2">
        <f t="shared" si="107"/>
        <v>228.0179380445305</v>
      </c>
      <c r="O1153">
        <v>12</v>
      </c>
    </row>
    <row r="1154" spans="1:15" x14ac:dyDescent="0.25">
      <c r="A1154" t="s">
        <v>46</v>
      </c>
      <c r="B1154" t="s">
        <v>14</v>
      </c>
      <c r="C1154" t="s">
        <v>6</v>
      </c>
      <c r="D1154" t="str">
        <f t="shared" si="103"/>
        <v>FAB1_Leche Clasica Light 1 L</v>
      </c>
      <c r="E1154">
        <v>2023</v>
      </c>
      <c r="F1154">
        <v>25</v>
      </c>
      <c r="G1154">
        <f t="shared" si="104"/>
        <v>6</v>
      </c>
      <c r="H1154" s="1">
        <f t="shared" si="105"/>
        <v>45096</v>
      </c>
      <c r="I1154" s="1">
        <f t="shared" si="106"/>
        <v>45078</v>
      </c>
      <c r="J1154">
        <v>220101.91999999995</v>
      </c>
      <c r="K1154">
        <v>11664</v>
      </c>
      <c r="L1154">
        <f t="shared" ref="L1154:L1217" si="108">J1154/K1154</f>
        <v>18.870192043895745</v>
      </c>
      <c r="M1154">
        <v>972</v>
      </c>
      <c r="N1154" s="2">
        <f t="shared" si="107"/>
        <v>226.44230452674893</v>
      </c>
      <c r="O1154">
        <v>12</v>
      </c>
    </row>
    <row r="1155" spans="1:15" x14ac:dyDescent="0.25">
      <c r="A1155" t="s">
        <v>46</v>
      </c>
      <c r="B1155" t="s">
        <v>14</v>
      </c>
      <c r="C1155" t="s">
        <v>6</v>
      </c>
      <c r="D1155" t="str">
        <f t="shared" ref="D1155:D1218" si="109">B1155&amp;"_"&amp;C1155</f>
        <v>FAB1_Leche Clasica Light 1 L</v>
      </c>
      <c r="E1155">
        <v>2023</v>
      </c>
      <c r="F1155">
        <v>26</v>
      </c>
      <c r="G1155">
        <f t="shared" ref="G1155:G1218" si="110">MONTH(DATE(E1155,1,4)+(F1155-1)*7-WEEKDAY(DATE(E1155,1,4),2)+4)</f>
        <v>6</v>
      </c>
      <c r="H1155" s="1">
        <f t="shared" ref="H1155:H1218" si="111">DATE(E1155,1,-2)-WEEKDAY(DATE(E1155,1,3))+F1155*7</f>
        <v>45103</v>
      </c>
      <c r="I1155" s="1">
        <f t="shared" ref="I1155:I1218" si="112">DATE(E1155,G1155,1)</f>
        <v>45078</v>
      </c>
      <c r="J1155">
        <v>220187.17999999996</v>
      </c>
      <c r="K1155">
        <v>11652</v>
      </c>
      <c r="L1155">
        <f t="shared" si="108"/>
        <v>18.896943014074832</v>
      </c>
      <c r="M1155">
        <v>971</v>
      </c>
      <c r="N1155" s="2">
        <f t="shared" ref="N1155:N1218" si="113">J1155/M1155</f>
        <v>226.763316168898</v>
      </c>
      <c r="O1155">
        <v>12</v>
      </c>
    </row>
    <row r="1156" spans="1:15" x14ac:dyDescent="0.25">
      <c r="A1156" t="s">
        <v>46</v>
      </c>
      <c r="B1156" t="s">
        <v>14</v>
      </c>
      <c r="C1156" t="s">
        <v>6</v>
      </c>
      <c r="D1156" t="str">
        <f t="shared" si="109"/>
        <v>FAB1_Leche Clasica Light 1 L</v>
      </c>
      <c r="E1156">
        <v>2023</v>
      </c>
      <c r="F1156">
        <v>27</v>
      </c>
      <c r="G1156">
        <f t="shared" si="110"/>
        <v>7</v>
      </c>
      <c r="H1156" s="1">
        <f t="shared" si="111"/>
        <v>45110</v>
      </c>
      <c r="I1156" s="1">
        <f t="shared" si="112"/>
        <v>45108</v>
      </c>
      <c r="J1156">
        <v>287454.56999999989</v>
      </c>
      <c r="K1156">
        <v>15108</v>
      </c>
      <c r="L1156">
        <f t="shared" si="108"/>
        <v>19.02664614773629</v>
      </c>
      <c r="M1156">
        <v>1259</v>
      </c>
      <c r="N1156" s="2">
        <f t="shared" si="113"/>
        <v>228.3197537728355</v>
      </c>
      <c r="O1156">
        <v>12</v>
      </c>
    </row>
    <row r="1157" spans="1:15" x14ac:dyDescent="0.25">
      <c r="A1157" t="s">
        <v>46</v>
      </c>
      <c r="B1157" t="s">
        <v>14</v>
      </c>
      <c r="C1157" t="s">
        <v>6</v>
      </c>
      <c r="D1157" t="str">
        <f t="shared" si="109"/>
        <v>FAB1_Leche Clasica Light 1 L</v>
      </c>
      <c r="E1157">
        <v>2023</v>
      </c>
      <c r="F1157">
        <v>28</v>
      </c>
      <c r="G1157">
        <f t="shared" si="110"/>
        <v>7</v>
      </c>
      <c r="H1157" s="1">
        <f t="shared" si="111"/>
        <v>45117</v>
      </c>
      <c r="I1157" s="1">
        <f t="shared" si="112"/>
        <v>45108</v>
      </c>
      <c r="J1157">
        <v>275259.99</v>
      </c>
      <c r="K1157">
        <v>14316</v>
      </c>
      <c r="L1157">
        <f t="shared" si="108"/>
        <v>19.227437133277451</v>
      </c>
      <c r="M1157">
        <v>1193</v>
      </c>
      <c r="N1157" s="2">
        <f t="shared" si="113"/>
        <v>230.7292455993294</v>
      </c>
      <c r="O1157">
        <v>12</v>
      </c>
    </row>
    <row r="1158" spans="1:15" x14ac:dyDescent="0.25">
      <c r="A1158" t="s">
        <v>46</v>
      </c>
      <c r="B1158" t="s">
        <v>14</v>
      </c>
      <c r="C1158" t="s">
        <v>6</v>
      </c>
      <c r="D1158" t="str">
        <f t="shared" si="109"/>
        <v>FAB1_Leche Clasica Light 1 L</v>
      </c>
      <c r="E1158">
        <v>2023</v>
      </c>
      <c r="F1158">
        <v>29</v>
      </c>
      <c r="G1158">
        <f t="shared" si="110"/>
        <v>7</v>
      </c>
      <c r="H1158" s="1">
        <f t="shared" si="111"/>
        <v>45124</v>
      </c>
      <c r="I1158" s="1">
        <f t="shared" si="112"/>
        <v>45108</v>
      </c>
      <c r="J1158">
        <v>336861.22000000003</v>
      </c>
      <c r="K1158">
        <v>18036</v>
      </c>
      <c r="L1158">
        <f t="shared" si="108"/>
        <v>18.677157906409406</v>
      </c>
      <c r="M1158">
        <v>1503</v>
      </c>
      <c r="N1158" s="2">
        <f t="shared" si="113"/>
        <v>224.12589487691287</v>
      </c>
      <c r="O1158">
        <v>12</v>
      </c>
    </row>
    <row r="1159" spans="1:15" x14ac:dyDescent="0.25">
      <c r="A1159" t="s">
        <v>46</v>
      </c>
      <c r="B1159" t="s">
        <v>14</v>
      </c>
      <c r="C1159" t="s">
        <v>6</v>
      </c>
      <c r="D1159" t="str">
        <f t="shared" si="109"/>
        <v>FAB1_Leche Clasica Light 1 L</v>
      </c>
      <c r="E1159">
        <v>2023</v>
      </c>
      <c r="F1159">
        <v>30</v>
      </c>
      <c r="G1159">
        <f t="shared" si="110"/>
        <v>7</v>
      </c>
      <c r="H1159" s="1">
        <f t="shared" si="111"/>
        <v>45131</v>
      </c>
      <c r="I1159" s="1">
        <f t="shared" si="112"/>
        <v>45108</v>
      </c>
      <c r="J1159">
        <v>316718.49999999994</v>
      </c>
      <c r="K1159">
        <v>17004</v>
      </c>
      <c r="L1159">
        <f t="shared" si="108"/>
        <v>18.626117384144905</v>
      </c>
      <c r="M1159">
        <v>1417</v>
      </c>
      <c r="N1159" s="2">
        <f t="shared" si="113"/>
        <v>223.51340860973883</v>
      </c>
      <c r="O1159">
        <v>12</v>
      </c>
    </row>
    <row r="1160" spans="1:15" x14ac:dyDescent="0.25">
      <c r="A1160" t="s">
        <v>46</v>
      </c>
      <c r="B1160" t="s">
        <v>14</v>
      </c>
      <c r="C1160" t="s">
        <v>6</v>
      </c>
      <c r="D1160" t="str">
        <f t="shared" si="109"/>
        <v>FAB1_Leche Clasica Light 1 L</v>
      </c>
      <c r="E1160">
        <v>2023</v>
      </c>
      <c r="F1160">
        <v>31</v>
      </c>
      <c r="G1160">
        <f t="shared" si="110"/>
        <v>8</v>
      </c>
      <c r="H1160" s="1">
        <f t="shared" si="111"/>
        <v>45138</v>
      </c>
      <c r="I1160" s="1">
        <f t="shared" si="112"/>
        <v>45139</v>
      </c>
      <c r="J1160">
        <v>344306.83</v>
      </c>
      <c r="K1160">
        <v>17640</v>
      </c>
      <c r="L1160">
        <f t="shared" si="108"/>
        <v>19.518527777777777</v>
      </c>
      <c r="M1160">
        <v>1470</v>
      </c>
      <c r="N1160" s="2">
        <f t="shared" si="113"/>
        <v>234.22233333333335</v>
      </c>
      <c r="O1160">
        <v>12</v>
      </c>
    </row>
    <row r="1161" spans="1:15" x14ac:dyDescent="0.25">
      <c r="A1161" t="s">
        <v>46</v>
      </c>
      <c r="B1161" t="s">
        <v>14</v>
      </c>
      <c r="C1161" t="s">
        <v>6</v>
      </c>
      <c r="D1161" t="str">
        <f t="shared" si="109"/>
        <v>FAB1_Leche Clasica Light 1 L</v>
      </c>
      <c r="E1161">
        <v>2023</v>
      </c>
      <c r="F1161">
        <v>32</v>
      </c>
      <c r="G1161">
        <f t="shared" si="110"/>
        <v>8</v>
      </c>
      <c r="H1161" s="1">
        <f t="shared" si="111"/>
        <v>45145</v>
      </c>
      <c r="I1161" s="1">
        <f t="shared" si="112"/>
        <v>45139</v>
      </c>
      <c r="J1161">
        <v>263739.77</v>
      </c>
      <c r="K1161">
        <v>12804</v>
      </c>
      <c r="L1161">
        <f t="shared" si="108"/>
        <v>20.598232583567636</v>
      </c>
      <c r="M1161">
        <v>1067</v>
      </c>
      <c r="N1161" s="2">
        <f t="shared" si="113"/>
        <v>247.17879100281164</v>
      </c>
      <c r="O1161">
        <v>12</v>
      </c>
    </row>
    <row r="1162" spans="1:15" x14ac:dyDescent="0.25">
      <c r="A1162" t="s">
        <v>46</v>
      </c>
      <c r="B1162" t="s">
        <v>14</v>
      </c>
      <c r="C1162" t="s">
        <v>6</v>
      </c>
      <c r="D1162" t="str">
        <f t="shared" si="109"/>
        <v>FAB1_Leche Clasica Light 1 L</v>
      </c>
      <c r="E1162">
        <v>2023</v>
      </c>
      <c r="F1162">
        <v>33</v>
      </c>
      <c r="G1162">
        <f t="shared" si="110"/>
        <v>8</v>
      </c>
      <c r="H1162" s="1">
        <f t="shared" si="111"/>
        <v>45152</v>
      </c>
      <c r="I1162" s="1">
        <f t="shared" si="112"/>
        <v>45139</v>
      </c>
      <c r="J1162">
        <v>237035.78</v>
      </c>
      <c r="K1162">
        <v>11772</v>
      </c>
      <c r="L1162">
        <f t="shared" si="108"/>
        <v>20.13555725450221</v>
      </c>
      <c r="M1162">
        <v>981</v>
      </c>
      <c r="N1162" s="2">
        <f t="shared" si="113"/>
        <v>241.62668705402649</v>
      </c>
      <c r="O1162">
        <v>12</v>
      </c>
    </row>
    <row r="1163" spans="1:15" x14ac:dyDescent="0.25">
      <c r="A1163" t="s">
        <v>46</v>
      </c>
      <c r="B1163" t="s">
        <v>14</v>
      </c>
      <c r="C1163" t="s">
        <v>6</v>
      </c>
      <c r="D1163" t="str">
        <f t="shared" si="109"/>
        <v>FAB1_Leche Clasica Light 1 L</v>
      </c>
      <c r="E1163">
        <v>2023</v>
      </c>
      <c r="F1163">
        <v>34</v>
      </c>
      <c r="G1163">
        <f t="shared" si="110"/>
        <v>8</v>
      </c>
      <c r="H1163" s="1">
        <f t="shared" si="111"/>
        <v>45159</v>
      </c>
      <c r="I1163" s="1">
        <f t="shared" si="112"/>
        <v>45139</v>
      </c>
      <c r="J1163">
        <v>175301.18</v>
      </c>
      <c r="K1163">
        <v>9252</v>
      </c>
      <c r="L1163">
        <f t="shared" si="108"/>
        <v>18.947382187635107</v>
      </c>
      <c r="M1163">
        <v>771</v>
      </c>
      <c r="N1163" s="2">
        <f t="shared" si="113"/>
        <v>227.36858625162125</v>
      </c>
      <c r="O1163">
        <v>12</v>
      </c>
    </row>
    <row r="1164" spans="1:15" x14ac:dyDescent="0.25">
      <c r="A1164" t="s">
        <v>46</v>
      </c>
      <c r="B1164" t="s">
        <v>14</v>
      </c>
      <c r="C1164" t="s">
        <v>6</v>
      </c>
      <c r="D1164" t="str">
        <f t="shared" si="109"/>
        <v>FAB1_Leche Clasica Light 1 L</v>
      </c>
      <c r="E1164">
        <v>2023</v>
      </c>
      <c r="F1164">
        <v>35</v>
      </c>
      <c r="G1164">
        <f t="shared" si="110"/>
        <v>8</v>
      </c>
      <c r="H1164" s="1">
        <f t="shared" si="111"/>
        <v>45166</v>
      </c>
      <c r="I1164" s="1">
        <f t="shared" si="112"/>
        <v>45139</v>
      </c>
      <c r="J1164">
        <v>108380.12000000001</v>
      </c>
      <c r="K1164">
        <v>6000</v>
      </c>
      <c r="L1164">
        <f t="shared" si="108"/>
        <v>18.063353333333335</v>
      </c>
      <c r="M1164">
        <v>500</v>
      </c>
      <c r="N1164" s="2">
        <f t="shared" si="113"/>
        <v>216.76024000000001</v>
      </c>
      <c r="O1164">
        <v>12</v>
      </c>
    </row>
    <row r="1165" spans="1:15" x14ac:dyDescent="0.25">
      <c r="A1165" t="s">
        <v>46</v>
      </c>
      <c r="B1165" t="s">
        <v>14</v>
      </c>
      <c r="C1165" t="s">
        <v>6</v>
      </c>
      <c r="D1165" t="str">
        <f t="shared" si="109"/>
        <v>FAB1_Leche Clasica Light 1 L</v>
      </c>
      <c r="E1165">
        <v>2023</v>
      </c>
      <c r="F1165">
        <v>36</v>
      </c>
      <c r="G1165">
        <f t="shared" si="110"/>
        <v>9</v>
      </c>
      <c r="H1165" s="1">
        <f t="shared" si="111"/>
        <v>45173</v>
      </c>
      <c r="I1165" s="1">
        <f t="shared" si="112"/>
        <v>45170</v>
      </c>
      <c r="J1165">
        <v>89371.319999999992</v>
      </c>
      <c r="K1165">
        <v>4740</v>
      </c>
      <c r="L1165">
        <f t="shared" si="108"/>
        <v>18.854708860759491</v>
      </c>
      <c r="M1165">
        <v>395</v>
      </c>
      <c r="N1165" s="2">
        <f t="shared" si="113"/>
        <v>226.2565063291139</v>
      </c>
      <c r="O1165">
        <v>12</v>
      </c>
    </row>
    <row r="1166" spans="1:15" x14ac:dyDescent="0.25">
      <c r="A1166" t="s">
        <v>46</v>
      </c>
      <c r="B1166" t="s">
        <v>14</v>
      </c>
      <c r="C1166" t="s">
        <v>6</v>
      </c>
      <c r="D1166" t="str">
        <f t="shared" si="109"/>
        <v>FAB1_Leche Clasica Light 1 L</v>
      </c>
      <c r="E1166">
        <v>2023</v>
      </c>
      <c r="F1166">
        <v>37</v>
      </c>
      <c r="G1166">
        <f t="shared" si="110"/>
        <v>9</v>
      </c>
      <c r="H1166" s="1">
        <f t="shared" si="111"/>
        <v>45180</v>
      </c>
      <c r="I1166" s="1">
        <f t="shared" si="112"/>
        <v>45170</v>
      </c>
      <c r="J1166">
        <v>84825.89</v>
      </c>
      <c r="K1166">
        <v>4056</v>
      </c>
      <c r="L1166">
        <f t="shared" si="108"/>
        <v>20.913680966469428</v>
      </c>
      <c r="M1166">
        <v>338</v>
      </c>
      <c r="N1166" s="2">
        <f t="shared" si="113"/>
        <v>250.96417159763314</v>
      </c>
      <c r="O1166">
        <v>12</v>
      </c>
    </row>
    <row r="1167" spans="1:15" x14ac:dyDescent="0.25">
      <c r="A1167" t="s">
        <v>46</v>
      </c>
      <c r="B1167" t="s">
        <v>14</v>
      </c>
      <c r="C1167" t="s">
        <v>6</v>
      </c>
      <c r="D1167" t="str">
        <f t="shared" si="109"/>
        <v>FAB1_Leche Clasica Light 1 L</v>
      </c>
      <c r="E1167">
        <v>2023</v>
      </c>
      <c r="F1167">
        <v>38</v>
      </c>
      <c r="G1167">
        <f t="shared" si="110"/>
        <v>9</v>
      </c>
      <c r="H1167" s="1">
        <f t="shared" si="111"/>
        <v>45187</v>
      </c>
      <c r="I1167" s="1">
        <f t="shared" si="112"/>
        <v>45170</v>
      </c>
      <c r="J1167">
        <v>70096.429999999993</v>
      </c>
      <c r="K1167">
        <v>3336</v>
      </c>
      <c r="L1167">
        <f t="shared" si="108"/>
        <v>21.012119304556354</v>
      </c>
      <c r="M1167">
        <v>278</v>
      </c>
      <c r="N1167" s="2">
        <f t="shared" si="113"/>
        <v>252.14543165467623</v>
      </c>
      <c r="O1167">
        <v>12</v>
      </c>
    </row>
    <row r="1168" spans="1:15" x14ac:dyDescent="0.25">
      <c r="A1168" t="s">
        <v>46</v>
      </c>
      <c r="B1168" t="s">
        <v>14</v>
      </c>
      <c r="C1168" t="s">
        <v>6</v>
      </c>
      <c r="D1168" t="str">
        <f t="shared" si="109"/>
        <v>FAB1_Leche Clasica Light 1 L</v>
      </c>
      <c r="E1168">
        <v>2023</v>
      </c>
      <c r="F1168">
        <v>39</v>
      </c>
      <c r="G1168">
        <f t="shared" si="110"/>
        <v>9</v>
      </c>
      <c r="H1168" s="1">
        <f t="shared" si="111"/>
        <v>45194</v>
      </c>
      <c r="I1168" s="1">
        <f t="shared" si="112"/>
        <v>45170</v>
      </c>
      <c r="J1168">
        <v>56025</v>
      </c>
      <c r="K1168">
        <v>2664</v>
      </c>
      <c r="L1168">
        <f t="shared" si="108"/>
        <v>21.030405405405407</v>
      </c>
      <c r="M1168">
        <v>222</v>
      </c>
      <c r="N1168" s="2">
        <f t="shared" si="113"/>
        <v>252.36486486486487</v>
      </c>
      <c r="O1168">
        <v>12</v>
      </c>
    </row>
    <row r="1169" spans="1:15" x14ac:dyDescent="0.25">
      <c r="A1169" t="s">
        <v>46</v>
      </c>
      <c r="B1169" t="s">
        <v>14</v>
      </c>
      <c r="C1169" t="s">
        <v>6</v>
      </c>
      <c r="D1169" t="str">
        <f t="shared" si="109"/>
        <v>FAB1_Leche Clasica Light 1 L</v>
      </c>
      <c r="E1169">
        <v>2023</v>
      </c>
      <c r="F1169">
        <v>40</v>
      </c>
      <c r="G1169">
        <f t="shared" si="110"/>
        <v>10</v>
      </c>
      <c r="H1169" s="1">
        <f t="shared" si="111"/>
        <v>45201</v>
      </c>
      <c r="I1169" s="1">
        <f t="shared" si="112"/>
        <v>45200</v>
      </c>
      <c r="J1169">
        <v>54676.26</v>
      </c>
      <c r="K1169">
        <v>2604</v>
      </c>
      <c r="L1169">
        <f t="shared" si="108"/>
        <v>20.997027649769585</v>
      </c>
      <c r="M1169">
        <v>217</v>
      </c>
      <c r="N1169" s="2">
        <f t="shared" si="113"/>
        <v>251.96433179723502</v>
      </c>
      <c r="O1169">
        <v>12</v>
      </c>
    </row>
    <row r="1170" spans="1:15" x14ac:dyDescent="0.25">
      <c r="A1170" t="s">
        <v>46</v>
      </c>
      <c r="B1170" t="s">
        <v>14</v>
      </c>
      <c r="C1170" t="s">
        <v>6</v>
      </c>
      <c r="D1170" t="str">
        <f t="shared" si="109"/>
        <v>FAB1_Leche Clasica Light 1 L</v>
      </c>
      <c r="E1170">
        <v>2023</v>
      </c>
      <c r="F1170">
        <v>41</v>
      </c>
      <c r="G1170">
        <f t="shared" si="110"/>
        <v>10</v>
      </c>
      <c r="H1170" s="1">
        <f t="shared" si="111"/>
        <v>45208</v>
      </c>
      <c r="I1170" s="1">
        <f t="shared" si="112"/>
        <v>45200</v>
      </c>
      <c r="J1170">
        <v>52298.18</v>
      </c>
      <c r="K1170">
        <v>2604</v>
      </c>
      <c r="L1170">
        <f t="shared" si="108"/>
        <v>20.083786482334869</v>
      </c>
      <c r="M1170">
        <v>217</v>
      </c>
      <c r="N1170" s="2">
        <f t="shared" si="113"/>
        <v>241.00543778801844</v>
      </c>
      <c r="O1170">
        <v>12</v>
      </c>
    </row>
    <row r="1171" spans="1:15" x14ac:dyDescent="0.25">
      <c r="A1171" t="s">
        <v>46</v>
      </c>
      <c r="B1171" t="s">
        <v>14</v>
      </c>
      <c r="C1171" t="s">
        <v>6</v>
      </c>
      <c r="D1171" t="str">
        <f t="shared" si="109"/>
        <v>FAB1_Leche Clasica Light 1 L</v>
      </c>
      <c r="E1171">
        <v>2023</v>
      </c>
      <c r="F1171">
        <v>42</v>
      </c>
      <c r="G1171">
        <f t="shared" si="110"/>
        <v>10</v>
      </c>
      <c r="H1171" s="1">
        <f t="shared" si="111"/>
        <v>45215</v>
      </c>
      <c r="I1171" s="1">
        <f t="shared" si="112"/>
        <v>45200</v>
      </c>
      <c r="J1171">
        <v>53194.82</v>
      </c>
      <c r="K1171">
        <v>2712</v>
      </c>
      <c r="L1171">
        <f t="shared" si="108"/>
        <v>19.614609144542772</v>
      </c>
      <c r="M1171">
        <v>226</v>
      </c>
      <c r="N1171" s="2">
        <f t="shared" si="113"/>
        <v>235.37530973451328</v>
      </c>
      <c r="O1171">
        <v>12</v>
      </c>
    </row>
    <row r="1172" spans="1:15" x14ac:dyDescent="0.25">
      <c r="A1172" t="s">
        <v>46</v>
      </c>
      <c r="B1172" t="s">
        <v>14</v>
      </c>
      <c r="C1172" t="s">
        <v>6</v>
      </c>
      <c r="D1172" t="str">
        <f t="shared" si="109"/>
        <v>FAB1_Leche Clasica Light 1 L</v>
      </c>
      <c r="E1172">
        <v>2023</v>
      </c>
      <c r="F1172">
        <v>43</v>
      </c>
      <c r="G1172">
        <f t="shared" si="110"/>
        <v>10</v>
      </c>
      <c r="H1172" s="1">
        <f t="shared" si="111"/>
        <v>45222</v>
      </c>
      <c r="I1172" s="1">
        <f t="shared" si="112"/>
        <v>45200</v>
      </c>
      <c r="J1172">
        <v>46711.100000000006</v>
      </c>
      <c r="K1172">
        <v>2316</v>
      </c>
      <c r="L1172">
        <f t="shared" si="108"/>
        <v>20.168868739205529</v>
      </c>
      <c r="M1172">
        <v>193</v>
      </c>
      <c r="N1172" s="2">
        <f t="shared" si="113"/>
        <v>242.02642487046634</v>
      </c>
      <c r="O1172">
        <v>12</v>
      </c>
    </row>
    <row r="1173" spans="1:15" x14ac:dyDescent="0.25">
      <c r="A1173" t="s">
        <v>46</v>
      </c>
      <c r="B1173" t="s">
        <v>14</v>
      </c>
      <c r="C1173" t="s">
        <v>6</v>
      </c>
      <c r="D1173" t="str">
        <f t="shared" si="109"/>
        <v>FAB1_Leche Clasica Light 1 L</v>
      </c>
      <c r="E1173">
        <v>2023</v>
      </c>
      <c r="F1173">
        <v>44</v>
      </c>
      <c r="G1173">
        <f t="shared" si="110"/>
        <v>11</v>
      </c>
      <c r="H1173" s="1">
        <f t="shared" si="111"/>
        <v>45229</v>
      </c>
      <c r="I1173" s="1">
        <f t="shared" si="112"/>
        <v>45231</v>
      </c>
      <c r="J1173">
        <v>41893.64</v>
      </c>
      <c r="K1173">
        <v>2004</v>
      </c>
      <c r="L1173">
        <f t="shared" si="108"/>
        <v>20.905009980039921</v>
      </c>
      <c r="M1173">
        <v>167</v>
      </c>
      <c r="N1173" s="2">
        <f t="shared" si="113"/>
        <v>250.86011976047905</v>
      </c>
      <c r="O1173">
        <v>12</v>
      </c>
    </row>
    <row r="1174" spans="1:15" x14ac:dyDescent="0.25">
      <c r="A1174" t="s">
        <v>46</v>
      </c>
      <c r="B1174" t="s">
        <v>14</v>
      </c>
      <c r="C1174" t="s">
        <v>6</v>
      </c>
      <c r="D1174" t="str">
        <f t="shared" si="109"/>
        <v>FAB1_Leche Clasica Light 1 L</v>
      </c>
      <c r="E1174">
        <v>2023</v>
      </c>
      <c r="F1174">
        <v>45</v>
      </c>
      <c r="G1174">
        <f t="shared" si="110"/>
        <v>11</v>
      </c>
      <c r="H1174" s="1">
        <f t="shared" si="111"/>
        <v>45236</v>
      </c>
      <c r="I1174" s="1">
        <f t="shared" si="112"/>
        <v>45231</v>
      </c>
      <c r="J1174">
        <v>42547.49</v>
      </c>
      <c r="K1174">
        <v>2028</v>
      </c>
      <c r="L1174">
        <f t="shared" si="108"/>
        <v>20.980024654832345</v>
      </c>
      <c r="M1174">
        <v>169</v>
      </c>
      <c r="N1174" s="2">
        <f t="shared" si="113"/>
        <v>251.76029585798815</v>
      </c>
      <c r="O1174">
        <v>12</v>
      </c>
    </row>
    <row r="1175" spans="1:15" x14ac:dyDescent="0.25">
      <c r="A1175" t="s">
        <v>46</v>
      </c>
      <c r="B1175" t="s">
        <v>14</v>
      </c>
      <c r="C1175" t="s">
        <v>6</v>
      </c>
      <c r="D1175" t="str">
        <f t="shared" si="109"/>
        <v>FAB1_Leche Clasica Light 1 L</v>
      </c>
      <c r="E1175">
        <v>2023</v>
      </c>
      <c r="F1175">
        <v>46</v>
      </c>
      <c r="G1175">
        <f t="shared" si="110"/>
        <v>11</v>
      </c>
      <c r="H1175" s="1">
        <f t="shared" si="111"/>
        <v>45243</v>
      </c>
      <c r="I1175" s="1">
        <f t="shared" si="112"/>
        <v>45231</v>
      </c>
      <c r="J1175">
        <v>49303.750000000007</v>
      </c>
      <c r="K1175">
        <v>2352</v>
      </c>
      <c r="L1175">
        <f t="shared" si="108"/>
        <v>20.9624787414966</v>
      </c>
      <c r="M1175">
        <v>196</v>
      </c>
      <c r="N1175" s="2">
        <f t="shared" si="113"/>
        <v>251.54974489795921</v>
      </c>
      <c r="O1175">
        <v>12</v>
      </c>
    </row>
    <row r="1176" spans="1:15" x14ac:dyDescent="0.25">
      <c r="A1176" t="s">
        <v>46</v>
      </c>
      <c r="B1176" t="s">
        <v>14</v>
      </c>
      <c r="C1176" t="s">
        <v>6</v>
      </c>
      <c r="D1176" t="str">
        <f t="shared" si="109"/>
        <v>FAB1_Leche Clasica Light 1 L</v>
      </c>
      <c r="E1176">
        <v>2023</v>
      </c>
      <c r="F1176">
        <v>47</v>
      </c>
      <c r="G1176">
        <f t="shared" si="110"/>
        <v>11</v>
      </c>
      <c r="H1176" s="1">
        <f t="shared" si="111"/>
        <v>45250</v>
      </c>
      <c r="I1176" s="1">
        <f t="shared" si="112"/>
        <v>45231</v>
      </c>
      <c r="J1176">
        <v>50118.51</v>
      </c>
      <c r="K1176">
        <v>2388</v>
      </c>
      <c r="L1176">
        <f t="shared" si="108"/>
        <v>20.987650753768847</v>
      </c>
      <c r="M1176">
        <v>199</v>
      </c>
      <c r="N1176" s="2">
        <f t="shared" si="113"/>
        <v>251.85180904522613</v>
      </c>
      <c r="O1176">
        <v>12</v>
      </c>
    </row>
    <row r="1177" spans="1:15" x14ac:dyDescent="0.25">
      <c r="A1177" t="s">
        <v>46</v>
      </c>
      <c r="B1177" t="s">
        <v>14</v>
      </c>
      <c r="C1177" t="s">
        <v>6</v>
      </c>
      <c r="D1177" t="str">
        <f t="shared" si="109"/>
        <v>FAB1_Leche Clasica Light 1 L</v>
      </c>
      <c r="E1177">
        <v>2023</v>
      </c>
      <c r="F1177">
        <v>48</v>
      </c>
      <c r="G1177">
        <f t="shared" si="110"/>
        <v>11</v>
      </c>
      <c r="H1177" s="1">
        <f t="shared" si="111"/>
        <v>45257</v>
      </c>
      <c r="I1177" s="1">
        <f t="shared" si="112"/>
        <v>45231</v>
      </c>
      <c r="J1177">
        <v>38054.81</v>
      </c>
      <c r="K1177">
        <v>1812</v>
      </c>
      <c r="L1177">
        <f t="shared" si="108"/>
        <v>21.001550772626931</v>
      </c>
      <c r="M1177">
        <v>151</v>
      </c>
      <c r="N1177" s="2">
        <f t="shared" si="113"/>
        <v>252.01860927152316</v>
      </c>
      <c r="O1177">
        <v>12</v>
      </c>
    </row>
    <row r="1178" spans="1:15" x14ac:dyDescent="0.25">
      <c r="A1178" t="s">
        <v>46</v>
      </c>
      <c r="B1178" t="s">
        <v>14</v>
      </c>
      <c r="C1178" t="s">
        <v>6</v>
      </c>
      <c r="D1178" t="str">
        <f t="shared" si="109"/>
        <v>FAB1_Leche Clasica Light 1 L</v>
      </c>
      <c r="E1178">
        <v>2023</v>
      </c>
      <c r="F1178">
        <v>49</v>
      </c>
      <c r="G1178">
        <f t="shared" si="110"/>
        <v>12</v>
      </c>
      <c r="H1178" s="1">
        <f t="shared" si="111"/>
        <v>45264</v>
      </c>
      <c r="I1178" s="1">
        <f t="shared" si="112"/>
        <v>45261</v>
      </c>
      <c r="J1178">
        <v>46075.33</v>
      </c>
      <c r="K1178">
        <v>2196</v>
      </c>
      <c r="L1178">
        <f t="shared" si="108"/>
        <v>20.981479963570127</v>
      </c>
      <c r="M1178">
        <v>183</v>
      </c>
      <c r="N1178" s="2">
        <f t="shared" si="113"/>
        <v>251.77775956284154</v>
      </c>
      <c r="O1178">
        <v>12</v>
      </c>
    </row>
    <row r="1179" spans="1:15" x14ac:dyDescent="0.25">
      <c r="A1179" t="s">
        <v>46</v>
      </c>
      <c r="B1179" t="s">
        <v>14</v>
      </c>
      <c r="C1179" t="s">
        <v>6</v>
      </c>
      <c r="D1179" t="str">
        <f t="shared" si="109"/>
        <v>FAB1_Leche Clasica Light 1 L</v>
      </c>
      <c r="E1179">
        <v>2023</v>
      </c>
      <c r="F1179">
        <v>50</v>
      </c>
      <c r="G1179">
        <f t="shared" si="110"/>
        <v>12</v>
      </c>
      <c r="H1179" s="1">
        <f t="shared" si="111"/>
        <v>45271</v>
      </c>
      <c r="I1179" s="1">
        <f t="shared" si="112"/>
        <v>45261</v>
      </c>
      <c r="J1179">
        <v>45832.75</v>
      </c>
      <c r="K1179">
        <v>2184</v>
      </c>
      <c r="L1179">
        <f t="shared" si="108"/>
        <v>20.985691391941391</v>
      </c>
      <c r="M1179">
        <v>182</v>
      </c>
      <c r="N1179" s="2">
        <f t="shared" si="113"/>
        <v>251.8282967032967</v>
      </c>
      <c r="O1179">
        <v>12</v>
      </c>
    </row>
    <row r="1180" spans="1:15" x14ac:dyDescent="0.25">
      <c r="A1180" t="s">
        <v>46</v>
      </c>
      <c r="B1180" t="s">
        <v>14</v>
      </c>
      <c r="C1180" t="s">
        <v>6</v>
      </c>
      <c r="D1180" t="str">
        <f t="shared" si="109"/>
        <v>FAB1_Leche Clasica Light 1 L</v>
      </c>
      <c r="E1180">
        <v>2023</v>
      </c>
      <c r="F1180">
        <v>51</v>
      </c>
      <c r="G1180">
        <f t="shared" si="110"/>
        <v>12</v>
      </c>
      <c r="H1180" s="1">
        <f t="shared" si="111"/>
        <v>45278</v>
      </c>
      <c r="I1180" s="1">
        <f t="shared" si="112"/>
        <v>45261</v>
      </c>
      <c r="J1180">
        <v>39009.25</v>
      </c>
      <c r="K1180">
        <v>1860</v>
      </c>
      <c r="L1180">
        <f t="shared" si="108"/>
        <v>20.972715053763441</v>
      </c>
      <c r="M1180">
        <v>155</v>
      </c>
      <c r="N1180" s="2">
        <f t="shared" si="113"/>
        <v>251.6725806451613</v>
      </c>
      <c r="O1180">
        <v>12</v>
      </c>
    </row>
    <row r="1181" spans="1:15" x14ac:dyDescent="0.25">
      <c r="A1181" t="s">
        <v>46</v>
      </c>
      <c r="B1181" t="s">
        <v>14</v>
      </c>
      <c r="C1181" t="s">
        <v>6</v>
      </c>
      <c r="D1181" t="str">
        <f t="shared" si="109"/>
        <v>FAB1_Leche Clasica Light 1 L</v>
      </c>
      <c r="E1181">
        <v>2023</v>
      </c>
      <c r="F1181">
        <v>52</v>
      </c>
      <c r="G1181">
        <f t="shared" si="110"/>
        <v>12</v>
      </c>
      <c r="H1181" s="1">
        <f t="shared" si="111"/>
        <v>45285</v>
      </c>
      <c r="I1181" s="1">
        <f t="shared" si="112"/>
        <v>45261</v>
      </c>
      <c r="J1181">
        <v>35766.670000000006</v>
      </c>
      <c r="K1181">
        <v>1704</v>
      </c>
      <c r="L1181">
        <f t="shared" si="108"/>
        <v>20.989829812206576</v>
      </c>
      <c r="M1181">
        <v>142</v>
      </c>
      <c r="N1181" s="2">
        <f t="shared" si="113"/>
        <v>251.8779577464789</v>
      </c>
      <c r="O1181">
        <v>12</v>
      </c>
    </row>
    <row r="1182" spans="1:15" x14ac:dyDescent="0.25">
      <c r="A1182" t="s">
        <v>46</v>
      </c>
      <c r="B1182" t="s">
        <v>14</v>
      </c>
      <c r="C1182" t="s">
        <v>6</v>
      </c>
      <c r="D1182" t="str">
        <f t="shared" si="109"/>
        <v>FAB1_Leche Clasica Light 1 L</v>
      </c>
      <c r="E1182">
        <v>2024</v>
      </c>
      <c r="F1182">
        <v>1</v>
      </c>
      <c r="G1182">
        <f t="shared" si="110"/>
        <v>1</v>
      </c>
      <c r="H1182" s="1">
        <f t="shared" si="111"/>
        <v>45292</v>
      </c>
      <c r="I1182" s="1">
        <f t="shared" si="112"/>
        <v>45292</v>
      </c>
      <c r="J1182">
        <v>60411.07</v>
      </c>
      <c r="K1182">
        <v>2880</v>
      </c>
      <c r="L1182">
        <f t="shared" si="108"/>
        <v>20.976065972222223</v>
      </c>
      <c r="M1182">
        <v>240</v>
      </c>
      <c r="N1182" s="2">
        <f t="shared" si="113"/>
        <v>251.71279166666667</v>
      </c>
      <c r="O1182">
        <v>12</v>
      </c>
    </row>
    <row r="1183" spans="1:15" x14ac:dyDescent="0.25">
      <c r="A1183" t="s">
        <v>46</v>
      </c>
      <c r="B1183" t="s">
        <v>14</v>
      </c>
      <c r="C1183" t="s">
        <v>6</v>
      </c>
      <c r="D1183" t="str">
        <f t="shared" si="109"/>
        <v>FAB1_Leche Clasica Light 1 L</v>
      </c>
      <c r="E1183">
        <v>2024</v>
      </c>
      <c r="F1183">
        <v>2</v>
      </c>
      <c r="G1183">
        <f t="shared" si="110"/>
        <v>1</v>
      </c>
      <c r="H1183" s="1">
        <f t="shared" si="111"/>
        <v>45299</v>
      </c>
      <c r="I1183" s="1">
        <f t="shared" si="112"/>
        <v>45292</v>
      </c>
      <c r="J1183">
        <v>45906.270000000004</v>
      </c>
      <c r="K1183">
        <v>2184</v>
      </c>
      <c r="L1183">
        <f t="shared" si="108"/>
        <v>21.019354395604399</v>
      </c>
      <c r="M1183">
        <v>182</v>
      </c>
      <c r="N1183" s="2">
        <f t="shared" si="113"/>
        <v>252.23225274725277</v>
      </c>
      <c r="O1183">
        <v>12</v>
      </c>
    </row>
    <row r="1184" spans="1:15" x14ac:dyDescent="0.25">
      <c r="A1184" t="s">
        <v>46</v>
      </c>
      <c r="B1184" t="s">
        <v>14</v>
      </c>
      <c r="C1184" t="s">
        <v>6</v>
      </c>
      <c r="D1184" t="str">
        <f t="shared" si="109"/>
        <v>FAB1_Leche Clasica Light 1 L</v>
      </c>
      <c r="E1184">
        <v>2024</v>
      </c>
      <c r="F1184">
        <v>3</v>
      </c>
      <c r="G1184">
        <f t="shared" si="110"/>
        <v>1</v>
      </c>
      <c r="H1184" s="1">
        <f t="shared" si="111"/>
        <v>45306</v>
      </c>
      <c r="I1184" s="1">
        <f t="shared" si="112"/>
        <v>45292</v>
      </c>
      <c r="J1184">
        <v>43041.5</v>
      </c>
      <c r="K1184">
        <v>2052</v>
      </c>
      <c r="L1184">
        <f t="shared" si="108"/>
        <v>20.975389863547758</v>
      </c>
      <c r="M1184">
        <v>171</v>
      </c>
      <c r="N1184" s="2">
        <f t="shared" si="113"/>
        <v>251.70467836257311</v>
      </c>
      <c r="O1184">
        <v>12</v>
      </c>
    </row>
    <row r="1185" spans="1:15" x14ac:dyDescent="0.25">
      <c r="A1185" t="s">
        <v>46</v>
      </c>
      <c r="B1185" t="s">
        <v>14</v>
      </c>
      <c r="C1185" t="s">
        <v>6</v>
      </c>
      <c r="D1185" t="str">
        <f t="shared" si="109"/>
        <v>FAB1_Leche Clasica Light 1 L</v>
      </c>
      <c r="E1185">
        <v>2024</v>
      </c>
      <c r="F1185">
        <v>4</v>
      </c>
      <c r="G1185">
        <f t="shared" si="110"/>
        <v>1</v>
      </c>
      <c r="H1185" s="1">
        <f t="shared" si="111"/>
        <v>45313</v>
      </c>
      <c r="I1185" s="1">
        <f t="shared" si="112"/>
        <v>45292</v>
      </c>
      <c r="J1185">
        <v>42541.77</v>
      </c>
      <c r="K1185">
        <v>2028</v>
      </c>
      <c r="L1185">
        <f t="shared" si="108"/>
        <v>20.977204142011832</v>
      </c>
      <c r="M1185">
        <v>169</v>
      </c>
      <c r="N1185" s="2">
        <f t="shared" si="113"/>
        <v>251.726449704142</v>
      </c>
      <c r="O1185">
        <v>12</v>
      </c>
    </row>
    <row r="1186" spans="1:15" x14ac:dyDescent="0.25">
      <c r="A1186" t="s">
        <v>46</v>
      </c>
      <c r="B1186" t="s">
        <v>14</v>
      </c>
      <c r="C1186" t="s">
        <v>6</v>
      </c>
      <c r="D1186" t="str">
        <f t="shared" si="109"/>
        <v>FAB1_Leche Clasica Light 1 L</v>
      </c>
      <c r="E1186">
        <v>2024</v>
      </c>
      <c r="F1186">
        <v>5</v>
      </c>
      <c r="G1186">
        <f t="shared" si="110"/>
        <v>2</v>
      </c>
      <c r="H1186" s="1">
        <f t="shared" si="111"/>
        <v>45320</v>
      </c>
      <c r="I1186" s="1">
        <f t="shared" si="112"/>
        <v>45323</v>
      </c>
      <c r="J1186">
        <v>57850.5</v>
      </c>
      <c r="K1186">
        <v>2760</v>
      </c>
      <c r="L1186">
        <f t="shared" si="108"/>
        <v>20.96032608695652</v>
      </c>
      <c r="M1186">
        <v>230</v>
      </c>
      <c r="N1186" s="2">
        <f t="shared" si="113"/>
        <v>251.52391304347827</v>
      </c>
      <c r="O1186">
        <v>12</v>
      </c>
    </row>
    <row r="1187" spans="1:15" x14ac:dyDescent="0.25">
      <c r="A1187" t="s">
        <v>46</v>
      </c>
      <c r="B1187" t="s">
        <v>14</v>
      </c>
      <c r="C1187" t="s">
        <v>6</v>
      </c>
      <c r="D1187" t="str">
        <f t="shared" si="109"/>
        <v>FAB1_Leche Clasica Light 1 L</v>
      </c>
      <c r="E1187">
        <v>2024</v>
      </c>
      <c r="F1187">
        <v>6</v>
      </c>
      <c r="G1187">
        <f t="shared" si="110"/>
        <v>2</v>
      </c>
      <c r="H1187" s="1">
        <f t="shared" si="111"/>
        <v>45327</v>
      </c>
      <c r="I1187" s="1">
        <f t="shared" si="112"/>
        <v>45323</v>
      </c>
      <c r="J1187">
        <v>54561.979999999996</v>
      </c>
      <c r="K1187">
        <v>2604</v>
      </c>
      <c r="L1187">
        <f t="shared" si="108"/>
        <v>20.953141321044544</v>
      </c>
      <c r="M1187">
        <v>217</v>
      </c>
      <c r="N1187" s="2">
        <f t="shared" si="113"/>
        <v>251.43769585253455</v>
      </c>
      <c r="O1187">
        <v>12</v>
      </c>
    </row>
    <row r="1188" spans="1:15" x14ac:dyDescent="0.25">
      <c r="A1188" t="s">
        <v>46</v>
      </c>
      <c r="B1188" t="s">
        <v>14</v>
      </c>
      <c r="C1188" t="s">
        <v>6</v>
      </c>
      <c r="D1188" t="str">
        <f t="shared" si="109"/>
        <v>FAB1_Leche Clasica Light 1 L</v>
      </c>
      <c r="E1188">
        <v>2024</v>
      </c>
      <c r="F1188">
        <v>7</v>
      </c>
      <c r="G1188">
        <f t="shared" si="110"/>
        <v>2</v>
      </c>
      <c r="H1188" s="1">
        <f t="shared" si="111"/>
        <v>45334</v>
      </c>
      <c r="I1188" s="1">
        <f t="shared" si="112"/>
        <v>45323</v>
      </c>
      <c r="J1188">
        <v>74281.41</v>
      </c>
      <c r="K1188">
        <v>3672</v>
      </c>
      <c r="L1188">
        <f t="shared" si="108"/>
        <v>20.229142156862746</v>
      </c>
      <c r="M1188">
        <v>306</v>
      </c>
      <c r="N1188" s="2">
        <f t="shared" si="113"/>
        <v>242.74970588235294</v>
      </c>
      <c r="O1188">
        <v>12</v>
      </c>
    </row>
    <row r="1189" spans="1:15" x14ac:dyDescent="0.25">
      <c r="A1189" t="s">
        <v>46</v>
      </c>
      <c r="B1189" t="s">
        <v>14</v>
      </c>
      <c r="C1189" t="s">
        <v>6</v>
      </c>
      <c r="D1189" t="str">
        <f t="shared" si="109"/>
        <v>FAB1_Leche Clasica Light 1 L</v>
      </c>
      <c r="E1189">
        <v>2024</v>
      </c>
      <c r="F1189">
        <v>8</v>
      </c>
      <c r="G1189">
        <f t="shared" si="110"/>
        <v>2</v>
      </c>
      <c r="H1189" s="1">
        <f t="shared" si="111"/>
        <v>45341</v>
      </c>
      <c r="I1189" s="1">
        <f t="shared" si="112"/>
        <v>45323</v>
      </c>
      <c r="J1189">
        <v>65543.72</v>
      </c>
      <c r="K1189">
        <v>3240</v>
      </c>
      <c r="L1189">
        <f t="shared" si="108"/>
        <v>20.229543209876542</v>
      </c>
      <c r="M1189">
        <v>270</v>
      </c>
      <c r="N1189" s="2">
        <f t="shared" si="113"/>
        <v>242.75451851851852</v>
      </c>
      <c r="O1189">
        <v>12</v>
      </c>
    </row>
    <row r="1190" spans="1:15" x14ac:dyDescent="0.25">
      <c r="A1190" t="s">
        <v>46</v>
      </c>
      <c r="B1190" t="s">
        <v>14</v>
      </c>
      <c r="C1190" t="s">
        <v>6</v>
      </c>
      <c r="D1190" t="str">
        <f t="shared" si="109"/>
        <v>FAB1_Leche Clasica Light 1 L</v>
      </c>
      <c r="E1190">
        <v>2024</v>
      </c>
      <c r="F1190">
        <v>9</v>
      </c>
      <c r="G1190">
        <f t="shared" si="110"/>
        <v>2</v>
      </c>
      <c r="H1190" s="1">
        <f t="shared" si="111"/>
        <v>45348</v>
      </c>
      <c r="I1190" s="1">
        <f t="shared" si="112"/>
        <v>45323</v>
      </c>
      <c r="J1190">
        <v>42530.399999999994</v>
      </c>
      <c r="K1190">
        <v>1920</v>
      </c>
      <c r="L1190">
        <f t="shared" si="108"/>
        <v>22.151249999999997</v>
      </c>
      <c r="M1190">
        <v>160</v>
      </c>
      <c r="N1190" s="2">
        <f t="shared" si="113"/>
        <v>265.81499999999994</v>
      </c>
      <c r="O1190">
        <v>12</v>
      </c>
    </row>
    <row r="1191" spans="1:15" x14ac:dyDescent="0.25">
      <c r="A1191" t="s">
        <v>46</v>
      </c>
      <c r="B1191" t="s">
        <v>14</v>
      </c>
      <c r="C1191" t="s">
        <v>6</v>
      </c>
      <c r="D1191" t="str">
        <f t="shared" si="109"/>
        <v>FAB1_Leche Clasica Light 1 L</v>
      </c>
      <c r="E1191">
        <v>2024</v>
      </c>
      <c r="F1191">
        <v>10</v>
      </c>
      <c r="G1191">
        <f t="shared" si="110"/>
        <v>3</v>
      </c>
      <c r="H1191" s="1">
        <f t="shared" si="111"/>
        <v>45355</v>
      </c>
      <c r="I1191" s="1">
        <f t="shared" si="112"/>
        <v>45352</v>
      </c>
      <c r="J1191">
        <v>47379.96</v>
      </c>
      <c r="K1191">
        <v>2148</v>
      </c>
      <c r="L1191">
        <f t="shared" si="108"/>
        <v>22.057709497206705</v>
      </c>
      <c r="M1191">
        <v>179</v>
      </c>
      <c r="N1191" s="2">
        <f t="shared" si="113"/>
        <v>264.69251396648042</v>
      </c>
      <c r="O1191">
        <v>12</v>
      </c>
    </row>
    <row r="1192" spans="1:15" x14ac:dyDescent="0.25">
      <c r="A1192" t="s">
        <v>46</v>
      </c>
      <c r="B1192" t="s">
        <v>14</v>
      </c>
      <c r="C1192" t="s">
        <v>6</v>
      </c>
      <c r="D1192" t="str">
        <f t="shared" si="109"/>
        <v>FAB1_Leche Clasica Light 1 L</v>
      </c>
      <c r="E1192">
        <v>2024</v>
      </c>
      <c r="F1192">
        <v>11</v>
      </c>
      <c r="G1192">
        <f t="shared" si="110"/>
        <v>3</v>
      </c>
      <c r="H1192" s="1">
        <f t="shared" si="111"/>
        <v>45362</v>
      </c>
      <c r="I1192" s="1">
        <f t="shared" si="112"/>
        <v>45352</v>
      </c>
      <c r="J1192">
        <v>41761.949999999997</v>
      </c>
      <c r="K1192">
        <v>1884</v>
      </c>
      <c r="L1192">
        <f t="shared" si="108"/>
        <v>22.166640127388533</v>
      </c>
      <c r="M1192">
        <v>157</v>
      </c>
      <c r="N1192" s="2">
        <f t="shared" si="113"/>
        <v>265.99968152866239</v>
      </c>
      <c r="O1192">
        <v>12</v>
      </c>
    </row>
    <row r="1193" spans="1:15" x14ac:dyDescent="0.25">
      <c r="A1193" t="s">
        <v>46</v>
      </c>
      <c r="B1193" t="s">
        <v>14</v>
      </c>
      <c r="C1193" t="s">
        <v>6</v>
      </c>
      <c r="D1193" t="str">
        <f t="shared" si="109"/>
        <v>FAB1_Leche Clasica Light 1 L</v>
      </c>
      <c r="E1193">
        <v>2024</v>
      </c>
      <c r="F1193">
        <v>12</v>
      </c>
      <c r="G1193">
        <f t="shared" si="110"/>
        <v>3</v>
      </c>
      <c r="H1193" s="1">
        <f t="shared" si="111"/>
        <v>45369</v>
      </c>
      <c r="I1193" s="1">
        <f t="shared" si="112"/>
        <v>45352</v>
      </c>
      <c r="J1193">
        <v>42276.380000000005</v>
      </c>
      <c r="K1193">
        <v>1944</v>
      </c>
      <c r="L1193">
        <f t="shared" si="108"/>
        <v>21.747109053497944</v>
      </c>
      <c r="M1193">
        <v>162</v>
      </c>
      <c r="N1193" s="2">
        <f t="shared" si="113"/>
        <v>260.96530864197535</v>
      </c>
      <c r="O1193">
        <v>12</v>
      </c>
    </row>
    <row r="1194" spans="1:15" x14ac:dyDescent="0.25">
      <c r="A1194" t="s">
        <v>46</v>
      </c>
      <c r="B1194" t="s">
        <v>14</v>
      </c>
      <c r="C1194" t="s">
        <v>6</v>
      </c>
      <c r="D1194" t="str">
        <f t="shared" si="109"/>
        <v>FAB1_Leche Clasica Light 1 L</v>
      </c>
      <c r="E1194">
        <v>2024</v>
      </c>
      <c r="F1194">
        <v>13</v>
      </c>
      <c r="G1194">
        <f t="shared" si="110"/>
        <v>3</v>
      </c>
      <c r="H1194" s="1">
        <f t="shared" si="111"/>
        <v>45376</v>
      </c>
      <c r="I1194" s="1">
        <f t="shared" si="112"/>
        <v>45352</v>
      </c>
      <c r="J1194">
        <v>40632.32</v>
      </c>
      <c r="K1194">
        <v>1836</v>
      </c>
      <c r="L1194">
        <f t="shared" si="108"/>
        <v>22.130893246187362</v>
      </c>
      <c r="M1194">
        <v>153</v>
      </c>
      <c r="N1194" s="2">
        <f t="shared" si="113"/>
        <v>265.57071895424838</v>
      </c>
      <c r="O1194">
        <v>12</v>
      </c>
    </row>
    <row r="1195" spans="1:15" x14ac:dyDescent="0.25">
      <c r="A1195" t="s">
        <v>46</v>
      </c>
      <c r="B1195" t="s">
        <v>14</v>
      </c>
      <c r="C1195" t="s">
        <v>6</v>
      </c>
      <c r="D1195" t="str">
        <f t="shared" si="109"/>
        <v>FAB1_Leche Clasica Light 1 L</v>
      </c>
      <c r="E1195">
        <v>2024</v>
      </c>
      <c r="F1195">
        <v>14</v>
      </c>
      <c r="G1195">
        <f t="shared" si="110"/>
        <v>4</v>
      </c>
      <c r="H1195" s="1">
        <f t="shared" si="111"/>
        <v>45383</v>
      </c>
      <c r="I1195" s="1">
        <f t="shared" si="112"/>
        <v>45383</v>
      </c>
      <c r="J1195">
        <v>44953.969999999994</v>
      </c>
      <c r="K1195">
        <v>2028</v>
      </c>
      <c r="L1195">
        <f t="shared" si="108"/>
        <v>22.166651873767254</v>
      </c>
      <c r="M1195">
        <v>169</v>
      </c>
      <c r="N1195" s="2">
        <f t="shared" si="113"/>
        <v>265.99982248520706</v>
      </c>
      <c r="O1195">
        <v>12</v>
      </c>
    </row>
    <row r="1196" spans="1:15" x14ac:dyDescent="0.25">
      <c r="A1196" t="s">
        <v>46</v>
      </c>
      <c r="B1196" t="s">
        <v>14</v>
      </c>
      <c r="C1196" t="s">
        <v>6</v>
      </c>
      <c r="D1196" t="str">
        <f t="shared" si="109"/>
        <v>FAB1_Leche Clasica Light 1 L</v>
      </c>
      <c r="E1196">
        <v>2024</v>
      </c>
      <c r="F1196">
        <v>15</v>
      </c>
      <c r="G1196">
        <f t="shared" si="110"/>
        <v>4</v>
      </c>
      <c r="H1196" s="1">
        <f t="shared" si="111"/>
        <v>45390</v>
      </c>
      <c r="I1196" s="1">
        <f t="shared" si="112"/>
        <v>45383</v>
      </c>
      <c r="J1196">
        <v>33785.31</v>
      </c>
      <c r="K1196">
        <v>1524</v>
      </c>
      <c r="L1196">
        <f t="shared" si="108"/>
        <v>22.168838582677164</v>
      </c>
      <c r="M1196">
        <v>127</v>
      </c>
      <c r="N1196" s="2">
        <f t="shared" si="113"/>
        <v>266.02606299212596</v>
      </c>
      <c r="O1196">
        <v>12</v>
      </c>
    </row>
    <row r="1197" spans="1:15" x14ac:dyDescent="0.25">
      <c r="A1197" t="s">
        <v>46</v>
      </c>
      <c r="B1197" t="s">
        <v>14</v>
      </c>
      <c r="C1197" t="s">
        <v>6</v>
      </c>
      <c r="D1197" t="str">
        <f t="shared" si="109"/>
        <v>FAB1_Leche Clasica Light 1 L</v>
      </c>
      <c r="E1197">
        <v>2024</v>
      </c>
      <c r="F1197">
        <v>16</v>
      </c>
      <c r="G1197">
        <f t="shared" si="110"/>
        <v>4</v>
      </c>
      <c r="H1197" s="1">
        <f t="shared" si="111"/>
        <v>45397</v>
      </c>
      <c r="I1197" s="1">
        <f t="shared" si="112"/>
        <v>45383</v>
      </c>
      <c r="J1197">
        <v>47388.560000000005</v>
      </c>
      <c r="K1197">
        <v>2136</v>
      </c>
      <c r="L1197">
        <f t="shared" si="108"/>
        <v>22.185655430711613</v>
      </c>
      <c r="M1197">
        <v>178</v>
      </c>
      <c r="N1197" s="2">
        <f t="shared" si="113"/>
        <v>266.22786516853938</v>
      </c>
      <c r="O1197">
        <v>12</v>
      </c>
    </row>
    <row r="1198" spans="1:15" x14ac:dyDescent="0.25">
      <c r="A1198" t="s">
        <v>46</v>
      </c>
      <c r="B1198" t="s">
        <v>14</v>
      </c>
      <c r="C1198" t="s">
        <v>6</v>
      </c>
      <c r="D1198" t="str">
        <f t="shared" si="109"/>
        <v>FAB1_Leche Clasica Light 1 L</v>
      </c>
      <c r="E1198">
        <v>2024</v>
      </c>
      <c r="F1198">
        <v>17</v>
      </c>
      <c r="G1198">
        <f t="shared" si="110"/>
        <v>4</v>
      </c>
      <c r="H1198" s="1">
        <f t="shared" si="111"/>
        <v>45404</v>
      </c>
      <c r="I1198" s="1">
        <f t="shared" si="112"/>
        <v>45383</v>
      </c>
      <c r="J1198">
        <v>52711.62</v>
      </c>
      <c r="K1198">
        <v>2544</v>
      </c>
      <c r="L1198">
        <f t="shared" si="108"/>
        <v>20.71997641509434</v>
      </c>
      <c r="M1198">
        <v>212</v>
      </c>
      <c r="N1198" s="2">
        <f t="shared" si="113"/>
        <v>248.6397169811321</v>
      </c>
      <c r="O1198">
        <v>12</v>
      </c>
    </row>
    <row r="1199" spans="1:15" x14ac:dyDescent="0.25">
      <c r="A1199" t="s">
        <v>46</v>
      </c>
      <c r="B1199" t="s">
        <v>14</v>
      </c>
      <c r="C1199" t="s">
        <v>6</v>
      </c>
      <c r="D1199" t="str">
        <f t="shared" si="109"/>
        <v>FAB1_Leche Clasica Light 1 L</v>
      </c>
      <c r="E1199">
        <v>2024</v>
      </c>
      <c r="F1199">
        <v>18</v>
      </c>
      <c r="G1199">
        <f t="shared" si="110"/>
        <v>5</v>
      </c>
      <c r="H1199" s="1">
        <f t="shared" si="111"/>
        <v>45411</v>
      </c>
      <c r="I1199" s="1">
        <f t="shared" si="112"/>
        <v>45413</v>
      </c>
      <c r="J1199">
        <v>47604.27</v>
      </c>
      <c r="K1199">
        <v>2316</v>
      </c>
      <c r="L1199">
        <f t="shared" si="108"/>
        <v>20.554520725388599</v>
      </c>
      <c r="M1199">
        <v>193</v>
      </c>
      <c r="N1199" s="2">
        <f t="shared" si="113"/>
        <v>246.65424870466319</v>
      </c>
      <c r="O1199">
        <v>12</v>
      </c>
    </row>
    <row r="1200" spans="1:15" x14ac:dyDescent="0.25">
      <c r="A1200" t="s">
        <v>46</v>
      </c>
      <c r="B1200" t="s">
        <v>14</v>
      </c>
      <c r="C1200" t="s">
        <v>6</v>
      </c>
      <c r="D1200" t="str">
        <f t="shared" si="109"/>
        <v>FAB1_Leche Clasica Light 1 L</v>
      </c>
      <c r="E1200">
        <v>2024</v>
      </c>
      <c r="F1200">
        <v>19</v>
      </c>
      <c r="G1200">
        <f t="shared" si="110"/>
        <v>5</v>
      </c>
      <c r="H1200" s="1">
        <f t="shared" si="111"/>
        <v>45418</v>
      </c>
      <c r="I1200" s="1">
        <f t="shared" si="112"/>
        <v>45413</v>
      </c>
      <c r="J1200">
        <v>44643.47</v>
      </c>
      <c r="K1200">
        <v>2076</v>
      </c>
      <c r="L1200">
        <f t="shared" si="108"/>
        <v>21.504561657032756</v>
      </c>
      <c r="M1200">
        <v>173</v>
      </c>
      <c r="N1200" s="2">
        <f t="shared" si="113"/>
        <v>258.05473988439309</v>
      </c>
      <c r="O1200">
        <v>12</v>
      </c>
    </row>
    <row r="1201" spans="1:15" x14ac:dyDescent="0.25">
      <c r="A1201" t="s">
        <v>46</v>
      </c>
      <c r="B1201" t="s">
        <v>14</v>
      </c>
      <c r="C1201" t="s">
        <v>6</v>
      </c>
      <c r="D1201" t="str">
        <f t="shared" si="109"/>
        <v>FAB1_Leche Clasica Light 1 L</v>
      </c>
      <c r="E1201">
        <v>2024</v>
      </c>
      <c r="F1201">
        <v>20</v>
      </c>
      <c r="G1201">
        <f t="shared" si="110"/>
        <v>5</v>
      </c>
      <c r="H1201" s="1">
        <f t="shared" si="111"/>
        <v>45425</v>
      </c>
      <c r="I1201" s="1">
        <f t="shared" si="112"/>
        <v>45413</v>
      </c>
      <c r="J1201">
        <v>50669.310000000005</v>
      </c>
      <c r="K1201">
        <v>2364</v>
      </c>
      <c r="L1201">
        <f t="shared" si="108"/>
        <v>21.433718274111676</v>
      </c>
      <c r="M1201">
        <v>197</v>
      </c>
      <c r="N1201" s="2">
        <f t="shared" si="113"/>
        <v>257.20461928934014</v>
      </c>
      <c r="O1201">
        <v>12</v>
      </c>
    </row>
    <row r="1202" spans="1:15" x14ac:dyDescent="0.25">
      <c r="A1202" t="s">
        <v>46</v>
      </c>
      <c r="B1202" t="s">
        <v>14</v>
      </c>
      <c r="C1202" t="s">
        <v>6</v>
      </c>
      <c r="D1202" t="str">
        <f t="shared" si="109"/>
        <v>FAB1_Leche Clasica Light 1 L</v>
      </c>
      <c r="E1202">
        <v>2024</v>
      </c>
      <c r="F1202">
        <v>21</v>
      </c>
      <c r="G1202">
        <f t="shared" si="110"/>
        <v>5</v>
      </c>
      <c r="H1202" s="1">
        <f t="shared" si="111"/>
        <v>45432</v>
      </c>
      <c r="I1202" s="1">
        <f t="shared" si="112"/>
        <v>45413</v>
      </c>
      <c r="J1202">
        <v>29288.559999999998</v>
      </c>
      <c r="K1202">
        <v>1344</v>
      </c>
      <c r="L1202">
        <f t="shared" si="108"/>
        <v>21.792083333333331</v>
      </c>
      <c r="M1202">
        <v>112</v>
      </c>
      <c r="N1202" s="2">
        <f t="shared" si="113"/>
        <v>261.505</v>
      </c>
      <c r="O1202">
        <v>12</v>
      </c>
    </row>
    <row r="1203" spans="1:15" x14ac:dyDescent="0.25">
      <c r="A1203" t="s">
        <v>46</v>
      </c>
      <c r="B1203" t="s">
        <v>14</v>
      </c>
      <c r="C1203" t="s">
        <v>6</v>
      </c>
      <c r="D1203" t="str">
        <f t="shared" si="109"/>
        <v>FAB1_Leche Clasica Light 1 L</v>
      </c>
      <c r="E1203">
        <v>2024</v>
      </c>
      <c r="F1203">
        <v>22</v>
      </c>
      <c r="G1203">
        <f t="shared" si="110"/>
        <v>5</v>
      </c>
      <c r="H1203" s="1">
        <f t="shared" si="111"/>
        <v>45439</v>
      </c>
      <c r="I1203" s="1">
        <f t="shared" si="112"/>
        <v>45413</v>
      </c>
      <c r="J1203">
        <v>37938.559999999998</v>
      </c>
      <c r="K1203">
        <v>1704</v>
      </c>
      <c r="L1203">
        <f t="shared" si="108"/>
        <v>22.264413145539905</v>
      </c>
      <c r="M1203">
        <v>142</v>
      </c>
      <c r="N1203" s="2">
        <f t="shared" si="113"/>
        <v>267.17295774647886</v>
      </c>
      <c r="O1203">
        <v>12</v>
      </c>
    </row>
    <row r="1204" spans="1:15" x14ac:dyDescent="0.25">
      <c r="A1204" t="s">
        <v>46</v>
      </c>
      <c r="B1204" t="s">
        <v>14</v>
      </c>
      <c r="C1204" t="s">
        <v>6</v>
      </c>
      <c r="D1204" t="str">
        <f t="shared" si="109"/>
        <v>FAB1_Leche Clasica Light 1 L</v>
      </c>
      <c r="E1204">
        <v>2024</v>
      </c>
      <c r="F1204">
        <v>23</v>
      </c>
      <c r="G1204">
        <f t="shared" si="110"/>
        <v>6</v>
      </c>
      <c r="H1204" s="1">
        <f t="shared" si="111"/>
        <v>45446</v>
      </c>
      <c r="I1204" s="1">
        <f t="shared" si="112"/>
        <v>45444</v>
      </c>
      <c r="J1204">
        <v>48139.819999999992</v>
      </c>
      <c r="K1204">
        <v>2160</v>
      </c>
      <c r="L1204">
        <f t="shared" si="108"/>
        <v>22.286953703703698</v>
      </c>
      <c r="M1204">
        <v>180</v>
      </c>
      <c r="N1204" s="2">
        <f t="shared" si="113"/>
        <v>267.44344444444442</v>
      </c>
      <c r="O1204">
        <v>12</v>
      </c>
    </row>
    <row r="1205" spans="1:15" x14ac:dyDescent="0.25">
      <c r="A1205" t="s">
        <v>46</v>
      </c>
      <c r="B1205" t="s">
        <v>14</v>
      </c>
      <c r="C1205" t="s">
        <v>6</v>
      </c>
      <c r="D1205" t="str">
        <f t="shared" si="109"/>
        <v>FAB1_Leche Clasica Light 1 L</v>
      </c>
      <c r="E1205">
        <v>2024</v>
      </c>
      <c r="F1205">
        <v>24</v>
      </c>
      <c r="G1205">
        <f t="shared" si="110"/>
        <v>6</v>
      </c>
      <c r="H1205" s="1">
        <f t="shared" si="111"/>
        <v>45453</v>
      </c>
      <c r="I1205" s="1">
        <f t="shared" si="112"/>
        <v>45444</v>
      </c>
      <c r="J1205">
        <v>37613.449999999997</v>
      </c>
      <c r="K1205">
        <v>1740</v>
      </c>
      <c r="L1205">
        <f t="shared" si="108"/>
        <v>21.61692528735632</v>
      </c>
      <c r="M1205">
        <v>145</v>
      </c>
      <c r="N1205" s="2">
        <f t="shared" si="113"/>
        <v>259.40310344827583</v>
      </c>
      <c r="O1205">
        <v>12</v>
      </c>
    </row>
    <row r="1206" spans="1:15" x14ac:dyDescent="0.25">
      <c r="A1206" t="s">
        <v>46</v>
      </c>
      <c r="B1206" t="s">
        <v>14</v>
      </c>
      <c r="C1206" t="s">
        <v>6</v>
      </c>
      <c r="D1206" t="str">
        <f t="shared" si="109"/>
        <v>FAB1_Leche Clasica Light 1 L</v>
      </c>
      <c r="E1206">
        <v>2024</v>
      </c>
      <c r="F1206">
        <v>25</v>
      </c>
      <c r="G1206">
        <f t="shared" si="110"/>
        <v>6</v>
      </c>
      <c r="H1206" s="1">
        <f t="shared" si="111"/>
        <v>45460</v>
      </c>
      <c r="I1206" s="1">
        <f t="shared" si="112"/>
        <v>45444</v>
      </c>
      <c r="J1206">
        <v>42892.41</v>
      </c>
      <c r="K1206">
        <v>2004</v>
      </c>
      <c r="L1206">
        <f t="shared" si="108"/>
        <v>21.403398203592815</v>
      </c>
      <c r="M1206">
        <v>167</v>
      </c>
      <c r="N1206" s="2">
        <f t="shared" si="113"/>
        <v>256.84077844311378</v>
      </c>
      <c r="O1206">
        <v>12</v>
      </c>
    </row>
    <row r="1207" spans="1:15" x14ac:dyDescent="0.25">
      <c r="A1207" t="s">
        <v>46</v>
      </c>
      <c r="B1207" t="s">
        <v>14</v>
      </c>
      <c r="C1207" t="s">
        <v>6</v>
      </c>
      <c r="D1207" t="str">
        <f t="shared" si="109"/>
        <v>FAB1_Leche Clasica Light 1 L</v>
      </c>
      <c r="E1207">
        <v>2024</v>
      </c>
      <c r="F1207">
        <v>26</v>
      </c>
      <c r="G1207">
        <f t="shared" si="110"/>
        <v>6</v>
      </c>
      <c r="H1207" s="1">
        <f t="shared" si="111"/>
        <v>45467</v>
      </c>
      <c r="I1207" s="1">
        <f t="shared" si="112"/>
        <v>45444</v>
      </c>
      <c r="J1207">
        <v>43537.85</v>
      </c>
      <c r="K1207">
        <v>2040</v>
      </c>
      <c r="L1207">
        <f t="shared" si="108"/>
        <v>21.342083333333331</v>
      </c>
      <c r="M1207">
        <v>170</v>
      </c>
      <c r="N1207" s="2">
        <f t="shared" si="113"/>
        <v>256.10500000000002</v>
      </c>
      <c r="O1207">
        <v>12</v>
      </c>
    </row>
    <row r="1208" spans="1:15" x14ac:dyDescent="0.25">
      <c r="A1208" t="s">
        <v>46</v>
      </c>
      <c r="B1208" t="s">
        <v>14</v>
      </c>
      <c r="C1208" t="s">
        <v>6</v>
      </c>
      <c r="D1208" t="str">
        <f t="shared" si="109"/>
        <v>FAB1_Leche Clasica Light 1 L</v>
      </c>
      <c r="E1208">
        <v>2024</v>
      </c>
      <c r="F1208">
        <v>27</v>
      </c>
      <c r="G1208">
        <f t="shared" si="110"/>
        <v>7</v>
      </c>
      <c r="H1208" s="1">
        <f t="shared" si="111"/>
        <v>45474</v>
      </c>
      <c r="I1208" s="1">
        <f t="shared" si="112"/>
        <v>45474</v>
      </c>
      <c r="J1208">
        <v>55682.53</v>
      </c>
      <c r="K1208">
        <v>2616</v>
      </c>
      <c r="L1208">
        <f t="shared" si="108"/>
        <v>21.285370795107035</v>
      </c>
      <c r="M1208">
        <v>218</v>
      </c>
      <c r="N1208" s="2">
        <f t="shared" si="113"/>
        <v>255.42444954128439</v>
      </c>
      <c r="O1208">
        <v>12</v>
      </c>
    </row>
    <row r="1209" spans="1:15" x14ac:dyDescent="0.25">
      <c r="A1209" t="s">
        <v>46</v>
      </c>
      <c r="B1209" t="s">
        <v>14</v>
      </c>
      <c r="C1209" t="s">
        <v>6</v>
      </c>
      <c r="D1209" t="str">
        <f t="shared" si="109"/>
        <v>FAB1_Leche Clasica Light 1 L</v>
      </c>
      <c r="E1209">
        <v>2024</v>
      </c>
      <c r="F1209">
        <v>28</v>
      </c>
      <c r="G1209">
        <f t="shared" si="110"/>
        <v>7</v>
      </c>
      <c r="H1209" s="1">
        <f t="shared" si="111"/>
        <v>45481</v>
      </c>
      <c r="I1209" s="1">
        <f t="shared" si="112"/>
        <v>45474</v>
      </c>
      <c r="J1209">
        <v>57150.450000000004</v>
      </c>
      <c r="K1209">
        <v>2712</v>
      </c>
      <c r="L1209">
        <f t="shared" si="108"/>
        <v>21.073174778761064</v>
      </c>
      <c r="M1209">
        <v>226</v>
      </c>
      <c r="N1209" s="2">
        <f t="shared" si="113"/>
        <v>252.87809734513277</v>
      </c>
      <c r="O1209">
        <v>12</v>
      </c>
    </row>
    <row r="1210" spans="1:15" x14ac:dyDescent="0.25">
      <c r="A1210" t="s">
        <v>46</v>
      </c>
      <c r="B1210" t="s">
        <v>14</v>
      </c>
      <c r="C1210" t="s">
        <v>6</v>
      </c>
      <c r="D1210" t="str">
        <f t="shared" si="109"/>
        <v>FAB1_Leche Clasica Light 1 L</v>
      </c>
      <c r="E1210">
        <v>2024</v>
      </c>
      <c r="F1210">
        <v>29</v>
      </c>
      <c r="G1210">
        <f t="shared" si="110"/>
        <v>7</v>
      </c>
      <c r="H1210" s="1">
        <f t="shared" si="111"/>
        <v>45488</v>
      </c>
      <c r="I1210" s="1">
        <f t="shared" si="112"/>
        <v>45474</v>
      </c>
      <c r="J1210">
        <v>70070.62</v>
      </c>
      <c r="K1210">
        <v>3384</v>
      </c>
      <c r="L1210">
        <f t="shared" si="108"/>
        <v>20.706447990543733</v>
      </c>
      <c r="M1210">
        <v>282</v>
      </c>
      <c r="N1210" s="2">
        <f t="shared" si="113"/>
        <v>248.47737588652481</v>
      </c>
      <c r="O1210">
        <v>12</v>
      </c>
    </row>
    <row r="1211" spans="1:15" x14ac:dyDescent="0.25">
      <c r="A1211" t="s">
        <v>46</v>
      </c>
      <c r="B1211" t="s">
        <v>14</v>
      </c>
      <c r="C1211" t="s">
        <v>6</v>
      </c>
      <c r="D1211" t="str">
        <f t="shared" si="109"/>
        <v>FAB1_Leche Clasica Light 1 L</v>
      </c>
      <c r="E1211">
        <v>2024</v>
      </c>
      <c r="F1211">
        <v>30</v>
      </c>
      <c r="G1211">
        <f t="shared" si="110"/>
        <v>7</v>
      </c>
      <c r="H1211" s="1">
        <f t="shared" si="111"/>
        <v>45495</v>
      </c>
      <c r="I1211" s="1">
        <f t="shared" si="112"/>
        <v>45474</v>
      </c>
      <c r="J1211">
        <v>58494.14</v>
      </c>
      <c r="K1211">
        <v>2808</v>
      </c>
      <c r="L1211">
        <f t="shared" si="108"/>
        <v>20.83124643874644</v>
      </c>
      <c r="M1211">
        <v>234</v>
      </c>
      <c r="N1211" s="2">
        <f t="shared" si="113"/>
        <v>249.97495726495725</v>
      </c>
      <c r="O1211">
        <v>12</v>
      </c>
    </row>
    <row r="1212" spans="1:15" x14ac:dyDescent="0.25">
      <c r="A1212" t="s">
        <v>46</v>
      </c>
      <c r="B1212" t="s">
        <v>14</v>
      </c>
      <c r="C1212" t="s">
        <v>6</v>
      </c>
      <c r="D1212" t="str">
        <f t="shared" si="109"/>
        <v>FAB1_Leche Clasica Light 1 L</v>
      </c>
      <c r="E1212">
        <v>2024</v>
      </c>
      <c r="F1212">
        <v>31</v>
      </c>
      <c r="G1212">
        <f t="shared" si="110"/>
        <v>8</v>
      </c>
      <c r="H1212" s="1">
        <f t="shared" si="111"/>
        <v>45502</v>
      </c>
      <c r="I1212" s="1">
        <f t="shared" si="112"/>
        <v>45505</v>
      </c>
      <c r="J1212">
        <v>58480.78</v>
      </c>
      <c r="K1212">
        <v>2736</v>
      </c>
      <c r="L1212">
        <f t="shared" si="108"/>
        <v>21.374554093567252</v>
      </c>
      <c r="M1212">
        <v>228</v>
      </c>
      <c r="N1212" s="2">
        <f t="shared" si="113"/>
        <v>256.494649122807</v>
      </c>
      <c r="O1212">
        <v>12</v>
      </c>
    </row>
    <row r="1213" spans="1:15" x14ac:dyDescent="0.25">
      <c r="A1213" t="s">
        <v>46</v>
      </c>
      <c r="B1213" t="s">
        <v>14</v>
      </c>
      <c r="C1213" t="s">
        <v>6</v>
      </c>
      <c r="D1213" t="str">
        <f t="shared" si="109"/>
        <v>FAB1_Leche Clasica Light 1 L</v>
      </c>
      <c r="E1213">
        <v>2024</v>
      </c>
      <c r="F1213">
        <v>32</v>
      </c>
      <c r="G1213">
        <f t="shared" si="110"/>
        <v>8</v>
      </c>
      <c r="H1213" s="1">
        <f t="shared" si="111"/>
        <v>45509</v>
      </c>
      <c r="I1213" s="1">
        <f t="shared" si="112"/>
        <v>45505</v>
      </c>
      <c r="J1213">
        <v>46209.42</v>
      </c>
      <c r="K1213">
        <v>2076</v>
      </c>
      <c r="L1213">
        <f t="shared" si="108"/>
        <v>22.258872832369942</v>
      </c>
      <c r="M1213">
        <v>173</v>
      </c>
      <c r="N1213" s="2">
        <f t="shared" si="113"/>
        <v>267.10647398843929</v>
      </c>
      <c r="O1213">
        <v>12</v>
      </c>
    </row>
    <row r="1214" spans="1:15" x14ac:dyDescent="0.25">
      <c r="A1214" t="s">
        <v>46</v>
      </c>
      <c r="B1214" t="s">
        <v>14</v>
      </c>
      <c r="C1214" t="s">
        <v>6</v>
      </c>
      <c r="D1214" t="str">
        <f t="shared" si="109"/>
        <v>FAB1_Leche Clasica Light 1 L</v>
      </c>
      <c r="E1214">
        <v>2024</v>
      </c>
      <c r="F1214">
        <v>33</v>
      </c>
      <c r="G1214">
        <f t="shared" si="110"/>
        <v>8</v>
      </c>
      <c r="H1214" s="1">
        <f t="shared" si="111"/>
        <v>45516</v>
      </c>
      <c r="I1214" s="1">
        <f t="shared" si="112"/>
        <v>45505</v>
      </c>
      <c r="J1214">
        <v>73269.009999999995</v>
      </c>
      <c r="K1214">
        <v>3408</v>
      </c>
      <c r="L1214">
        <f t="shared" si="108"/>
        <v>21.499122652582159</v>
      </c>
      <c r="M1214">
        <v>284</v>
      </c>
      <c r="N1214" s="2">
        <f t="shared" si="113"/>
        <v>257.98947183098591</v>
      </c>
      <c r="O1214">
        <v>12</v>
      </c>
    </row>
    <row r="1215" spans="1:15" x14ac:dyDescent="0.25">
      <c r="A1215" t="s">
        <v>46</v>
      </c>
      <c r="B1215" t="s">
        <v>14</v>
      </c>
      <c r="C1215" t="s">
        <v>6</v>
      </c>
      <c r="D1215" t="str">
        <f t="shared" si="109"/>
        <v>FAB1_Leche Clasica Light 1 L</v>
      </c>
      <c r="E1215">
        <v>2024</v>
      </c>
      <c r="F1215">
        <v>34</v>
      </c>
      <c r="G1215">
        <f t="shared" si="110"/>
        <v>8</v>
      </c>
      <c r="H1215" s="1">
        <f t="shared" si="111"/>
        <v>45523</v>
      </c>
      <c r="I1215" s="1">
        <f t="shared" si="112"/>
        <v>45505</v>
      </c>
      <c r="J1215">
        <v>54155.320000000007</v>
      </c>
      <c r="K1215">
        <v>2568</v>
      </c>
      <c r="L1215">
        <f t="shared" si="108"/>
        <v>21.088520249221187</v>
      </c>
      <c r="M1215">
        <v>214</v>
      </c>
      <c r="N1215" s="2">
        <f t="shared" si="113"/>
        <v>253.06224299065423</v>
      </c>
      <c r="O1215">
        <v>12</v>
      </c>
    </row>
    <row r="1216" spans="1:15" x14ac:dyDescent="0.25">
      <c r="A1216" t="s">
        <v>46</v>
      </c>
      <c r="B1216" t="s">
        <v>14</v>
      </c>
      <c r="C1216" t="s">
        <v>6</v>
      </c>
      <c r="D1216" t="str">
        <f t="shared" si="109"/>
        <v>FAB1_Leche Clasica Light 1 L</v>
      </c>
      <c r="E1216">
        <v>2024</v>
      </c>
      <c r="F1216">
        <v>35</v>
      </c>
      <c r="G1216">
        <f t="shared" si="110"/>
        <v>8</v>
      </c>
      <c r="H1216" s="1">
        <f t="shared" si="111"/>
        <v>45530</v>
      </c>
      <c r="I1216" s="1">
        <f t="shared" si="112"/>
        <v>45505</v>
      </c>
      <c r="J1216">
        <v>28410.14</v>
      </c>
      <c r="K1216">
        <v>1296</v>
      </c>
      <c r="L1216">
        <f t="shared" si="108"/>
        <v>21.921404320987655</v>
      </c>
      <c r="M1216">
        <v>108</v>
      </c>
      <c r="N1216" s="2">
        <f t="shared" si="113"/>
        <v>263.05685185185183</v>
      </c>
      <c r="O1216">
        <v>12</v>
      </c>
    </row>
    <row r="1217" spans="1:15" x14ac:dyDescent="0.25">
      <c r="A1217" t="s">
        <v>46</v>
      </c>
      <c r="B1217" t="s">
        <v>14</v>
      </c>
      <c r="C1217" t="s">
        <v>6</v>
      </c>
      <c r="D1217" t="str">
        <f t="shared" si="109"/>
        <v>FAB1_Leche Clasica Light 1 L</v>
      </c>
      <c r="E1217">
        <v>2024</v>
      </c>
      <c r="F1217">
        <v>36</v>
      </c>
      <c r="G1217">
        <f t="shared" si="110"/>
        <v>9</v>
      </c>
      <c r="H1217" s="1">
        <f t="shared" si="111"/>
        <v>45537</v>
      </c>
      <c r="I1217" s="1">
        <f t="shared" si="112"/>
        <v>45536</v>
      </c>
      <c r="J1217">
        <v>7956</v>
      </c>
      <c r="K1217">
        <v>360</v>
      </c>
      <c r="L1217">
        <f t="shared" si="108"/>
        <v>22.1</v>
      </c>
      <c r="M1217">
        <v>30</v>
      </c>
      <c r="N1217" s="2">
        <f t="shared" si="113"/>
        <v>265.2</v>
      </c>
      <c r="O1217">
        <v>12</v>
      </c>
    </row>
    <row r="1218" spans="1:15" x14ac:dyDescent="0.25">
      <c r="A1218" t="s">
        <v>46</v>
      </c>
      <c r="B1218" t="s">
        <v>14</v>
      </c>
      <c r="C1218" t="s">
        <v>6</v>
      </c>
      <c r="D1218" t="str">
        <f t="shared" si="109"/>
        <v>FAB1_Leche Clasica Light 1 L</v>
      </c>
      <c r="E1218">
        <v>2025</v>
      </c>
      <c r="F1218">
        <v>12</v>
      </c>
      <c r="G1218">
        <f t="shared" si="110"/>
        <v>3</v>
      </c>
      <c r="H1218" s="1">
        <f t="shared" si="111"/>
        <v>45733</v>
      </c>
      <c r="I1218" s="1">
        <f t="shared" si="112"/>
        <v>45717</v>
      </c>
      <c r="J1218">
        <v>275</v>
      </c>
      <c r="K1218">
        <v>12</v>
      </c>
      <c r="L1218">
        <f t="shared" ref="L1218:L1281" si="114">J1218/K1218</f>
        <v>22.916666666666668</v>
      </c>
      <c r="M1218">
        <v>1</v>
      </c>
      <c r="N1218" s="2">
        <f t="shared" si="113"/>
        <v>275</v>
      </c>
      <c r="O1218">
        <v>12</v>
      </c>
    </row>
    <row r="1219" spans="1:15" x14ac:dyDescent="0.25">
      <c r="A1219" t="s">
        <v>46</v>
      </c>
      <c r="B1219" t="s">
        <v>14</v>
      </c>
      <c r="C1219" t="s">
        <v>7</v>
      </c>
      <c r="D1219" t="str">
        <f t="shared" ref="D1219:D1282" si="115">B1219&amp;"_"&amp;C1219</f>
        <v>FAB1_Leche Clasica Semi 1 L</v>
      </c>
      <c r="E1219">
        <v>2022</v>
      </c>
      <c r="F1219">
        <v>1</v>
      </c>
      <c r="G1219">
        <f t="shared" ref="G1219:G1282" si="116">MONTH(DATE(E1219,1,4)+(F1219-1)*7-WEEKDAY(DATE(E1219,1,4),2)+4)</f>
        <v>1</v>
      </c>
      <c r="H1219" s="1">
        <f t="shared" ref="H1219:H1282" si="117">DATE(E1219,1,-2)-WEEKDAY(DATE(E1219,1,3))+F1219*7</f>
        <v>44564</v>
      </c>
      <c r="I1219" s="1">
        <f t="shared" ref="I1219:I1282" si="118">DATE(E1219,G1219,1)</f>
        <v>44562</v>
      </c>
      <c r="J1219">
        <v>352034.6</v>
      </c>
      <c r="K1219">
        <v>18804</v>
      </c>
      <c r="L1219">
        <f t="shared" si="114"/>
        <v>18.721261433737503</v>
      </c>
      <c r="M1219">
        <v>1567</v>
      </c>
      <c r="N1219" s="2">
        <f t="shared" ref="N1219:N1282" si="119">J1219/M1219</f>
        <v>224.65513720485001</v>
      </c>
      <c r="O1219">
        <v>12</v>
      </c>
    </row>
    <row r="1220" spans="1:15" x14ac:dyDescent="0.25">
      <c r="A1220" t="s">
        <v>46</v>
      </c>
      <c r="B1220" t="s">
        <v>14</v>
      </c>
      <c r="C1220" t="s">
        <v>7</v>
      </c>
      <c r="D1220" t="str">
        <f t="shared" si="115"/>
        <v>FAB1_Leche Clasica Semi 1 L</v>
      </c>
      <c r="E1220">
        <v>2022</v>
      </c>
      <c r="F1220">
        <v>2</v>
      </c>
      <c r="G1220">
        <f t="shared" si="116"/>
        <v>1</v>
      </c>
      <c r="H1220" s="1">
        <f t="shared" si="117"/>
        <v>44571</v>
      </c>
      <c r="I1220" s="1">
        <f t="shared" si="118"/>
        <v>44562</v>
      </c>
      <c r="J1220">
        <v>197879.38</v>
      </c>
      <c r="K1220">
        <v>10392</v>
      </c>
      <c r="L1220">
        <f t="shared" si="114"/>
        <v>19.041510777521172</v>
      </c>
      <c r="M1220">
        <v>866</v>
      </c>
      <c r="N1220" s="2">
        <f t="shared" si="119"/>
        <v>228.49812933025405</v>
      </c>
      <c r="O1220">
        <v>12</v>
      </c>
    </row>
    <row r="1221" spans="1:15" x14ac:dyDescent="0.25">
      <c r="A1221" t="s">
        <v>46</v>
      </c>
      <c r="B1221" t="s">
        <v>14</v>
      </c>
      <c r="C1221" t="s">
        <v>7</v>
      </c>
      <c r="D1221" t="str">
        <f t="shared" si="115"/>
        <v>FAB1_Leche Clasica Semi 1 L</v>
      </c>
      <c r="E1221">
        <v>2022</v>
      </c>
      <c r="F1221">
        <v>3</v>
      </c>
      <c r="G1221">
        <f t="shared" si="116"/>
        <v>1</v>
      </c>
      <c r="H1221" s="1">
        <f t="shared" si="117"/>
        <v>44578</v>
      </c>
      <c r="I1221" s="1">
        <f t="shared" si="118"/>
        <v>44562</v>
      </c>
      <c r="J1221">
        <v>221309.78000000003</v>
      </c>
      <c r="K1221">
        <v>11508</v>
      </c>
      <c r="L1221">
        <f t="shared" si="114"/>
        <v>19.230950643030937</v>
      </c>
      <c r="M1221">
        <v>959</v>
      </c>
      <c r="N1221" s="2">
        <f t="shared" si="119"/>
        <v>230.77140771637124</v>
      </c>
      <c r="O1221">
        <v>12</v>
      </c>
    </row>
    <row r="1222" spans="1:15" x14ac:dyDescent="0.25">
      <c r="A1222" t="s">
        <v>46</v>
      </c>
      <c r="B1222" t="s">
        <v>14</v>
      </c>
      <c r="C1222" t="s">
        <v>7</v>
      </c>
      <c r="D1222" t="str">
        <f t="shared" si="115"/>
        <v>FAB1_Leche Clasica Semi 1 L</v>
      </c>
      <c r="E1222">
        <v>2022</v>
      </c>
      <c r="F1222">
        <v>4</v>
      </c>
      <c r="G1222">
        <f t="shared" si="116"/>
        <v>1</v>
      </c>
      <c r="H1222" s="1">
        <f t="shared" si="117"/>
        <v>44585</v>
      </c>
      <c r="I1222" s="1">
        <f t="shared" si="118"/>
        <v>44562</v>
      </c>
      <c r="J1222">
        <v>201678</v>
      </c>
      <c r="K1222">
        <v>10344</v>
      </c>
      <c r="L1222">
        <f t="shared" si="114"/>
        <v>19.497099767981439</v>
      </c>
      <c r="M1222">
        <v>862</v>
      </c>
      <c r="N1222" s="2">
        <f t="shared" si="119"/>
        <v>233.96519721577727</v>
      </c>
      <c r="O1222">
        <v>12</v>
      </c>
    </row>
    <row r="1223" spans="1:15" x14ac:dyDescent="0.25">
      <c r="A1223" t="s">
        <v>46</v>
      </c>
      <c r="B1223" t="s">
        <v>14</v>
      </c>
      <c r="C1223" t="s">
        <v>7</v>
      </c>
      <c r="D1223" t="str">
        <f t="shared" si="115"/>
        <v>FAB1_Leche Clasica Semi 1 L</v>
      </c>
      <c r="E1223">
        <v>2022</v>
      </c>
      <c r="F1223">
        <v>5</v>
      </c>
      <c r="G1223">
        <f t="shared" si="116"/>
        <v>2</v>
      </c>
      <c r="H1223" s="1">
        <f t="shared" si="117"/>
        <v>44592</v>
      </c>
      <c r="I1223" s="1">
        <f t="shared" si="118"/>
        <v>44593</v>
      </c>
      <c r="J1223">
        <v>282230.90000000002</v>
      </c>
      <c r="K1223">
        <v>14472</v>
      </c>
      <c r="L1223">
        <f t="shared" si="114"/>
        <v>19.501858761746824</v>
      </c>
      <c r="M1223">
        <v>1206</v>
      </c>
      <c r="N1223" s="2">
        <f t="shared" si="119"/>
        <v>234.02230514096189</v>
      </c>
      <c r="O1223">
        <v>12</v>
      </c>
    </row>
    <row r="1224" spans="1:15" x14ac:dyDescent="0.25">
      <c r="A1224" t="s">
        <v>46</v>
      </c>
      <c r="B1224" t="s">
        <v>14</v>
      </c>
      <c r="C1224" t="s">
        <v>7</v>
      </c>
      <c r="D1224" t="str">
        <f t="shared" si="115"/>
        <v>FAB1_Leche Clasica Semi 1 L</v>
      </c>
      <c r="E1224">
        <v>2022</v>
      </c>
      <c r="F1224">
        <v>6</v>
      </c>
      <c r="G1224">
        <f t="shared" si="116"/>
        <v>2</v>
      </c>
      <c r="H1224" s="1">
        <f t="shared" si="117"/>
        <v>44599</v>
      </c>
      <c r="I1224" s="1">
        <f t="shared" si="118"/>
        <v>44593</v>
      </c>
      <c r="J1224">
        <v>372967.90000000008</v>
      </c>
      <c r="K1224">
        <v>20100</v>
      </c>
      <c r="L1224">
        <f t="shared" si="114"/>
        <v>18.555616915422888</v>
      </c>
      <c r="M1224">
        <v>1675</v>
      </c>
      <c r="N1224" s="2">
        <f t="shared" si="119"/>
        <v>222.66740298507469</v>
      </c>
      <c r="O1224">
        <v>12</v>
      </c>
    </row>
    <row r="1225" spans="1:15" x14ac:dyDescent="0.25">
      <c r="A1225" t="s">
        <v>46</v>
      </c>
      <c r="B1225" t="s">
        <v>14</v>
      </c>
      <c r="C1225" t="s">
        <v>7</v>
      </c>
      <c r="D1225" t="str">
        <f t="shared" si="115"/>
        <v>FAB1_Leche Clasica Semi 1 L</v>
      </c>
      <c r="E1225">
        <v>2022</v>
      </c>
      <c r="F1225">
        <v>7</v>
      </c>
      <c r="G1225">
        <f t="shared" si="116"/>
        <v>2</v>
      </c>
      <c r="H1225" s="1">
        <f t="shared" si="117"/>
        <v>44606</v>
      </c>
      <c r="I1225" s="1">
        <f t="shared" si="118"/>
        <v>44593</v>
      </c>
      <c r="J1225">
        <v>764082.13000000012</v>
      </c>
      <c r="K1225">
        <v>41736</v>
      </c>
      <c r="L1225">
        <f t="shared" si="114"/>
        <v>18.30750742764041</v>
      </c>
      <c r="M1225">
        <v>3478</v>
      </c>
      <c r="N1225" s="2">
        <f t="shared" si="119"/>
        <v>219.69008913168491</v>
      </c>
      <c r="O1225">
        <v>12</v>
      </c>
    </row>
    <row r="1226" spans="1:15" x14ac:dyDescent="0.25">
      <c r="A1226" t="s">
        <v>46</v>
      </c>
      <c r="B1226" t="s">
        <v>14</v>
      </c>
      <c r="C1226" t="s">
        <v>7</v>
      </c>
      <c r="D1226" t="str">
        <f t="shared" si="115"/>
        <v>FAB1_Leche Clasica Semi 1 L</v>
      </c>
      <c r="E1226">
        <v>2022</v>
      </c>
      <c r="F1226">
        <v>8</v>
      </c>
      <c r="G1226">
        <f t="shared" si="116"/>
        <v>2</v>
      </c>
      <c r="H1226" s="1">
        <f t="shared" si="117"/>
        <v>44613</v>
      </c>
      <c r="I1226" s="1">
        <f t="shared" si="118"/>
        <v>44593</v>
      </c>
      <c r="J1226">
        <v>276384.38</v>
      </c>
      <c r="K1226">
        <v>14448</v>
      </c>
      <c r="L1226">
        <f t="shared" si="114"/>
        <v>19.129594407530455</v>
      </c>
      <c r="M1226">
        <v>1204</v>
      </c>
      <c r="N1226" s="2">
        <f t="shared" si="119"/>
        <v>229.55513289036546</v>
      </c>
      <c r="O1226">
        <v>12</v>
      </c>
    </row>
    <row r="1227" spans="1:15" x14ac:dyDescent="0.25">
      <c r="A1227" t="s">
        <v>46</v>
      </c>
      <c r="B1227" t="s">
        <v>14</v>
      </c>
      <c r="C1227" t="s">
        <v>7</v>
      </c>
      <c r="D1227" t="str">
        <f t="shared" si="115"/>
        <v>FAB1_Leche Clasica Semi 1 L</v>
      </c>
      <c r="E1227">
        <v>2022</v>
      </c>
      <c r="F1227">
        <v>9</v>
      </c>
      <c r="G1227">
        <f t="shared" si="116"/>
        <v>3</v>
      </c>
      <c r="H1227" s="1">
        <f t="shared" si="117"/>
        <v>44620</v>
      </c>
      <c r="I1227" s="1">
        <f t="shared" si="118"/>
        <v>44621</v>
      </c>
      <c r="J1227">
        <v>359635.20000000007</v>
      </c>
      <c r="K1227">
        <v>18552</v>
      </c>
      <c r="L1227">
        <f t="shared" si="114"/>
        <v>19.38525226390686</v>
      </c>
      <c r="M1227">
        <v>1546</v>
      </c>
      <c r="N1227" s="2">
        <f t="shared" si="119"/>
        <v>232.62302716688231</v>
      </c>
      <c r="O1227">
        <v>12</v>
      </c>
    </row>
    <row r="1228" spans="1:15" x14ac:dyDescent="0.25">
      <c r="A1228" t="s">
        <v>46</v>
      </c>
      <c r="B1228" t="s">
        <v>14</v>
      </c>
      <c r="C1228" t="s">
        <v>7</v>
      </c>
      <c r="D1228" t="str">
        <f t="shared" si="115"/>
        <v>FAB1_Leche Clasica Semi 1 L</v>
      </c>
      <c r="E1228">
        <v>2022</v>
      </c>
      <c r="F1228">
        <v>10</v>
      </c>
      <c r="G1228">
        <f t="shared" si="116"/>
        <v>3</v>
      </c>
      <c r="H1228" s="1">
        <f t="shared" si="117"/>
        <v>44627</v>
      </c>
      <c r="I1228" s="1">
        <f t="shared" si="118"/>
        <v>44621</v>
      </c>
      <c r="J1228">
        <v>251179.06000000008</v>
      </c>
      <c r="K1228">
        <v>12876</v>
      </c>
      <c r="L1228">
        <f t="shared" si="114"/>
        <v>19.507538055296681</v>
      </c>
      <c r="M1228">
        <v>1073</v>
      </c>
      <c r="N1228" s="2">
        <f t="shared" si="119"/>
        <v>234.09045666356019</v>
      </c>
      <c r="O1228">
        <v>12</v>
      </c>
    </row>
    <row r="1229" spans="1:15" x14ac:dyDescent="0.25">
      <c r="A1229" t="s">
        <v>46</v>
      </c>
      <c r="B1229" t="s">
        <v>14</v>
      </c>
      <c r="C1229" t="s">
        <v>7</v>
      </c>
      <c r="D1229" t="str">
        <f t="shared" si="115"/>
        <v>FAB1_Leche Clasica Semi 1 L</v>
      </c>
      <c r="E1229">
        <v>2022</v>
      </c>
      <c r="F1229">
        <v>11</v>
      </c>
      <c r="G1229">
        <f t="shared" si="116"/>
        <v>3</v>
      </c>
      <c r="H1229" s="1">
        <f t="shared" si="117"/>
        <v>44634</v>
      </c>
      <c r="I1229" s="1">
        <f t="shared" si="118"/>
        <v>44621</v>
      </c>
      <c r="J1229">
        <v>276481.94000000006</v>
      </c>
      <c r="K1229">
        <v>14172</v>
      </c>
      <c r="L1229">
        <f t="shared" si="114"/>
        <v>19.509027660174997</v>
      </c>
      <c r="M1229">
        <v>1181</v>
      </c>
      <c r="N1229" s="2">
        <f t="shared" si="119"/>
        <v>234.10833192209998</v>
      </c>
      <c r="O1229">
        <v>12</v>
      </c>
    </row>
    <row r="1230" spans="1:15" x14ac:dyDescent="0.25">
      <c r="A1230" t="s">
        <v>46</v>
      </c>
      <c r="B1230" t="s">
        <v>14</v>
      </c>
      <c r="C1230" t="s">
        <v>7</v>
      </c>
      <c r="D1230" t="str">
        <f t="shared" si="115"/>
        <v>FAB1_Leche Clasica Semi 1 L</v>
      </c>
      <c r="E1230">
        <v>2022</v>
      </c>
      <c r="F1230">
        <v>12</v>
      </c>
      <c r="G1230">
        <f t="shared" si="116"/>
        <v>3</v>
      </c>
      <c r="H1230" s="1">
        <f t="shared" si="117"/>
        <v>44641</v>
      </c>
      <c r="I1230" s="1">
        <f t="shared" si="118"/>
        <v>44621</v>
      </c>
      <c r="J1230">
        <v>255722.88000000003</v>
      </c>
      <c r="K1230">
        <v>13236</v>
      </c>
      <c r="L1230">
        <f t="shared" si="114"/>
        <v>19.320253853127834</v>
      </c>
      <c r="M1230">
        <v>1103</v>
      </c>
      <c r="N1230" s="2">
        <f t="shared" si="119"/>
        <v>231.84304623753403</v>
      </c>
      <c r="O1230">
        <v>12</v>
      </c>
    </row>
    <row r="1231" spans="1:15" x14ac:dyDescent="0.25">
      <c r="A1231" t="s">
        <v>46</v>
      </c>
      <c r="B1231" t="s">
        <v>14</v>
      </c>
      <c r="C1231" t="s">
        <v>7</v>
      </c>
      <c r="D1231" t="str">
        <f t="shared" si="115"/>
        <v>FAB1_Leche Clasica Semi 1 L</v>
      </c>
      <c r="E1231">
        <v>2022</v>
      </c>
      <c r="F1231">
        <v>13</v>
      </c>
      <c r="G1231">
        <f t="shared" si="116"/>
        <v>3</v>
      </c>
      <c r="H1231" s="1">
        <f t="shared" si="117"/>
        <v>44648</v>
      </c>
      <c r="I1231" s="1">
        <f t="shared" si="118"/>
        <v>44621</v>
      </c>
      <c r="J1231">
        <v>302863.67000000004</v>
      </c>
      <c r="K1231">
        <v>15792</v>
      </c>
      <c r="L1231">
        <f t="shared" si="114"/>
        <v>19.178297239108414</v>
      </c>
      <c r="M1231">
        <v>1316</v>
      </c>
      <c r="N1231" s="2">
        <f t="shared" si="119"/>
        <v>230.13956686930095</v>
      </c>
      <c r="O1231">
        <v>12</v>
      </c>
    </row>
    <row r="1232" spans="1:15" x14ac:dyDescent="0.25">
      <c r="A1232" t="s">
        <v>46</v>
      </c>
      <c r="B1232" t="s">
        <v>14</v>
      </c>
      <c r="C1232" t="s">
        <v>7</v>
      </c>
      <c r="D1232" t="str">
        <f t="shared" si="115"/>
        <v>FAB1_Leche Clasica Semi 1 L</v>
      </c>
      <c r="E1232">
        <v>2022</v>
      </c>
      <c r="F1232">
        <v>14</v>
      </c>
      <c r="G1232">
        <f t="shared" si="116"/>
        <v>4</v>
      </c>
      <c r="H1232" s="1">
        <f t="shared" si="117"/>
        <v>44655</v>
      </c>
      <c r="I1232" s="1">
        <f t="shared" si="118"/>
        <v>44652</v>
      </c>
      <c r="J1232">
        <v>281147.06</v>
      </c>
      <c r="K1232">
        <v>14472</v>
      </c>
      <c r="L1232">
        <f t="shared" si="114"/>
        <v>19.426966556108347</v>
      </c>
      <c r="M1232">
        <v>1206</v>
      </c>
      <c r="N1232" s="2">
        <f t="shared" si="119"/>
        <v>233.12359867330017</v>
      </c>
      <c r="O1232">
        <v>12</v>
      </c>
    </row>
    <row r="1233" spans="1:15" x14ac:dyDescent="0.25">
      <c r="A1233" t="s">
        <v>46</v>
      </c>
      <c r="B1233" t="s">
        <v>14</v>
      </c>
      <c r="C1233" t="s">
        <v>7</v>
      </c>
      <c r="D1233" t="str">
        <f t="shared" si="115"/>
        <v>FAB1_Leche Clasica Semi 1 L</v>
      </c>
      <c r="E1233">
        <v>2022</v>
      </c>
      <c r="F1233">
        <v>15</v>
      </c>
      <c r="G1233">
        <f t="shared" si="116"/>
        <v>4</v>
      </c>
      <c r="H1233" s="1">
        <f t="shared" si="117"/>
        <v>44662</v>
      </c>
      <c r="I1233" s="1">
        <f t="shared" si="118"/>
        <v>44652</v>
      </c>
      <c r="J1233">
        <v>233126.36000000004</v>
      </c>
      <c r="K1233">
        <v>12204</v>
      </c>
      <c r="L1233">
        <f t="shared" si="114"/>
        <v>19.102454932808918</v>
      </c>
      <c r="M1233">
        <v>1017</v>
      </c>
      <c r="N1233" s="2">
        <f t="shared" si="119"/>
        <v>229.22945919370702</v>
      </c>
      <c r="O1233">
        <v>12</v>
      </c>
    </row>
    <row r="1234" spans="1:15" x14ac:dyDescent="0.25">
      <c r="A1234" t="s">
        <v>46</v>
      </c>
      <c r="B1234" t="s">
        <v>14</v>
      </c>
      <c r="C1234" t="s">
        <v>7</v>
      </c>
      <c r="D1234" t="str">
        <f t="shared" si="115"/>
        <v>FAB1_Leche Clasica Semi 1 L</v>
      </c>
      <c r="E1234">
        <v>2022</v>
      </c>
      <c r="F1234">
        <v>16</v>
      </c>
      <c r="G1234">
        <f t="shared" si="116"/>
        <v>4</v>
      </c>
      <c r="H1234" s="1">
        <f t="shared" si="117"/>
        <v>44669</v>
      </c>
      <c r="I1234" s="1">
        <f t="shared" si="118"/>
        <v>44652</v>
      </c>
      <c r="J1234">
        <v>267657.2300000001</v>
      </c>
      <c r="K1234">
        <v>14028</v>
      </c>
      <c r="L1234">
        <f t="shared" si="114"/>
        <v>19.080213145138302</v>
      </c>
      <c r="M1234">
        <v>1169</v>
      </c>
      <c r="N1234" s="2">
        <f t="shared" si="119"/>
        <v>228.96255774165962</v>
      </c>
      <c r="O1234">
        <v>12</v>
      </c>
    </row>
    <row r="1235" spans="1:15" x14ac:dyDescent="0.25">
      <c r="A1235" t="s">
        <v>46</v>
      </c>
      <c r="B1235" t="s">
        <v>14</v>
      </c>
      <c r="C1235" t="s">
        <v>7</v>
      </c>
      <c r="D1235" t="str">
        <f t="shared" si="115"/>
        <v>FAB1_Leche Clasica Semi 1 L</v>
      </c>
      <c r="E1235">
        <v>2022</v>
      </c>
      <c r="F1235">
        <v>17</v>
      </c>
      <c r="G1235">
        <f t="shared" si="116"/>
        <v>4</v>
      </c>
      <c r="H1235" s="1">
        <f t="shared" si="117"/>
        <v>44676</v>
      </c>
      <c r="I1235" s="1">
        <f t="shared" si="118"/>
        <v>44652</v>
      </c>
      <c r="J1235">
        <v>305434.38000000006</v>
      </c>
      <c r="K1235">
        <v>16164</v>
      </c>
      <c r="L1235">
        <f t="shared" si="114"/>
        <v>18.895965107646624</v>
      </c>
      <c r="M1235">
        <v>1347</v>
      </c>
      <c r="N1235" s="2">
        <f t="shared" si="119"/>
        <v>226.75158129175952</v>
      </c>
      <c r="O1235">
        <v>12</v>
      </c>
    </row>
    <row r="1236" spans="1:15" x14ac:dyDescent="0.25">
      <c r="A1236" t="s">
        <v>46</v>
      </c>
      <c r="B1236" t="s">
        <v>14</v>
      </c>
      <c r="C1236" t="s">
        <v>7</v>
      </c>
      <c r="D1236" t="str">
        <f t="shared" si="115"/>
        <v>FAB1_Leche Clasica Semi 1 L</v>
      </c>
      <c r="E1236">
        <v>2022</v>
      </c>
      <c r="F1236">
        <v>18</v>
      </c>
      <c r="G1236">
        <f t="shared" si="116"/>
        <v>5</v>
      </c>
      <c r="H1236" s="1">
        <f t="shared" si="117"/>
        <v>44683</v>
      </c>
      <c r="I1236" s="1">
        <f t="shared" si="118"/>
        <v>44682</v>
      </c>
      <c r="J1236">
        <v>315505.70000000007</v>
      </c>
      <c r="K1236">
        <v>16248</v>
      </c>
      <c r="L1236">
        <f t="shared" si="114"/>
        <v>19.418125307730186</v>
      </c>
      <c r="M1236">
        <v>1354</v>
      </c>
      <c r="N1236" s="2">
        <f t="shared" si="119"/>
        <v>233.01750369276223</v>
      </c>
      <c r="O1236">
        <v>12</v>
      </c>
    </row>
    <row r="1237" spans="1:15" x14ac:dyDescent="0.25">
      <c r="A1237" t="s">
        <v>46</v>
      </c>
      <c r="B1237" t="s">
        <v>14</v>
      </c>
      <c r="C1237" t="s">
        <v>7</v>
      </c>
      <c r="D1237" t="str">
        <f t="shared" si="115"/>
        <v>FAB1_Leche Clasica Semi 1 L</v>
      </c>
      <c r="E1237">
        <v>2022</v>
      </c>
      <c r="F1237">
        <v>19</v>
      </c>
      <c r="G1237">
        <f t="shared" si="116"/>
        <v>5</v>
      </c>
      <c r="H1237" s="1">
        <f t="shared" si="117"/>
        <v>44690</v>
      </c>
      <c r="I1237" s="1">
        <f t="shared" si="118"/>
        <v>44682</v>
      </c>
      <c r="J1237">
        <v>244753.20000000004</v>
      </c>
      <c r="K1237">
        <v>12672</v>
      </c>
      <c r="L1237">
        <f t="shared" si="114"/>
        <v>19.314488636363638</v>
      </c>
      <c r="M1237">
        <v>1056</v>
      </c>
      <c r="N1237" s="2">
        <f t="shared" si="119"/>
        <v>231.77386363636367</v>
      </c>
      <c r="O1237">
        <v>12</v>
      </c>
    </row>
    <row r="1238" spans="1:15" x14ac:dyDescent="0.25">
      <c r="A1238" t="s">
        <v>46</v>
      </c>
      <c r="B1238" t="s">
        <v>14</v>
      </c>
      <c r="C1238" t="s">
        <v>7</v>
      </c>
      <c r="D1238" t="str">
        <f t="shared" si="115"/>
        <v>FAB1_Leche Clasica Semi 1 L</v>
      </c>
      <c r="E1238">
        <v>2022</v>
      </c>
      <c r="F1238">
        <v>20</v>
      </c>
      <c r="G1238">
        <f t="shared" si="116"/>
        <v>5</v>
      </c>
      <c r="H1238" s="1">
        <f t="shared" si="117"/>
        <v>44697</v>
      </c>
      <c r="I1238" s="1">
        <f t="shared" si="118"/>
        <v>44682</v>
      </c>
      <c r="J1238">
        <v>276763.45000000007</v>
      </c>
      <c r="K1238">
        <v>14556</v>
      </c>
      <c r="L1238">
        <f t="shared" si="114"/>
        <v>19.013702253366315</v>
      </c>
      <c r="M1238">
        <v>1213</v>
      </c>
      <c r="N1238" s="2">
        <f t="shared" si="119"/>
        <v>228.16442704039576</v>
      </c>
      <c r="O1238">
        <v>12</v>
      </c>
    </row>
    <row r="1239" spans="1:15" x14ac:dyDescent="0.25">
      <c r="A1239" t="s">
        <v>46</v>
      </c>
      <c r="B1239" t="s">
        <v>14</v>
      </c>
      <c r="C1239" t="s">
        <v>7</v>
      </c>
      <c r="D1239" t="str">
        <f t="shared" si="115"/>
        <v>FAB1_Leche Clasica Semi 1 L</v>
      </c>
      <c r="E1239">
        <v>2022</v>
      </c>
      <c r="F1239">
        <v>21</v>
      </c>
      <c r="G1239">
        <f t="shared" si="116"/>
        <v>5</v>
      </c>
      <c r="H1239" s="1">
        <f t="shared" si="117"/>
        <v>44704</v>
      </c>
      <c r="I1239" s="1">
        <f t="shared" si="118"/>
        <v>44682</v>
      </c>
      <c r="J1239">
        <v>256457.63000000006</v>
      </c>
      <c r="K1239">
        <v>13716</v>
      </c>
      <c r="L1239">
        <f t="shared" si="114"/>
        <v>18.697698308544769</v>
      </c>
      <c r="M1239">
        <v>1143</v>
      </c>
      <c r="N1239" s="2">
        <f t="shared" si="119"/>
        <v>224.37237970253724</v>
      </c>
      <c r="O1239">
        <v>12</v>
      </c>
    </row>
    <row r="1240" spans="1:15" x14ac:dyDescent="0.25">
      <c r="A1240" t="s">
        <v>46</v>
      </c>
      <c r="B1240" t="s">
        <v>14</v>
      </c>
      <c r="C1240" t="s">
        <v>7</v>
      </c>
      <c r="D1240" t="str">
        <f t="shared" si="115"/>
        <v>FAB1_Leche Clasica Semi 1 L</v>
      </c>
      <c r="E1240">
        <v>2022</v>
      </c>
      <c r="F1240">
        <v>22</v>
      </c>
      <c r="G1240">
        <f t="shared" si="116"/>
        <v>6</v>
      </c>
      <c r="H1240" s="1">
        <f t="shared" si="117"/>
        <v>44711</v>
      </c>
      <c r="I1240" s="1">
        <f t="shared" si="118"/>
        <v>44713</v>
      </c>
      <c r="J1240">
        <v>359302.19000000006</v>
      </c>
      <c r="K1240">
        <v>19344</v>
      </c>
      <c r="L1240">
        <f t="shared" si="114"/>
        <v>18.574348118279573</v>
      </c>
      <c r="M1240">
        <v>1612</v>
      </c>
      <c r="N1240" s="2">
        <f t="shared" si="119"/>
        <v>222.89217741935488</v>
      </c>
      <c r="O1240">
        <v>12</v>
      </c>
    </row>
    <row r="1241" spans="1:15" x14ac:dyDescent="0.25">
      <c r="A1241" t="s">
        <v>46</v>
      </c>
      <c r="B1241" t="s">
        <v>14</v>
      </c>
      <c r="C1241" t="s">
        <v>7</v>
      </c>
      <c r="D1241" t="str">
        <f t="shared" si="115"/>
        <v>FAB1_Leche Clasica Semi 1 L</v>
      </c>
      <c r="E1241">
        <v>2022</v>
      </c>
      <c r="F1241">
        <v>23</v>
      </c>
      <c r="G1241">
        <f t="shared" si="116"/>
        <v>6</v>
      </c>
      <c r="H1241" s="1">
        <f t="shared" si="117"/>
        <v>44718</v>
      </c>
      <c r="I1241" s="1">
        <f t="shared" si="118"/>
        <v>44713</v>
      </c>
      <c r="J1241">
        <v>243444.11000000004</v>
      </c>
      <c r="K1241">
        <v>12780</v>
      </c>
      <c r="L1241">
        <f t="shared" si="114"/>
        <v>19.048834898278564</v>
      </c>
      <c r="M1241">
        <v>1065</v>
      </c>
      <c r="N1241" s="2">
        <f t="shared" si="119"/>
        <v>228.58601877934277</v>
      </c>
      <c r="O1241">
        <v>12</v>
      </c>
    </row>
    <row r="1242" spans="1:15" x14ac:dyDescent="0.25">
      <c r="A1242" t="s">
        <v>46</v>
      </c>
      <c r="B1242" t="s">
        <v>14</v>
      </c>
      <c r="C1242" t="s">
        <v>7</v>
      </c>
      <c r="D1242" t="str">
        <f t="shared" si="115"/>
        <v>FAB1_Leche Clasica Semi 1 L</v>
      </c>
      <c r="E1242">
        <v>2022</v>
      </c>
      <c r="F1242">
        <v>24</v>
      </c>
      <c r="G1242">
        <f t="shared" si="116"/>
        <v>6</v>
      </c>
      <c r="H1242" s="1">
        <f t="shared" si="117"/>
        <v>44725</v>
      </c>
      <c r="I1242" s="1">
        <f t="shared" si="118"/>
        <v>44713</v>
      </c>
      <c r="J1242">
        <v>269234.02</v>
      </c>
      <c r="K1242">
        <v>14004</v>
      </c>
      <c r="L1242">
        <f t="shared" si="114"/>
        <v>19.225508426163955</v>
      </c>
      <c r="M1242">
        <v>1167</v>
      </c>
      <c r="N1242" s="2">
        <f t="shared" si="119"/>
        <v>230.70610111396746</v>
      </c>
      <c r="O1242">
        <v>12</v>
      </c>
    </row>
    <row r="1243" spans="1:15" x14ac:dyDescent="0.25">
      <c r="A1243" t="s">
        <v>46</v>
      </c>
      <c r="B1243" t="s">
        <v>14</v>
      </c>
      <c r="C1243" t="s">
        <v>7</v>
      </c>
      <c r="D1243" t="str">
        <f t="shared" si="115"/>
        <v>FAB1_Leche Clasica Semi 1 L</v>
      </c>
      <c r="E1243">
        <v>2022</v>
      </c>
      <c r="F1243">
        <v>25</v>
      </c>
      <c r="G1243">
        <f t="shared" si="116"/>
        <v>6</v>
      </c>
      <c r="H1243" s="1">
        <f t="shared" si="117"/>
        <v>44732</v>
      </c>
      <c r="I1243" s="1">
        <f t="shared" si="118"/>
        <v>44713</v>
      </c>
      <c r="J1243">
        <v>247871.98999999996</v>
      </c>
      <c r="K1243">
        <v>13404</v>
      </c>
      <c r="L1243">
        <f t="shared" si="114"/>
        <v>18.492389585198445</v>
      </c>
      <c r="M1243">
        <v>1117</v>
      </c>
      <c r="N1243" s="2">
        <f t="shared" si="119"/>
        <v>221.90867502238135</v>
      </c>
      <c r="O1243">
        <v>12</v>
      </c>
    </row>
    <row r="1244" spans="1:15" x14ac:dyDescent="0.25">
      <c r="A1244" t="s">
        <v>46</v>
      </c>
      <c r="B1244" t="s">
        <v>14</v>
      </c>
      <c r="C1244" t="s">
        <v>7</v>
      </c>
      <c r="D1244" t="str">
        <f t="shared" si="115"/>
        <v>FAB1_Leche Clasica Semi 1 L</v>
      </c>
      <c r="E1244">
        <v>2022</v>
      </c>
      <c r="F1244">
        <v>26</v>
      </c>
      <c r="G1244">
        <f t="shared" si="116"/>
        <v>6</v>
      </c>
      <c r="H1244" s="1">
        <f t="shared" si="117"/>
        <v>44739</v>
      </c>
      <c r="I1244" s="1">
        <f t="shared" si="118"/>
        <v>44713</v>
      </c>
      <c r="J1244">
        <v>311028.49</v>
      </c>
      <c r="K1244">
        <v>17040</v>
      </c>
      <c r="L1244">
        <f t="shared" si="114"/>
        <v>18.252845657276996</v>
      </c>
      <c r="M1244">
        <v>1420</v>
      </c>
      <c r="N1244" s="2">
        <f t="shared" si="119"/>
        <v>219.03414788732394</v>
      </c>
      <c r="O1244">
        <v>12</v>
      </c>
    </row>
    <row r="1245" spans="1:15" x14ac:dyDescent="0.25">
      <c r="A1245" t="s">
        <v>46</v>
      </c>
      <c r="B1245" t="s">
        <v>14</v>
      </c>
      <c r="C1245" t="s">
        <v>7</v>
      </c>
      <c r="D1245" t="str">
        <f t="shared" si="115"/>
        <v>FAB1_Leche Clasica Semi 1 L</v>
      </c>
      <c r="E1245">
        <v>2022</v>
      </c>
      <c r="F1245">
        <v>27</v>
      </c>
      <c r="G1245">
        <f t="shared" si="116"/>
        <v>7</v>
      </c>
      <c r="H1245" s="1">
        <f t="shared" si="117"/>
        <v>44746</v>
      </c>
      <c r="I1245" s="1">
        <f t="shared" si="118"/>
        <v>44743</v>
      </c>
      <c r="J1245">
        <v>290712.60000000003</v>
      </c>
      <c r="K1245">
        <v>15540</v>
      </c>
      <c r="L1245">
        <f t="shared" si="114"/>
        <v>18.707374517374518</v>
      </c>
      <c r="M1245">
        <v>1295</v>
      </c>
      <c r="N1245" s="2">
        <f t="shared" si="119"/>
        <v>224.48849420849425</v>
      </c>
      <c r="O1245">
        <v>12</v>
      </c>
    </row>
    <row r="1246" spans="1:15" x14ac:dyDescent="0.25">
      <c r="A1246" t="s">
        <v>46</v>
      </c>
      <c r="B1246" t="s">
        <v>14</v>
      </c>
      <c r="C1246" t="s">
        <v>7</v>
      </c>
      <c r="D1246" t="str">
        <f t="shared" si="115"/>
        <v>FAB1_Leche Clasica Semi 1 L</v>
      </c>
      <c r="E1246">
        <v>2022</v>
      </c>
      <c r="F1246">
        <v>28</v>
      </c>
      <c r="G1246">
        <f t="shared" si="116"/>
        <v>7</v>
      </c>
      <c r="H1246" s="1">
        <f t="shared" si="117"/>
        <v>44753</v>
      </c>
      <c r="I1246" s="1">
        <f t="shared" si="118"/>
        <v>44743</v>
      </c>
      <c r="J1246">
        <v>250769.08</v>
      </c>
      <c r="K1246">
        <v>13488</v>
      </c>
      <c r="L1246">
        <f t="shared" si="114"/>
        <v>18.592013641755635</v>
      </c>
      <c r="M1246">
        <v>1124</v>
      </c>
      <c r="N1246" s="2">
        <f t="shared" si="119"/>
        <v>223.10416370106759</v>
      </c>
      <c r="O1246">
        <v>12</v>
      </c>
    </row>
    <row r="1247" spans="1:15" x14ac:dyDescent="0.25">
      <c r="A1247" t="s">
        <v>46</v>
      </c>
      <c r="B1247" t="s">
        <v>14</v>
      </c>
      <c r="C1247" t="s">
        <v>7</v>
      </c>
      <c r="D1247" t="str">
        <f t="shared" si="115"/>
        <v>FAB1_Leche Clasica Semi 1 L</v>
      </c>
      <c r="E1247">
        <v>2022</v>
      </c>
      <c r="F1247">
        <v>29</v>
      </c>
      <c r="G1247">
        <f t="shared" si="116"/>
        <v>7</v>
      </c>
      <c r="H1247" s="1">
        <f t="shared" si="117"/>
        <v>44760</v>
      </c>
      <c r="I1247" s="1">
        <f t="shared" si="118"/>
        <v>44743</v>
      </c>
      <c r="J1247">
        <v>297588.14</v>
      </c>
      <c r="K1247">
        <v>15516</v>
      </c>
      <c r="L1247">
        <f t="shared" si="114"/>
        <v>19.179436710492396</v>
      </c>
      <c r="M1247">
        <v>1293</v>
      </c>
      <c r="N1247" s="2">
        <f t="shared" si="119"/>
        <v>230.15324052590876</v>
      </c>
      <c r="O1247">
        <v>12</v>
      </c>
    </row>
    <row r="1248" spans="1:15" x14ac:dyDescent="0.25">
      <c r="A1248" t="s">
        <v>46</v>
      </c>
      <c r="B1248" t="s">
        <v>14</v>
      </c>
      <c r="C1248" t="s">
        <v>7</v>
      </c>
      <c r="D1248" t="str">
        <f t="shared" si="115"/>
        <v>FAB1_Leche Clasica Semi 1 L</v>
      </c>
      <c r="E1248">
        <v>2022</v>
      </c>
      <c r="F1248">
        <v>30</v>
      </c>
      <c r="G1248">
        <f t="shared" si="116"/>
        <v>7</v>
      </c>
      <c r="H1248" s="1">
        <f t="shared" si="117"/>
        <v>44767</v>
      </c>
      <c r="I1248" s="1">
        <f t="shared" si="118"/>
        <v>44743</v>
      </c>
      <c r="J1248">
        <v>232025.14000000004</v>
      </c>
      <c r="K1248">
        <v>11916</v>
      </c>
      <c r="L1248">
        <f t="shared" si="114"/>
        <v>19.471730446458547</v>
      </c>
      <c r="M1248">
        <v>993</v>
      </c>
      <c r="N1248" s="2">
        <f t="shared" si="119"/>
        <v>233.66076535750256</v>
      </c>
      <c r="O1248">
        <v>12</v>
      </c>
    </row>
    <row r="1249" spans="1:15" x14ac:dyDescent="0.25">
      <c r="A1249" t="s">
        <v>46</v>
      </c>
      <c r="B1249" t="s">
        <v>14</v>
      </c>
      <c r="C1249" t="s">
        <v>7</v>
      </c>
      <c r="D1249" t="str">
        <f t="shared" si="115"/>
        <v>FAB1_Leche Clasica Semi 1 L</v>
      </c>
      <c r="E1249">
        <v>2022</v>
      </c>
      <c r="F1249">
        <v>31</v>
      </c>
      <c r="G1249">
        <f t="shared" si="116"/>
        <v>8</v>
      </c>
      <c r="H1249" s="1">
        <f t="shared" si="117"/>
        <v>44774</v>
      </c>
      <c r="I1249" s="1">
        <f t="shared" si="118"/>
        <v>44774</v>
      </c>
      <c r="J1249">
        <v>304243.95000000007</v>
      </c>
      <c r="K1249">
        <v>15624</v>
      </c>
      <c r="L1249">
        <f t="shared" si="114"/>
        <v>19.472859062980035</v>
      </c>
      <c r="M1249">
        <v>1302</v>
      </c>
      <c r="N1249" s="2">
        <f t="shared" si="119"/>
        <v>233.67430875576042</v>
      </c>
      <c r="O1249">
        <v>12</v>
      </c>
    </row>
    <row r="1250" spans="1:15" x14ac:dyDescent="0.25">
      <c r="A1250" t="s">
        <v>46</v>
      </c>
      <c r="B1250" t="s">
        <v>14</v>
      </c>
      <c r="C1250" t="s">
        <v>7</v>
      </c>
      <c r="D1250" t="str">
        <f t="shared" si="115"/>
        <v>FAB1_Leche Clasica Semi 1 L</v>
      </c>
      <c r="E1250">
        <v>2022</v>
      </c>
      <c r="F1250">
        <v>32</v>
      </c>
      <c r="G1250">
        <f t="shared" si="116"/>
        <v>8</v>
      </c>
      <c r="H1250" s="1">
        <f t="shared" si="117"/>
        <v>44781</v>
      </c>
      <c r="I1250" s="1">
        <f t="shared" si="118"/>
        <v>44774</v>
      </c>
      <c r="J1250">
        <v>267198.87</v>
      </c>
      <c r="K1250">
        <v>14016</v>
      </c>
      <c r="L1250">
        <f t="shared" si="114"/>
        <v>19.063846318493152</v>
      </c>
      <c r="M1250">
        <v>1168</v>
      </c>
      <c r="N1250" s="2">
        <f t="shared" si="119"/>
        <v>228.76615582191781</v>
      </c>
      <c r="O1250">
        <v>12</v>
      </c>
    </row>
    <row r="1251" spans="1:15" x14ac:dyDescent="0.25">
      <c r="A1251" t="s">
        <v>46</v>
      </c>
      <c r="B1251" t="s">
        <v>14</v>
      </c>
      <c r="C1251" t="s">
        <v>7</v>
      </c>
      <c r="D1251" t="str">
        <f t="shared" si="115"/>
        <v>FAB1_Leche Clasica Semi 1 L</v>
      </c>
      <c r="E1251">
        <v>2022</v>
      </c>
      <c r="F1251">
        <v>33</v>
      </c>
      <c r="G1251">
        <f t="shared" si="116"/>
        <v>8</v>
      </c>
      <c r="H1251" s="1">
        <f t="shared" si="117"/>
        <v>44788</v>
      </c>
      <c r="I1251" s="1">
        <f t="shared" si="118"/>
        <v>44774</v>
      </c>
      <c r="J1251">
        <v>375271.45</v>
      </c>
      <c r="K1251">
        <v>20736</v>
      </c>
      <c r="L1251">
        <f t="shared" si="114"/>
        <v>18.097581500771607</v>
      </c>
      <c r="M1251">
        <v>1728</v>
      </c>
      <c r="N1251" s="2">
        <f t="shared" si="119"/>
        <v>217.17097800925927</v>
      </c>
      <c r="O1251">
        <v>12</v>
      </c>
    </row>
    <row r="1252" spans="1:15" x14ac:dyDescent="0.25">
      <c r="A1252" t="s">
        <v>46</v>
      </c>
      <c r="B1252" t="s">
        <v>14</v>
      </c>
      <c r="C1252" t="s">
        <v>7</v>
      </c>
      <c r="D1252" t="str">
        <f t="shared" si="115"/>
        <v>FAB1_Leche Clasica Semi 1 L</v>
      </c>
      <c r="E1252">
        <v>2022</v>
      </c>
      <c r="F1252">
        <v>34</v>
      </c>
      <c r="G1252">
        <f t="shared" si="116"/>
        <v>8</v>
      </c>
      <c r="H1252" s="1">
        <f t="shared" si="117"/>
        <v>44795</v>
      </c>
      <c r="I1252" s="1">
        <f t="shared" si="118"/>
        <v>44774</v>
      </c>
      <c r="J1252">
        <v>215828.81999999998</v>
      </c>
      <c r="K1252">
        <v>10968</v>
      </c>
      <c r="L1252">
        <f t="shared" si="114"/>
        <v>19.678047045951857</v>
      </c>
      <c r="M1252">
        <v>914</v>
      </c>
      <c r="N1252" s="2">
        <f t="shared" si="119"/>
        <v>236.13656455142228</v>
      </c>
      <c r="O1252">
        <v>12</v>
      </c>
    </row>
    <row r="1253" spans="1:15" x14ac:dyDescent="0.25">
      <c r="A1253" t="s">
        <v>46</v>
      </c>
      <c r="B1253" t="s">
        <v>14</v>
      </c>
      <c r="C1253" t="s">
        <v>7</v>
      </c>
      <c r="D1253" t="str">
        <f t="shared" si="115"/>
        <v>FAB1_Leche Clasica Semi 1 L</v>
      </c>
      <c r="E1253">
        <v>2022</v>
      </c>
      <c r="F1253">
        <v>35</v>
      </c>
      <c r="G1253">
        <f t="shared" si="116"/>
        <v>9</v>
      </c>
      <c r="H1253" s="1">
        <f t="shared" si="117"/>
        <v>44802</v>
      </c>
      <c r="I1253" s="1">
        <f t="shared" si="118"/>
        <v>44805</v>
      </c>
      <c r="J1253">
        <v>291115.39999999991</v>
      </c>
      <c r="K1253">
        <v>14724</v>
      </c>
      <c r="L1253">
        <f t="shared" si="114"/>
        <v>19.771488725889697</v>
      </c>
      <c r="M1253">
        <v>1227</v>
      </c>
      <c r="N1253" s="2">
        <f t="shared" si="119"/>
        <v>237.25786471067636</v>
      </c>
      <c r="O1253">
        <v>12</v>
      </c>
    </row>
    <row r="1254" spans="1:15" x14ac:dyDescent="0.25">
      <c r="A1254" t="s">
        <v>46</v>
      </c>
      <c r="B1254" t="s">
        <v>14</v>
      </c>
      <c r="C1254" t="s">
        <v>7</v>
      </c>
      <c r="D1254" t="str">
        <f t="shared" si="115"/>
        <v>FAB1_Leche Clasica Semi 1 L</v>
      </c>
      <c r="E1254">
        <v>2022</v>
      </c>
      <c r="F1254">
        <v>36</v>
      </c>
      <c r="G1254">
        <f t="shared" si="116"/>
        <v>9</v>
      </c>
      <c r="H1254" s="1">
        <f t="shared" si="117"/>
        <v>44809</v>
      </c>
      <c r="I1254" s="1">
        <f t="shared" si="118"/>
        <v>44805</v>
      </c>
      <c r="J1254">
        <v>314869.14999999997</v>
      </c>
      <c r="K1254">
        <v>16092</v>
      </c>
      <c r="L1254">
        <f t="shared" si="114"/>
        <v>19.566812701963705</v>
      </c>
      <c r="M1254">
        <v>1341</v>
      </c>
      <c r="N1254" s="2">
        <f t="shared" si="119"/>
        <v>234.80175242356447</v>
      </c>
      <c r="O1254">
        <v>12</v>
      </c>
    </row>
    <row r="1255" spans="1:15" x14ac:dyDescent="0.25">
      <c r="A1255" t="s">
        <v>46</v>
      </c>
      <c r="B1255" t="s">
        <v>14</v>
      </c>
      <c r="C1255" t="s">
        <v>7</v>
      </c>
      <c r="D1255" t="str">
        <f t="shared" si="115"/>
        <v>FAB1_Leche Clasica Semi 1 L</v>
      </c>
      <c r="E1255">
        <v>2022</v>
      </c>
      <c r="F1255">
        <v>37</v>
      </c>
      <c r="G1255">
        <f t="shared" si="116"/>
        <v>9</v>
      </c>
      <c r="H1255" s="1">
        <f t="shared" si="117"/>
        <v>44816</v>
      </c>
      <c r="I1255" s="1">
        <f t="shared" si="118"/>
        <v>44805</v>
      </c>
      <c r="J1255">
        <v>258871.17999999985</v>
      </c>
      <c r="K1255">
        <v>13320</v>
      </c>
      <c r="L1255">
        <f t="shared" si="114"/>
        <v>19.434773273273262</v>
      </c>
      <c r="M1255">
        <v>1110</v>
      </c>
      <c r="N1255" s="2">
        <f t="shared" si="119"/>
        <v>233.21727927927915</v>
      </c>
      <c r="O1255">
        <v>12</v>
      </c>
    </row>
    <row r="1256" spans="1:15" x14ac:dyDescent="0.25">
      <c r="A1256" t="s">
        <v>46</v>
      </c>
      <c r="B1256" t="s">
        <v>14</v>
      </c>
      <c r="C1256" t="s">
        <v>7</v>
      </c>
      <c r="D1256" t="str">
        <f t="shared" si="115"/>
        <v>FAB1_Leche Clasica Semi 1 L</v>
      </c>
      <c r="E1256">
        <v>2022</v>
      </c>
      <c r="F1256">
        <v>38</v>
      </c>
      <c r="G1256">
        <f t="shared" si="116"/>
        <v>9</v>
      </c>
      <c r="H1256" s="1">
        <f t="shared" si="117"/>
        <v>44823</v>
      </c>
      <c r="I1256" s="1">
        <f t="shared" si="118"/>
        <v>44805</v>
      </c>
      <c r="J1256">
        <v>261394.2199999998</v>
      </c>
      <c r="K1256">
        <v>13368</v>
      </c>
      <c r="L1256">
        <f t="shared" si="114"/>
        <v>19.553726810293224</v>
      </c>
      <c r="M1256">
        <v>1114</v>
      </c>
      <c r="N1256" s="2">
        <f t="shared" si="119"/>
        <v>234.64472172351867</v>
      </c>
      <c r="O1256">
        <v>12</v>
      </c>
    </row>
    <row r="1257" spans="1:15" x14ac:dyDescent="0.25">
      <c r="A1257" t="s">
        <v>46</v>
      </c>
      <c r="B1257" t="s">
        <v>14</v>
      </c>
      <c r="C1257" t="s">
        <v>7</v>
      </c>
      <c r="D1257" t="str">
        <f t="shared" si="115"/>
        <v>FAB1_Leche Clasica Semi 1 L</v>
      </c>
      <c r="E1257">
        <v>2022</v>
      </c>
      <c r="F1257">
        <v>39</v>
      </c>
      <c r="G1257">
        <f t="shared" si="116"/>
        <v>9</v>
      </c>
      <c r="H1257" s="1">
        <f t="shared" si="117"/>
        <v>44830</v>
      </c>
      <c r="I1257" s="1">
        <f t="shared" si="118"/>
        <v>44805</v>
      </c>
      <c r="J1257">
        <v>243486.71999999997</v>
      </c>
      <c r="K1257">
        <v>11976</v>
      </c>
      <c r="L1257">
        <f t="shared" si="114"/>
        <v>20.331222444889779</v>
      </c>
      <c r="M1257">
        <v>998</v>
      </c>
      <c r="N1257" s="2">
        <f t="shared" si="119"/>
        <v>243.97466933867733</v>
      </c>
      <c r="O1257">
        <v>12</v>
      </c>
    </row>
    <row r="1258" spans="1:15" x14ac:dyDescent="0.25">
      <c r="A1258" t="s">
        <v>46</v>
      </c>
      <c r="B1258" t="s">
        <v>14</v>
      </c>
      <c r="C1258" t="s">
        <v>7</v>
      </c>
      <c r="D1258" t="str">
        <f t="shared" si="115"/>
        <v>FAB1_Leche Clasica Semi 1 L</v>
      </c>
      <c r="E1258">
        <v>2022</v>
      </c>
      <c r="F1258">
        <v>40</v>
      </c>
      <c r="G1258">
        <f t="shared" si="116"/>
        <v>10</v>
      </c>
      <c r="H1258" s="1">
        <f t="shared" si="117"/>
        <v>44837</v>
      </c>
      <c r="I1258" s="1">
        <f t="shared" si="118"/>
        <v>44835</v>
      </c>
      <c r="J1258">
        <v>373688.28999999986</v>
      </c>
      <c r="K1258">
        <v>19128</v>
      </c>
      <c r="L1258">
        <f t="shared" si="114"/>
        <v>19.536192492680879</v>
      </c>
      <c r="M1258">
        <v>1594</v>
      </c>
      <c r="N1258" s="2">
        <f t="shared" si="119"/>
        <v>234.43430991217056</v>
      </c>
      <c r="O1258">
        <v>12</v>
      </c>
    </row>
    <row r="1259" spans="1:15" x14ac:dyDescent="0.25">
      <c r="A1259" t="s">
        <v>46</v>
      </c>
      <c r="B1259" t="s">
        <v>14</v>
      </c>
      <c r="C1259" t="s">
        <v>7</v>
      </c>
      <c r="D1259" t="str">
        <f t="shared" si="115"/>
        <v>FAB1_Leche Clasica Semi 1 L</v>
      </c>
      <c r="E1259">
        <v>2022</v>
      </c>
      <c r="F1259">
        <v>41</v>
      </c>
      <c r="G1259">
        <f t="shared" si="116"/>
        <v>10</v>
      </c>
      <c r="H1259" s="1">
        <f t="shared" si="117"/>
        <v>44844</v>
      </c>
      <c r="I1259" s="1">
        <f t="shared" si="118"/>
        <v>44835</v>
      </c>
      <c r="J1259">
        <v>389845.11000000004</v>
      </c>
      <c r="K1259">
        <v>21336</v>
      </c>
      <c r="L1259">
        <f t="shared" si="114"/>
        <v>18.271705568053996</v>
      </c>
      <c r="M1259">
        <v>1778</v>
      </c>
      <c r="N1259" s="2">
        <f t="shared" si="119"/>
        <v>219.26046681664795</v>
      </c>
      <c r="O1259">
        <v>12</v>
      </c>
    </row>
    <row r="1260" spans="1:15" x14ac:dyDescent="0.25">
      <c r="A1260" t="s">
        <v>46</v>
      </c>
      <c r="B1260" t="s">
        <v>14</v>
      </c>
      <c r="C1260" t="s">
        <v>7</v>
      </c>
      <c r="D1260" t="str">
        <f t="shared" si="115"/>
        <v>FAB1_Leche Clasica Semi 1 L</v>
      </c>
      <c r="E1260">
        <v>2022</v>
      </c>
      <c r="F1260">
        <v>42</v>
      </c>
      <c r="G1260">
        <f t="shared" si="116"/>
        <v>10</v>
      </c>
      <c r="H1260" s="1">
        <f t="shared" si="117"/>
        <v>44851</v>
      </c>
      <c r="I1260" s="1">
        <f t="shared" si="118"/>
        <v>44835</v>
      </c>
      <c r="J1260">
        <v>337107.55999999988</v>
      </c>
      <c r="K1260">
        <v>18024</v>
      </c>
      <c r="L1260">
        <f t="shared" si="114"/>
        <v>18.703260097647576</v>
      </c>
      <c r="M1260">
        <v>1502</v>
      </c>
      <c r="N1260" s="2">
        <f t="shared" si="119"/>
        <v>224.43912117177089</v>
      </c>
      <c r="O1260">
        <v>12</v>
      </c>
    </row>
    <row r="1261" spans="1:15" x14ac:dyDescent="0.25">
      <c r="A1261" t="s">
        <v>46</v>
      </c>
      <c r="B1261" t="s">
        <v>14</v>
      </c>
      <c r="C1261" t="s">
        <v>7</v>
      </c>
      <c r="D1261" t="str">
        <f t="shared" si="115"/>
        <v>FAB1_Leche Clasica Semi 1 L</v>
      </c>
      <c r="E1261">
        <v>2022</v>
      </c>
      <c r="F1261">
        <v>43</v>
      </c>
      <c r="G1261">
        <f t="shared" si="116"/>
        <v>10</v>
      </c>
      <c r="H1261" s="1">
        <f t="shared" si="117"/>
        <v>44858</v>
      </c>
      <c r="I1261" s="1">
        <f t="shared" si="118"/>
        <v>44835</v>
      </c>
      <c r="J1261">
        <v>173011.61999999988</v>
      </c>
      <c r="K1261">
        <v>8568</v>
      </c>
      <c r="L1261">
        <f t="shared" si="114"/>
        <v>20.192766106442562</v>
      </c>
      <c r="M1261">
        <v>714</v>
      </c>
      <c r="N1261" s="2">
        <f t="shared" si="119"/>
        <v>242.31319327731075</v>
      </c>
      <c r="O1261">
        <v>12</v>
      </c>
    </row>
    <row r="1262" spans="1:15" x14ac:dyDescent="0.25">
      <c r="A1262" t="s">
        <v>46</v>
      </c>
      <c r="B1262" t="s">
        <v>14</v>
      </c>
      <c r="C1262" t="s">
        <v>7</v>
      </c>
      <c r="D1262" t="str">
        <f t="shared" si="115"/>
        <v>FAB1_Leche Clasica Semi 1 L</v>
      </c>
      <c r="E1262">
        <v>2022</v>
      </c>
      <c r="F1262">
        <v>44</v>
      </c>
      <c r="G1262">
        <f t="shared" si="116"/>
        <v>11</v>
      </c>
      <c r="H1262" s="1">
        <f t="shared" si="117"/>
        <v>44865</v>
      </c>
      <c r="I1262" s="1">
        <f t="shared" si="118"/>
        <v>44866</v>
      </c>
      <c r="J1262">
        <v>261201.94999999995</v>
      </c>
      <c r="K1262">
        <v>13188</v>
      </c>
      <c r="L1262">
        <f t="shared" si="114"/>
        <v>19.806031998786771</v>
      </c>
      <c r="M1262">
        <v>1099</v>
      </c>
      <c r="N1262" s="2">
        <f t="shared" si="119"/>
        <v>237.67238398544126</v>
      </c>
      <c r="O1262">
        <v>12</v>
      </c>
    </row>
    <row r="1263" spans="1:15" x14ac:dyDescent="0.25">
      <c r="A1263" t="s">
        <v>46</v>
      </c>
      <c r="B1263" t="s">
        <v>14</v>
      </c>
      <c r="C1263" t="s">
        <v>7</v>
      </c>
      <c r="D1263" t="str">
        <f t="shared" si="115"/>
        <v>FAB1_Leche Clasica Semi 1 L</v>
      </c>
      <c r="E1263">
        <v>2022</v>
      </c>
      <c r="F1263">
        <v>45</v>
      </c>
      <c r="G1263">
        <f t="shared" si="116"/>
        <v>11</v>
      </c>
      <c r="H1263" s="1">
        <f t="shared" si="117"/>
        <v>44872</v>
      </c>
      <c r="I1263" s="1">
        <f t="shared" si="118"/>
        <v>44866</v>
      </c>
      <c r="J1263">
        <v>324389.56999999977</v>
      </c>
      <c r="K1263">
        <v>17712</v>
      </c>
      <c r="L1263">
        <f t="shared" si="114"/>
        <v>18.314677619692851</v>
      </c>
      <c r="M1263">
        <v>1476</v>
      </c>
      <c r="N1263" s="2">
        <f t="shared" si="119"/>
        <v>219.77613143631422</v>
      </c>
      <c r="O1263">
        <v>12</v>
      </c>
    </row>
    <row r="1264" spans="1:15" x14ac:dyDescent="0.25">
      <c r="A1264" t="s">
        <v>46</v>
      </c>
      <c r="B1264" t="s">
        <v>14</v>
      </c>
      <c r="C1264" t="s">
        <v>7</v>
      </c>
      <c r="D1264" t="str">
        <f t="shared" si="115"/>
        <v>FAB1_Leche Clasica Semi 1 L</v>
      </c>
      <c r="E1264">
        <v>2022</v>
      </c>
      <c r="F1264">
        <v>46</v>
      </c>
      <c r="G1264">
        <f t="shared" si="116"/>
        <v>11</v>
      </c>
      <c r="H1264" s="1">
        <f t="shared" si="117"/>
        <v>44879</v>
      </c>
      <c r="I1264" s="1">
        <f t="shared" si="118"/>
        <v>44866</v>
      </c>
      <c r="J1264">
        <v>319031.91999999969</v>
      </c>
      <c r="K1264">
        <v>16584</v>
      </c>
      <c r="L1264">
        <f t="shared" si="114"/>
        <v>19.237332368547978</v>
      </c>
      <c r="M1264">
        <v>1382</v>
      </c>
      <c r="N1264" s="2">
        <f t="shared" si="119"/>
        <v>230.84798842257575</v>
      </c>
      <c r="O1264">
        <v>12</v>
      </c>
    </row>
    <row r="1265" spans="1:15" x14ac:dyDescent="0.25">
      <c r="A1265" t="s">
        <v>46</v>
      </c>
      <c r="B1265" t="s">
        <v>14</v>
      </c>
      <c r="C1265" t="s">
        <v>7</v>
      </c>
      <c r="D1265" t="str">
        <f t="shared" si="115"/>
        <v>FAB1_Leche Clasica Semi 1 L</v>
      </c>
      <c r="E1265">
        <v>2022</v>
      </c>
      <c r="F1265">
        <v>47</v>
      </c>
      <c r="G1265">
        <f t="shared" si="116"/>
        <v>11</v>
      </c>
      <c r="H1265" s="1">
        <f t="shared" si="117"/>
        <v>44886</v>
      </c>
      <c r="I1265" s="1">
        <f t="shared" si="118"/>
        <v>44866</v>
      </c>
      <c r="J1265">
        <v>297088.88999999996</v>
      </c>
      <c r="K1265">
        <v>15048</v>
      </c>
      <c r="L1265">
        <f t="shared" si="114"/>
        <v>19.742749202551831</v>
      </c>
      <c r="M1265">
        <v>1254</v>
      </c>
      <c r="N1265" s="2">
        <f t="shared" si="119"/>
        <v>236.91299043062199</v>
      </c>
      <c r="O1265">
        <v>12</v>
      </c>
    </row>
    <row r="1266" spans="1:15" x14ac:dyDescent="0.25">
      <c r="A1266" t="s">
        <v>46</v>
      </c>
      <c r="B1266" t="s">
        <v>14</v>
      </c>
      <c r="C1266" t="s">
        <v>7</v>
      </c>
      <c r="D1266" t="str">
        <f t="shared" si="115"/>
        <v>FAB1_Leche Clasica Semi 1 L</v>
      </c>
      <c r="E1266">
        <v>2022</v>
      </c>
      <c r="F1266">
        <v>48</v>
      </c>
      <c r="G1266">
        <f t="shared" si="116"/>
        <v>12</v>
      </c>
      <c r="H1266" s="1">
        <f t="shared" si="117"/>
        <v>44893</v>
      </c>
      <c r="I1266" s="1">
        <f t="shared" si="118"/>
        <v>44896</v>
      </c>
      <c r="J1266">
        <v>218783.37000000005</v>
      </c>
      <c r="K1266">
        <v>11052</v>
      </c>
      <c r="L1266">
        <f t="shared" si="114"/>
        <v>19.795817046688388</v>
      </c>
      <c r="M1266">
        <v>921</v>
      </c>
      <c r="N1266" s="2">
        <f t="shared" si="119"/>
        <v>237.54980456026064</v>
      </c>
      <c r="O1266">
        <v>12</v>
      </c>
    </row>
    <row r="1267" spans="1:15" x14ac:dyDescent="0.25">
      <c r="A1267" t="s">
        <v>46</v>
      </c>
      <c r="B1267" t="s">
        <v>14</v>
      </c>
      <c r="C1267" t="s">
        <v>7</v>
      </c>
      <c r="D1267" t="str">
        <f t="shared" si="115"/>
        <v>FAB1_Leche Clasica Semi 1 L</v>
      </c>
      <c r="E1267">
        <v>2022</v>
      </c>
      <c r="F1267">
        <v>49</v>
      </c>
      <c r="G1267">
        <f t="shared" si="116"/>
        <v>12</v>
      </c>
      <c r="H1267" s="1">
        <f t="shared" si="117"/>
        <v>44900</v>
      </c>
      <c r="I1267" s="1">
        <f t="shared" si="118"/>
        <v>44896</v>
      </c>
      <c r="J1267">
        <v>286032.30999999982</v>
      </c>
      <c r="K1267">
        <v>14580</v>
      </c>
      <c r="L1267">
        <f t="shared" si="114"/>
        <v>19.618128257887506</v>
      </c>
      <c r="M1267">
        <v>1215</v>
      </c>
      <c r="N1267" s="2">
        <f t="shared" si="119"/>
        <v>235.41753909465007</v>
      </c>
      <c r="O1267">
        <v>12</v>
      </c>
    </row>
    <row r="1268" spans="1:15" x14ac:dyDescent="0.25">
      <c r="A1268" t="s">
        <v>46</v>
      </c>
      <c r="B1268" t="s">
        <v>14</v>
      </c>
      <c r="C1268" t="s">
        <v>7</v>
      </c>
      <c r="D1268" t="str">
        <f t="shared" si="115"/>
        <v>FAB1_Leche Clasica Semi 1 L</v>
      </c>
      <c r="E1268">
        <v>2022</v>
      </c>
      <c r="F1268">
        <v>50</v>
      </c>
      <c r="G1268">
        <f t="shared" si="116"/>
        <v>12</v>
      </c>
      <c r="H1268" s="1">
        <f t="shared" si="117"/>
        <v>44907</v>
      </c>
      <c r="I1268" s="1">
        <f t="shared" si="118"/>
        <v>44896</v>
      </c>
      <c r="J1268">
        <v>281671.17</v>
      </c>
      <c r="K1268">
        <v>14316</v>
      </c>
      <c r="L1268">
        <f t="shared" si="114"/>
        <v>19.675270326906958</v>
      </c>
      <c r="M1268">
        <v>1193</v>
      </c>
      <c r="N1268" s="2">
        <f t="shared" si="119"/>
        <v>236.10324392288348</v>
      </c>
      <c r="O1268">
        <v>12</v>
      </c>
    </row>
    <row r="1269" spans="1:15" x14ac:dyDescent="0.25">
      <c r="A1269" t="s">
        <v>46</v>
      </c>
      <c r="B1269" t="s">
        <v>14</v>
      </c>
      <c r="C1269" t="s">
        <v>7</v>
      </c>
      <c r="D1269" t="str">
        <f t="shared" si="115"/>
        <v>FAB1_Leche Clasica Semi 1 L</v>
      </c>
      <c r="E1269">
        <v>2022</v>
      </c>
      <c r="F1269">
        <v>51</v>
      </c>
      <c r="G1269">
        <f t="shared" si="116"/>
        <v>12</v>
      </c>
      <c r="H1269" s="1">
        <f t="shared" si="117"/>
        <v>44914</v>
      </c>
      <c r="I1269" s="1">
        <f t="shared" si="118"/>
        <v>44896</v>
      </c>
      <c r="J1269">
        <v>266066.02</v>
      </c>
      <c r="K1269">
        <v>13596</v>
      </c>
      <c r="L1269">
        <f t="shared" si="114"/>
        <v>19.56943365695793</v>
      </c>
      <c r="M1269">
        <v>1133</v>
      </c>
      <c r="N1269" s="2">
        <f t="shared" si="119"/>
        <v>234.83320388349517</v>
      </c>
      <c r="O1269">
        <v>12</v>
      </c>
    </row>
    <row r="1270" spans="1:15" x14ac:dyDescent="0.25">
      <c r="A1270" t="s">
        <v>46</v>
      </c>
      <c r="B1270" t="s">
        <v>14</v>
      </c>
      <c r="C1270" t="s">
        <v>7</v>
      </c>
      <c r="D1270" t="str">
        <f t="shared" si="115"/>
        <v>FAB1_Leche Clasica Semi 1 L</v>
      </c>
      <c r="E1270">
        <v>2022</v>
      </c>
      <c r="F1270">
        <v>52</v>
      </c>
      <c r="G1270">
        <f t="shared" si="116"/>
        <v>12</v>
      </c>
      <c r="H1270" s="1">
        <f t="shared" si="117"/>
        <v>44921</v>
      </c>
      <c r="I1270" s="1">
        <f t="shared" si="118"/>
        <v>44896</v>
      </c>
      <c r="J1270">
        <v>265500.32999999978</v>
      </c>
      <c r="K1270">
        <v>13536</v>
      </c>
      <c r="L1270">
        <f t="shared" si="114"/>
        <v>19.614386081560269</v>
      </c>
      <c r="M1270">
        <v>1128</v>
      </c>
      <c r="N1270" s="2">
        <f t="shared" si="119"/>
        <v>235.3726329787232</v>
      </c>
      <c r="O1270">
        <v>12</v>
      </c>
    </row>
    <row r="1271" spans="1:15" x14ac:dyDescent="0.25">
      <c r="A1271" t="s">
        <v>46</v>
      </c>
      <c r="B1271" t="s">
        <v>14</v>
      </c>
      <c r="C1271" t="s">
        <v>7</v>
      </c>
      <c r="D1271" t="str">
        <f t="shared" si="115"/>
        <v>FAB1_Leche Clasica Semi 1 L</v>
      </c>
      <c r="E1271">
        <v>2023</v>
      </c>
      <c r="F1271">
        <v>1</v>
      </c>
      <c r="G1271">
        <f t="shared" si="116"/>
        <v>1</v>
      </c>
      <c r="H1271" s="1">
        <f t="shared" si="117"/>
        <v>44928</v>
      </c>
      <c r="I1271" s="1">
        <f t="shared" si="118"/>
        <v>44927</v>
      </c>
      <c r="J1271">
        <v>306514.5799999999</v>
      </c>
      <c r="K1271">
        <v>15684</v>
      </c>
      <c r="L1271">
        <f t="shared" si="114"/>
        <v>19.54313823004335</v>
      </c>
      <c r="M1271">
        <v>1307</v>
      </c>
      <c r="N1271" s="2">
        <f t="shared" si="119"/>
        <v>234.51765876052019</v>
      </c>
      <c r="O1271">
        <v>12</v>
      </c>
    </row>
    <row r="1272" spans="1:15" x14ac:dyDescent="0.25">
      <c r="A1272" t="s">
        <v>46</v>
      </c>
      <c r="B1272" t="s">
        <v>14</v>
      </c>
      <c r="C1272" t="s">
        <v>7</v>
      </c>
      <c r="D1272" t="str">
        <f t="shared" si="115"/>
        <v>FAB1_Leche Clasica Semi 1 L</v>
      </c>
      <c r="E1272">
        <v>2023</v>
      </c>
      <c r="F1272">
        <v>2</v>
      </c>
      <c r="G1272">
        <f t="shared" si="116"/>
        <v>1</v>
      </c>
      <c r="H1272" s="1">
        <f t="shared" si="117"/>
        <v>44935</v>
      </c>
      <c r="I1272" s="1">
        <f t="shared" si="118"/>
        <v>44927</v>
      </c>
      <c r="J1272">
        <v>245058.72000000003</v>
      </c>
      <c r="K1272">
        <v>12684</v>
      </c>
      <c r="L1272">
        <f t="shared" si="114"/>
        <v>19.320302743614004</v>
      </c>
      <c r="M1272">
        <v>1057</v>
      </c>
      <c r="N1272" s="2">
        <f t="shared" si="119"/>
        <v>231.84363292336806</v>
      </c>
      <c r="O1272">
        <v>12</v>
      </c>
    </row>
    <row r="1273" spans="1:15" x14ac:dyDescent="0.25">
      <c r="A1273" t="s">
        <v>46</v>
      </c>
      <c r="B1273" t="s">
        <v>14</v>
      </c>
      <c r="C1273" t="s">
        <v>7</v>
      </c>
      <c r="D1273" t="str">
        <f t="shared" si="115"/>
        <v>FAB1_Leche Clasica Semi 1 L</v>
      </c>
      <c r="E1273">
        <v>2023</v>
      </c>
      <c r="F1273">
        <v>3</v>
      </c>
      <c r="G1273">
        <f t="shared" si="116"/>
        <v>1</v>
      </c>
      <c r="H1273" s="1">
        <f t="shared" si="117"/>
        <v>44942</v>
      </c>
      <c r="I1273" s="1">
        <f t="shared" si="118"/>
        <v>44927</v>
      </c>
      <c r="J1273">
        <v>248766.64999999997</v>
      </c>
      <c r="K1273">
        <v>13020</v>
      </c>
      <c r="L1273">
        <f t="shared" si="114"/>
        <v>19.106501536098307</v>
      </c>
      <c r="M1273">
        <v>1085</v>
      </c>
      <c r="N1273" s="2">
        <f t="shared" si="119"/>
        <v>229.27801843317968</v>
      </c>
      <c r="O1273">
        <v>12</v>
      </c>
    </row>
    <row r="1274" spans="1:15" x14ac:dyDescent="0.25">
      <c r="A1274" t="s">
        <v>46</v>
      </c>
      <c r="B1274" t="s">
        <v>14</v>
      </c>
      <c r="C1274" t="s">
        <v>7</v>
      </c>
      <c r="D1274" t="str">
        <f t="shared" si="115"/>
        <v>FAB1_Leche Clasica Semi 1 L</v>
      </c>
      <c r="E1274">
        <v>2023</v>
      </c>
      <c r="F1274">
        <v>4</v>
      </c>
      <c r="G1274">
        <f t="shared" si="116"/>
        <v>1</v>
      </c>
      <c r="H1274" s="1">
        <f t="shared" si="117"/>
        <v>44949</v>
      </c>
      <c r="I1274" s="1">
        <f t="shared" si="118"/>
        <v>44927</v>
      </c>
      <c r="J1274">
        <v>229924.40999999992</v>
      </c>
      <c r="K1274">
        <v>11784</v>
      </c>
      <c r="L1274">
        <f t="shared" si="114"/>
        <v>19.51157586558044</v>
      </c>
      <c r="M1274">
        <v>982</v>
      </c>
      <c r="N1274" s="2">
        <f t="shared" si="119"/>
        <v>234.13891038696528</v>
      </c>
      <c r="O1274">
        <v>12</v>
      </c>
    </row>
    <row r="1275" spans="1:15" x14ac:dyDescent="0.25">
      <c r="A1275" t="s">
        <v>46</v>
      </c>
      <c r="B1275" t="s">
        <v>14</v>
      </c>
      <c r="C1275" t="s">
        <v>7</v>
      </c>
      <c r="D1275" t="str">
        <f t="shared" si="115"/>
        <v>FAB1_Leche Clasica Semi 1 L</v>
      </c>
      <c r="E1275">
        <v>2023</v>
      </c>
      <c r="F1275">
        <v>5</v>
      </c>
      <c r="G1275">
        <f t="shared" si="116"/>
        <v>2</v>
      </c>
      <c r="H1275" s="1">
        <f t="shared" si="117"/>
        <v>44956</v>
      </c>
      <c r="I1275" s="1">
        <f t="shared" si="118"/>
        <v>44958</v>
      </c>
      <c r="J1275">
        <v>278643.58</v>
      </c>
      <c r="K1275">
        <v>13728</v>
      </c>
      <c r="L1275">
        <f t="shared" si="114"/>
        <v>20.297463578088578</v>
      </c>
      <c r="M1275">
        <v>1144</v>
      </c>
      <c r="N1275" s="2">
        <f t="shared" si="119"/>
        <v>243.56956293706295</v>
      </c>
      <c r="O1275">
        <v>12</v>
      </c>
    </row>
    <row r="1276" spans="1:15" x14ac:dyDescent="0.25">
      <c r="A1276" t="s">
        <v>46</v>
      </c>
      <c r="B1276" t="s">
        <v>14</v>
      </c>
      <c r="C1276" t="s">
        <v>7</v>
      </c>
      <c r="D1276" t="str">
        <f t="shared" si="115"/>
        <v>FAB1_Leche Clasica Semi 1 L</v>
      </c>
      <c r="E1276">
        <v>2023</v>
      </c>
      <c r="F1276">
        <v>6</v>
      </c>
      <c r="G1276">
        <f t="shared" si="116"/>
        <v>2</v>
      </c>
      <c r="H1276" s="1">
        <f t="shared" si="117"/>
        <v>44963</v>
      </c>
      <c r="I1276" s="1">
        <f t="shared" si="118"/>
        <v>44958</v>
      </c>
      <c r="J1276">
        <v>226251.33999999994</v>
      </c>
      <c r="K1276">
        <v>11448</v>
      </c>
      <c r="L1276">
        <f t="shared" si="114"/>
        <v>19.763394479385042</v>
      </c>
      <c r="M1276">
        <v>954</v>
      </c>
      <c r="N1276" s="2">
        <f t="shared" si="119"/>
        <v>237.16073375262047</v>
      </c>
      <c r="O1276">
        <v>12</v>
      </c>
    </row>
    <row r="1277" spans="1:15" x14ac:dyDescent="0.25">
      <c r="A1277" t="s">
        <v>46</v>
      </c>
      <c r="B1277" t="s">
        <v>14</v>
      </c>
      <c r="C1277" t="s">
        <v>7</v>
      </c>
      <c r="D1277" t="str">
        <f t="shared" si="115"/>
        <v>FAB1_Leche Clasica Semi 1 L</v>
      </c>
      <c r="E1277">
        <v>2023</v>
      </c>
      <c r="F1277">
        <v>7</v>
      </c>
      <c r="G1277">
        <f t="shared" si="116"/>
        <v>2</v>
      </c>
      <c r="H1277" s="1">
        <f t="shared" si="117"/>
        <v>44970</v>
      </c>
      <c r="I1277" s="1">
        <f t="shared" si="118"/>
        <v>44958</v>
      </c>
      <c r="J1277">
        <v>345809.75999999983</v>
      </c>
      <c r="K1277">
        <v>18228</v>
      </c>
      <c r="L1277">
        <f t="shared" si="114"/>
        <v>18.97134957208689</v>
      </c>
      <c r="M1277">
        <v>1519</v>
      </c>
      <c r="N1277" s="2">
        <f t="shared" si="119"/>
        <v>227.65619486504269</v>
      </c>
      <c r="O1277">
        <v>12</v>
      </c>
    </row>
    <row r="1278" spans="1:15" x14ac:dyDescent="0.25">
      <c r="A1278" t="s">
        <v>46</v>
      </c>
      <c r="B1278" t="s">
        <v>14</v>
      </c>
      <c r="C1278" t="s">
        <v>7</v>
      </c>
      <c r="D1278" t="str">
        <f t="shared" si="115"/>
        <v>FAB1_Leche Clasica Semi 1 L</v>
      </c>
      <c r="E1278">
        <v>2023</v>
      </c>
      <c r="F1278">
        <v>8</v>
      </c>
      <c r="G1278">
        <f t="shared" si="116"/>
        <v>2</v>
      </c>
      <c r="H1278" s="1">
        <f t="shared" si="117"/>
        <v>44977</v>
      </c>
      <c r="I1278" s="1">
        <f t="shared" si="118"/>
        <v>44958</v>
      </c>
      <c r="J1278">
        <v>204271.86999999994</v>
      </c>
      <c r="K1278">
        <v>10716</v>
      </c>
      <c r="L1278">
        <f t="shared" si="114"/>
        <v>19.062324561403504</v>
      </c>
      <c r="M1278">
        <v>893</v>
      </c>
      <c r="N1278" s="2">
        <f t="shared" si="119"/>
        <v>228.74789473684203</v>
      </c>
      <c r="O1278">
        <v>12</v>
      </c>
    </row>
    <row r="1279" spans="1:15" x14ac:dyDescent="0.25">
      <c r="A1279" t="s">
        <v>46</v>
      </c>
      <c r="B1279" t="s">
        <v>14</v>
      </c>
      <c r="C1279" t="s">
        <v>7</v>
      </c>
      <c r="D1279" t="str">
        <f t="shared" si="115"/>
        <v>FAB1_Leche Clasica Semi 1 L</v>
      </c>
      <c r="E1279">
        <v>2023</v>
      </c>
      <c r="F1279">
        <v>9</v>
      </c>
      <c r="G1279">
        <f t="shared" si="116"/>
        <v>3</v>
      </c>
      <c r="H1279" s="1">
        <f t="shared" si="117"/>
        <v>44984</v>
      </c>
      <c r="I1279" s="1">
        <f t="shared" si="118"/>
        <v>44986</v>
      </c>
      <c r="J1279">
        <v>274864.80999999988</v>
      </c>
      <c r="K1279">
        <v>14616</v>
      </c>
      <c r="L1279">
        <f t="shared" si="114"/>
        <v>18.805747810618492</v>
      </c>
      <c r="M1279">
        <v>1218</v>
      </c>
      <c r="N1279" s="2">
        <f t="shared" si="119"/>
        <v>225.6689737274219</v>
      </c>
      <c r="O1279">
        <v>12</v>
      </c>
    </row>
    <row r="1280" spans="1:15" x14ac:dyDescent="0.25">
      <c r="A1280" t="s">
        <v>46</v>
      </c>
      <c r="B1280" t="s">
        <v>14</v>
      </c>
      <c r="C1280" t="s">
        <v>7</v>
      </c>
      <c r="D1280" t="str">
        <f t="shared" si="115"/>
        <v>FAB1_Leche Clasica Semi 1 L</v>
      </c>
      <c r="E1280">
        <v>2023</v>
      </c>
      <c r="F1280">
        <v>10</v>
      </c>
      <c r="G1280">
        <f t="shared" si="116"/>
        <v>3</v>
      </c>
      <c r="H1280" s="1">
        <f t="shared" si="117"/>
        <v>44991</v>
      </c>
      <c r="I1280" s="1">
        <f t="shared" si="118"/>
        <v>44986</v>
      </c>
      <c r="J1280">
        <v>240416.44000000006</v>
      </c>
      <c r="K1280">
        <v>12984</v>
      </c>
      <c r="L1280">
        <f t="shared" si="114"/>
        <v>18.516361675908815</v>
      </c>
      <c r="M1280">
        <v>1082</v>
      </c>
      <c r="N1280" s="2">
        <f t="shared" si="119"/>
        <v>222.19634011090579</v>
      </c>
      <c r="O1280">
        <v>12</v>
      </c>
    </row>
    <row r="1281" spans="1:15" x14ac:dyDescent="0.25">
      <c r="A1281" t="s">
        <v>46</v>
      </c>
      <c r="B1281" t="s">
        <v>14</v>
      </c>
      <c r="C1281" t="s">
        <v>7</v>
      </c>
      <c r="D1281" t="str">
        <f t="shared" si="115"/>
        <v>FAB1_Leche Clasica Semi 1 L</v>
      </c>
      <c r="E1281">
        <v>2023</v>
      </c>
      <c r="F1281">
        <v>11</v>
      </c>
      <c r="G1281">
        <f t="shared" si="116"/>
        <v>3</v>
      </c>
      <c r="H1281" s="1">
        <f t="shared" si="117"/>
        <v>44998</v>
      </c>
      <c r="I1281" s="1">
        <f t="shared" si="118"/>
        <v>44986</v>
      </c>
      <c r="J1281">
        <v>240182.59999999995</v>
      </c>
      <c r="K1281">
        <v>12288</v>
      </c>
      <c r="L1281">
        <f t="shared" si="114"/>
        <v>19.546110026041664</v>
      </c>
      <c r="M1281">
        <v>1024</v>
      </c>
      <c r="N1281" s="2">
        <f t="shared" si="119"/>
        <v>234.55332031249995</v>
      </c>
      <c r="O1281">
        <v>12</v>
      </c>
    </row>
    <row r="1282" spans="1:15" x14ac:dyDescent="0.25">
      <c r="A1282" t="s">
        <v>46</v>
      </c>
      <c r="B1282" t="s">
        <v>14</v>
      </c>
      <c r="C1282" t="s">
        <v>7</v>
      </c>
      <c r="D1282" t="str">
        <f t="shared" si="115"/>
        <v>FAB1_Leche Clasica Semi 1 L</v>
      </c>
      <c r="E1282">
        <v>2023</v>
      </c>
      <c r="F1282">
        <v>12</v>
      </c>
      <c r="G1282">
        <f t="shared" si="116"/>
        <v>3</v>
      </c>
      <c r="H1282" s="1">
        <f t="shared" si="117"/>
        <v>45005</v>
      </c>
      <c r="I1282" s="1">
        <f t="shared" si="118"/>
        <v>44986</v>
      </c>
      <c r="J1282">
        <v>238897.8599999999</v>
      </c>
      <c r="K1282">
        <v>12300</v>
      </c>
      <c r="L1282">
        <f t="shared" ref="L1282:L1345" si="120">J1282/K1282</f>
        <v>19.42259024390243</v>
      </c>
      <c r="M1282">
        <v>1025</v>
      </c>
      <c r="N1282" s="2">
        <f t="shared" si="119"/>
        <v>233.07108292682918</v>
      </c>
      <c r="O1282">
        <v>12</v>
      </c>
    </row>
    <row r="1283" spans="1:15" x14ac:dyDescent="0.25">
      <c r="A1283" t="s">
        <v>46</v>
      </c>
      <c r="B1283" t="s">
        <v>14</v>
      </c>
      <c r="C1283" t="s">
        <v>7</v>
      </c>
      <c r="D1283" t="str">
        <f t="shared" ref="D1283:D1346" si="121">B1283&amp;"_"&amp;C1283</f>
        <v>FAB1_Leche Clasica Semi 1 L</v>
      </c>
      <c r="E1283">
        <v>2023</v>
      </c>
      <c r="F1283">
        <v>13</v>
      </c>
      <c r="G1283">
        <f t="shared" ref="G1283:G1346" si="122">MONTH(DATE(E1283,1,4)+(F1283-1)*7-WEEKDAY(DATE(E1283,1,4),2)+4)</f>
        <v>3</v>
      </c>
      <c r="H1283" s="1">
        <f t="shared" ref="H1283:H1346" si="123">DATE(E1283,1,-2)-WEEKDAY(DATE(E1283,1,3))+F1283*7</f>
        <v>45012</v>
      </c>
      <c r="I1283" s="1">
        <f t="shared" ref="I1283:I1346" si="124">DATE(E1283,G1283,1)</f>
        <v>44986</v>
      </c>
      <c r="J1283">
        <v>227548.88999999993</v>
      </c>
      <c r="K1283">
        <v>11628</v>
      </c>
      <c r="L1283">
        <f t="shared" si="120"/>
        <v>19.569047987616091</v>
      </c>
      <c r="M1283">
        <v>969</v>
      </c>
      <c r="N1283" s="2">
        <f t="shared" ref="N1283:N1346" si="125">J1283/M1283</f>
        <v>234.82857585139311</v>
      </c>
      <c r="O1283">
        <v>12</v>
      </c>
    </row>
    <row r="1284" spans="1:15" x14ac:dyDescent="0.25">
      <c r="A1284" t="s">
        <v>46</v>
      </c>
      <c r="B1284" t="s">
        <v>14</v>
      </c>
      <c r="C1284" t="s">
        <v>7</v>
      </c>
      <c r="D1284" t="str">
        <f t="shared" si="121"/>
        <v>FAB1_Leche Clasica Semi 1 L</v>
      </c>
      <c r="E1284">
        <v>2023</v>
      </c>
      <c r="F1284">
        <v>14</v>
      </c>
      <c r="G1284">
        <f t="shared" si="122"/>
        <v>4</v>
      </c>
      <c r="H1284" s="1">
        <f t="shared" si="123"/>
        <v>45019</v>
      </c>
      <c r="I1284" s="1">
        <f t="shared" si="124"/>
        <v>45017</v>
      </c>
      <c r="J1284">
        <v>282033.41999999993</v>
      </c>
      <c r="K1284">
        <v>14568</v>
      </c>
      <c r="L1284">
        <f t="shared" si="120"/>
        <v>19.359789950576602</v>
      </c>
      <c r="M1284">
        <v>1214</v>
      </c>
      <c r="N1284" s="2">
        <f t="shared" si="125"/>
        <v>232.3174794069192</v>
      </c>
      <c r="O1284">
        <v>12</v>
      </c>
    </row>
    <row r="1285" spans="1:15" x14ac:dyDescent="0.25">
      <c r="A1285" t="s">
        <v>46</v>
      </c>
      <c r="B1285" t="s">
        <v>14</v>
      </c>
      <c r="C1285" t="s">
        <v>7</v>
      </c>
      <c r="D1285" t="str">
        <f t="shared" si="121"/>
        <v>FAB1_Leche Clasica Semi 1 L</v>
      </c>
      <c r="E1285">
        <v>2023</v>
      </c>
      <c r="F1285">
        <v>15</v>
      </c>
      <c r="G1285">
        <f t="shared" si="122"/>
        <v>4</v>
      </c>
      <c r="H1285" s="1">
        <f t="shared" si="123"/>
        <v>45026</v>
      </c>
      <c r="I1285" s="1">
        <f t="shared" si="124"/>
        <v>45017</v>
      </c>
      <c r="J1285">
        <v>207240.71</v>
      </c>
      <c r="K1285">
        <v>10716</v>
      </c>
      <c r="L1285">
        <f t="shared" si="120"/>
        <v>19.339371967151923</v>
      </c>
      <c r="M1285">
        <v>893</v>
      </c>
      <c r="N1285" s="2">
        <f t="shared" si="125"/>
        <v>232.07246360582306</v>
      </c>
      <c r="O1285">
        <v>12</v>
      </c>
    </row>
    <row r="1286" spans="1:15" x14ac:dyDescent="0.25">
      <c r="A1286" t="s">
        <v>46</v>
      </c>
      <c r="B1286" t="s">
        <v>14</v>
      </c>
      <c r="C1286" t="s">
        <v>7</v>
      </c>
      <c r="D1286" t="str">
        <f t="shared" si="121"/>
        <v>FAB1_Leche Clasica Semi 1 L</v>
      </c>
      <c r="E1286">
        <v>2023</v>
      </c>
      <c r="F1286">
        <v>16</v>
      </c>
      <c r="G1286">
        <f t="shared" si="122"/>
        <v>4</v>
      </c>
      <c r="H1286" s="1">
        <f t="shared" si="123"/>
        <v>45033</v>
      </c>
      <c r="I1286" s="1">
        <f t="shared" si="124"/>
        <v>45017</v>
      </c>
      <c r="J1286">
        <v>227813.63999999996</v>
      </c>
      <c r="K1286">
        <v>11832</v>
      </c>
      <c r="L1286">
        <f t="shared" si="120"/>
        <v>19.254026369168354</v>
      </c>
      <c r="M1286">
        <v>986</v>
      </c>
      <c r="N1286" s="2">
        <f t="shared" si="125"/>
        <v>231.04831643002024</v>
      </c>
      <c r="O1286">
        <v>12</v>
      </c>
    </row>
    <row r="1287" spans="1:15" x14ac:dyDescent="0.25">
      <c r="A1287" t="s">
        <v>46</v>
      </c>
      <c r="B1287" t="s">
        <v>14</v>
      </c>
      <c r="C1287" t="s">
        <v>7</v>
      </c>
      <c r="D1287" t="str">
        <f t="shared" si="121"/>
        <v>FAB1_Leche Clasica Semi 1 L</v>
      </c>
      <c r="E1287">
        <v>2023</v>
      </c>
      <c r="F1287">
        <v>17</v>
      </c>
      <c r="G1287">
        <f t="shared" si="122"/>
        <v>4</v>
      </c>
      <c r="H1287" s="1">
        <f t="shared" si="123"/>
        <v>45040</v>
      </c>
      <c r="I1287" s="1">
        <f t="shared" si="124"/>
        <v>45017</v>
      </c>
      <c r="J1287">
        <v>221717.65999999997</v>
      </c>
      <c r="K1287">
        <v>11220</v>
      </c>
      <c r="L1287">
        <f t="shared" si="120"/>
        <v>19.760932263814613</v>
      </c>
      <c r="M1287">
        <v>935</v>
      </c>
      <c r="N1287" s="2">
        <f t="shared" si="125"/>
        <v>237.13118716577537</v>
      </c>
      <c r="O1287">
        <v>12</v>
      </c>
    </row>
    <row r="1288" spans="1:15" x14ac:dyDescent="0.25">
      <c r="A1288" t="s">
        <v>46</v>
      </c>
      <c r="B1288" t="s">
        <v>14</v>
      </c>
      <c r="C1288" t="s">
        <v>7</v>
      </c>
      <c r="D1288" t="str">
        <f t="shared" si="121"/>
        <v>FAB1_Leche Clasica Semi 1 L</v>
      </c>
      <c r="E1288">
        <v>2023</v>
      </c>
      <c r="F1288">
        <v>18</v>
      </c>
      <c r="G1288">
        <f t="shared" si="122"/>
        <v>5</v>
      </c>
      <c r="H1288" s="1">
        <f t="shared" si="123"/>
        <v>45047</v>
      </c>
      <c r="I1288" s="1">
        <f t="shared" si="124"/>
        <v>45047</v>
      </c>
      <c r="J1288">
        <v>294930.25999999995</v>
      </c>
      <c r="K1288">
        <v>15024</v>
      </c>
      <c r="L1288">
        <f t="shared" si="120"/>
        <v>19.6306083599574</v>
      </c>
      <c r="M1288">
        <v>1252</v>
      </c>
      <c r="N1288" s="2">
        <f t="shared" si="125"/>
        <v>235.56730031948877</v>
      </c>
      <c r="O1288">
        <v>12</v>
      </c>
    </row>
    <row r="1289" spans="1:15" x14ac:dyDescent="0.25">
      <c r="A1289" t="s">
        <v>46</v>
      </c>
      <c r="B1289" t="s">
        <v>14</v>
      </c>
      <c r="C1289" t="s">
        <v>7</v>
      </c>
      <c r="D1289" t="str">
        <f t="shared" si="121"/>
        <v>FAB1_Leche Clasica Semi 1 L</v>
      </c>
      <c r="E1289">
        <v>2023</v>
      </c>
      <c r="F1289">
        <v>19</v>
      </c>
      <c r="G1289">
        <f t="shared" si="122"/>
        <v>5</v>
      </c>
      <c r="H1289" s="1">
        <f t="shared" si="123"/>
        <v>45054</v>
      </c>
      <c r="I1289" s="1">
        <f t="shared" si="124"/>
        <v>45047</v>
      </c>
      <c r="J1289">
        <v>209247.43</v>
      </c>
      <c r="K1289">
        <v>11016</v>
      </c>
      <c r="L1289">
        <f t="shared" si="120"/>
        <v>18.994864742193172</v>
      </c>
      <c r="M1289">
        <v>918</v>
      </c>
      <c r="N1289" s="2">
        <f t="shared" si="125"/>
        <v>227.93837690631807</v>
      </c>
      <c r="O1289">
        <v>12</v>
      </c>
    </row>
    <row r="1290" spans="1:15" x14ac:dyDescent="0.25">
      <c r="A1290" t="s">
        <v>46</v>
      </c>
      <c r="B1290" t="s">
        <v>14</v>
      </c>
      <c r="C1290" t="s">
        <v>7</v>
      </c>
      <c r="D1290" t="str">
        <f t="shared" si="121"/>
        <v>FAB1_Leche Clasica Semi 1 L</v>
      </c>
      <c r="E1290">
        <v>2023</v>
      </c>
      <c r="F1290">
        <v>20</v>
      </c>
      <c r="G1290">
        <f t="shared" si="122"/>
        <v>5</v>
      </c>
      <c r="H1290" s="1">
        <f t="shared" si="123"/>
        <v>45061</v>
      </c>
      <c r="I1290" s="1">
        <f t="shared" si="124"/>
        <v>45047</v>
      </c>
      <c r="J1290">
        <v>252789.00000000003</v>
      </c>
      <c r="K1290">
        <v>13464</v>
      </c>
      <c r="L1290">
        <f t="shared" si="120"/>
        <v>18.775178253119432</v>
      </c>
      <c r="M1290">
        <v>1122</v>
      </c>
      <c r="N1290" s="2">
        <f t="shared" si="125"/>
        <v>225.30213903743319</v>
      </c>
      <c r="O1290">
        <v>12</v>
      </c>
    </row>
    <row r="1291" spans="1:15" x14ac:dyDescent="0.25">
      <c r="A1291" t="s">
        <v>46</v>
      </c>
      <c r="B1291" t="s">
        <v>14</v>
      </c>
      <c r="C1291" t="s">
        <v>7</v>
      </c>
      <c r="D1291" t="str">
        <f t="shared" si="121"/>
        <v>FAB1_Leche Clasica Semi 1 L</v>
      </c>
      <c r="E1291">
        <v>2023</v>
      </c>
      <c r="F1291">
        <v>21</v>
      </c>
      <c r="G1291">
        <f t="shared" si="122"/>
        <v>5</v>
      </c>
      <c r="H1291" s="1">
        <f t="shared" si="123"/>
        <v>45068</v>
      </c>
      <c r="I1291" s="1">
        <f t="shared" si="124"/>
        <v>45047</v>
      </c>
      <c r="J1291">
        <v>201051.2000000001</v>
      </c>
      <c r="K1291">
        <v>10740</v>
      </c>
      <c r="L1291">
        <f t="shared" si="120"/>
        <v>18.719851024208577</v>
      </c>
      <c r="M1291">
        <v>895</v>
      </c>
      <c r="N1291" s="2">
        <f t="shared" si="125"/>
        <v>224.63821229050291</v>
      </c>
      <c r="O1291">
        <v>12</v>
      </c>
    </row>
    <row r="1292" spans="1:15" x14ac:dyDescent="0.25">
      <c r="A1292" t="s">
        <v>46</v>
      </c>
      <c r="B1292" t="s">
        <v>14</v>
      </c>
      <c r="C1292" t="s">
        <v>7</v>
      </c>
      <c r="D1292" t="str">
        <f t="shared" si="121"/>
        <v>FAB1_Leche Clasica Semi 1 L</v>
      </c>
      <c r="E1292">
        <v>2023</v>
      </c>
      <c r="F1292">
        <v>22</v>
      </c>
      <c r="G1292">
        <f t="shared" si="122"/>
        <v>6</v>
      </c>
      <c r="H1292" s="1">
        <f t="shared" si="123"/>
        <v>45075</v>
      </c>
      <c r="I1292" s="1">
        <f t="shared" si="124"/>
        <v>45078</v>
      </c>
      <c r="J1292">
        <v>251668.87999999995</v>
      </c>
      <c r="K1292">
        <v>13332</v>
      </c>
      <c r="L1292">
        <f t="shared" si="120"/>
        <v>18.877053705370532</v>
      </c>
      <c r="M1292">
        <v>1111</v>
      </c>
      <c r="N1292" s="2">
        <f t="shared" si="125"/>
        <v>226.5246444644464</v>
      </c>
      <c r="O1292">
        <v>12</v>
      </c>
    </row>
    <row r="1293" spans="1:15" x14ac:dyDescent="0.25">
      <c r="A1293" t="s">
        <v>46</v>
      </c>
      <c r="B1293" t="s">
        <v>14</v>
      </c>
      <c r="C1293" t="s">
        <v>7</v>
      </c>
      <c r="D1293" t="str">
        <f t="shared" si="121"/>
        <v>FAB1_Leche Clasica Semi 1 L</v>
      </c>
      <c r="E1293">
        <v>2023</v>
      </c>
      <c r="F1293">
        <v>23</v>
      </c>
      <c r="G1293">
        <f t="shared" si="122"/>
        <v>6</v>
      </c>
      <c r="H1293" s="1">
        <f t="shared" si="123"/>
        <v>45082</v>
      </c>
      <c r="I1293" s="1">
        <f t="shared" si="124"/>
        <v>45078</v>
      </c>
      <c r="J1293">
        <v>208530.40999999992</v>
      </c>
      <c r="K1293">
        <v>10956</v>
      </c>
      <c r="L1293">
        <f t="shared" si="120"/>
        <v>19.033443775100395</v>
      </c>
      <c r="M1293">
        <v>913</v>
      </c>
      <c r="N1293" s="2">
        <f t="shared" si="125"/>
        <v>228.40132530120474</v>
      </c>
      <c r="O1293">
        <v>12</v>
      </c>
    </row>
    <row r="1294" spans="1:15" x14ac:dyDescent="0.25">
      <c r="A1294" t="s">
        <v>46</v>
      </c>
      <c r="B1294" t="s">
        <v>14</v>
      </c>
      <c r="C1294" t="s">
        <v>7</v>
      </c>
      <c r="D1294" t="str">
        <f t="shared" si="121"/>
        <v>FAB1_Leche Clasica Semi 1 L</v>
      </c>
      <c r="E1294">
        <v>2023</v>
      </c>
      <c r="F1294">
        <v>24</v>
      </c>
      <c r="G1294">
        <f t="shared" si="122"/>
        <v>6</v>
      </c>
      <c r="H1294" s="1">
        <f t="shared" si="123"/>
        <v>45089</v>
      </c>
      <c r="I1294" s="1">
        <f t="shared" si="124"/>
        <v>45078</v>
      </c>
      <c r="J1294">
        <v>225744.33999999997</v>
      </c>
      <c r="K1294">
        <v>11844</v>
      </c>
      <c r="L1294">
        <f t="shared" si="120"/>
        <v>19.05980580884836</v>
      </c>
      <c r="M1294">
        <v>987</v>
      </c>
      <c r="N1294" s="2">
        <f t="shared" si="125"/>
        <v>228.71766970618032</v>
      </c>
      <c r="O1294">
        <v>12</v>
      </c>
    </row>
    <row r="1295" spans="1:15" x14ac:dyDescent="0.25">
      <c r="A1295" t="s">
        <v>46</v>
      </c>
      <c r="B1295" t="s">
        <v>14</v>
      </c>
      <c r="C1295" t="s">
        <v>7</v>
      </c>
      <c r="D1295" t="str">
        <f t="shared" si="121"/>
        <v>FAB1_Leche Clasica Semi 1 L</v>
      </c>
      <c r="E1295">
        <v>2023</v>
      </c>
      <c r="F1295">
        <v>25</v>
      </c>
      <c r="G1295">
        <f t="shared" si="122"/>
        <v>6</v>
      </c>
      <c r="H1295" s="1">
        <f t="shared" si="123"/>
        <v>45096</v>
      </c>
      <c r="I1295" s="1">
        <f t="shared" si="124"/>
        <v>45078</v>
      </c>
      <c r="J1295">
        <v>210525.74000000002</v>
      </c>
      <c r="K1295">
        <v>11160</v>
      </c>
      <c r="L1295">
        <f t="shared" si="120"/>
        <v>18.864313620071687</v>
      </c>
      <c r="M1295">
        <v>930</v>
      </c>
      <c r="N1295" s="2">
        <f t="shared" si="125"/>
        <v>226.37176344086024</v>
      </c>
      <c r="O1295">
        <v>12</v>
      </c>
    </row>
    <row r="1296" spans="1:15" x14ac:dyDescent="0.25">
      <c r="A1296" t="s">
        <v>46</v>
      </c>
      <c r="B1296" t="s">
        <v>14</v>
      </c>
      <c r="C1296" t="s">
        <v>7</v>
      </c>
      <c r="D1296" t="str">
        <f t="shared" si="121"/>
        <v>FAB1_Leche Clasica Semi 1 L</v>
      </c>
      <c r="E1296">
        <v>2023</v>
      </c>
      <c r="F1296">
        <v>26</v>
      </c>
      <c r="G1296">
        <f t="shared" si="122"/>
        <v>6</v>
      </c>
      <c r="H1296" s="1">
        <f t="shared" si="123"/>
        <v>45103</v>
      </c>
      <c r="I1296" s="1">
        <f t="shared" si="124"/>
        <v>45078</v>
      </c>
      <c r="J1296">
        <v>200618.05</v>
      </c>
      <c r="K1296">
        <v>10620</v>
      </c>
      <c r="L1296">
        <f t="shared" si="120"/>
        <v>18.890588512241052</v>
      </c>
      <c r="M1296">
        <v>885</v>
      </c>
      <c r="N1296" s="2">
        <f t="shared" si="125"/>
        <v>226.68706214689263</v>
      </c>
      <c r="O1296">
        <v>12</v>
      </c>
    </row>
    <row r="1297" spans="1:15" x14ac:dyDescent="0.25">
      <c r="A1297" t="s">
        <v>46</v>
      </c>
      <c r="B1297" t="s">
        <v>14</v>
      </c>
      <c r="C1297" t="s">
        <v>7</v>
      </c>
      <c r="D1297" t="str">
        <f t="shared" si="121"/>
        <v>FAB1_Leche Clasica Semi 1 L</v>
      </c>
      <c r="E1297">
        <v>2023</v>
      </c>
      <c r="F1297">
        <v>27</v>
      </c>
      <c r="G1297">
        <f t="shared" si="122"/>
        <v>7</v>
      </c>
      <c r="H1297" s="1">
        <f t="shared" si="123"/>
        <v>45110</v>
      </c>
      <c r="I1297" s="1">
        <f t="shared" si="124"/>
        <v>45108</v>
      </c>
      <c r="J1297">
        <v>273134.2099999999</v>
      </c>
      <c r="K1297">
        <v>14340</v>
      </c>
      <c r="L1297">
        <f t="shared" si="120"/>
        <v>19.047016039051599</v>
      </c>
      <c r="M1297">
        <v>1195</v>
      </c>
      <c r="N1297" s="2">
        <f t="shared" si="125"/>
        <v>228.56419246861915</v>
      </c>
      <c r="O1297">
        <v>12</v>
      </c>
    </row>
    <row r="1298" spans="1:15" x14ac:dyDescent="0.25">
      <c r="A1298" t="s">
        <v>46</v>
      </c>
      <c r="B1298" t="s">
        <v>14</v>
      </c>
      <c r="C1298" t="s">
        <v>7</v>
      </c>
      <c r="D1298" t="str">
        <f t="shared" si="121"/>
        <v>FAB1_Leche Clasica Semi 1 L</v>
      </c>
      <c r="E1298">
        <v>2023</v>
      </c>
      <c r="F1298">
        <v>28</v>
      </c>
      <c r="G1298">
        <f t="shared" si="122"/>
        <v>7</v>
      </c>
      <c r="H1298" s="1">
        <f t="shared" si="123"/>
        <v>45117</v>
      </c>
      <c r="I1298" s="1">
        <f t="shared" si="124"/>
        <v>45108</v>
      </c>
      <c r="J1298">
        <v>236899.96000000002</v>
      </c>
      <c r="K1298">
        <v>12312</v>
      </c>
      <c r="L1298">
        <f t="shared" si="120"/>
        <v>19.24138726445744</v>
      </c>
      <c r="M1298">
        <v>1026</v>
      </c>
      <c r="N1298" s="2">
        <f t="shared" si="125"/>
        <v>230.8966471734893</v>
      </c>
      <c r="O1298">
        <v>12</v>
      </c>
    </row>
    <row r="1299" spans="1:15" x14ac:dyDescent="0.25">
      <c r="A1299" t="s">
        <v>46</v>
      </c>
      <c r="B1299" t="s">
        <v>14</v>
      </c>
      <c r="C1299" t="s">
        <v>7</v>
      </c>
      <c r="D1299" t="str">
        <f t="shared" si="121"/>
        <v>FAB1_Leche Clasica Semi 1 L</v>
      </c>
      <c r="E1299">
        <v>2023</v>
      </c>
      <c r="F1299">
        <v>29</v>
      </c>
      <c r="G1299">
        <f t="shared" si="122"/>
        <v>7</v>
      </c>
      <c r="H1299" s="1">
        <f t="shared" si="123"/>
        <v>45124</v>
      </c>
      <c r="I1299" s="1">
        <f t="shared" si="124"/>
        <v>45108</v>
      </c>
      <c r="J1299">
        <v>258875.06000000003</v>
      </c>
      <c r="K1299">
        <v>13824</v>
      </c>
      <c r="L1299">
        <f t="shared" si="120"/>
        <v>18.726494502314818</v>
      </c>
      <c r="M1299">
        <v>1152</v>
      </c>
      <c r="N1299" s="2">
        <f t="shared" si="125"/>
        <v>224.7179340277778</v>
      </c>
      <c r="O1299">
        <v>12</v>
      </c>
    </row>
    <row r="1300" spans="1:15" x14ac:dyDescent="0.25">
      <c r="A1300" t="s">
        <v>46</v>
      </c>
      <c r="B1300" t="s">
        <v>14</v>
      </c>
      <c r="C1300" t="s">
        <v>7</v>
      </c>
      <c r="D1300" t="str">
        <f t="shared" si="121"/>
        <v>FAB1_Leche Clasica Semi 1 L</v>
      </c>
      <c r="E1300">
        <v>2023</v>
      </c>
      <c r="F1300">
        <v>30</v>
      </c>
      <c r="G1300">
        <f t="shared" si="122"/>
        <v>7</v>
      </c>
      <c r="H1300" s="1">
        <f t="shared" si="123"/>
        <v>45131</v>
      </c>
      <c r="I1300" s="1">
        <f t="shared" si="124"/>
        <v>45108</v>
      </c>
      <c r="J1300">
        <v>252548.72999999998</v>
      </c>
      <c r="K1300">
        <v>13572</v>
      </c>
      <c r="L1300">
        <f t="shared" si="120"/>
        <v>18.608070291777185</v>
      </c>
      <c r="M1300">
        <v>1131</v>
      </c>
      <c r="N1300" s="2">
        <f t="shared" si="125"/>
        <v>223.29684350132624</v>
      </c>
      <c r="O1300">
        <v>12</v>
      </c>
    </row>
    <row r="1301" spans="1:15" x14ac:dyDescent="0.25">
      <c r="A1301" t="s">
        <v>46</v>
      </c>
      <c r="B1301" t="s">
        <v>14</v>
      </c>
      <c r="C1301" t="s">
        <v>7</v>
      </c>
      <c r="D1301" t="str">
        <f t="shared" si="121"/>
        <v>FAB1_Leche Clasica Semi 1 L</v>
      </c>
      <c r="E1301">
        <v>2023</v>
      </c>
      <c r="F1301">
        <v>31</v>
      </c>
      <c r="G1301">
        <f t="shared" si="122"/>
        <v>8</v>
      </c>
      <c r="H1301" s="1">
        <f t="shared" si="123"/>
        <v>45138</v>
      </c>
      <c r="I1301" s="1">
        <f t="shared" si="124"/>
        <v>45139</v>
      </c>
      <c r="J1301">
        <v>281363.08999999991</v>
      </c>
      <c r="K1301">
        <v>14508</v>
      </c>
      <c r="L1301">
        <f t="shared" si="120"/>
        <v>19.393651089054309</v>
      </c>
      <c r="M1301">
        <v>1209</v>
      </c>
      <c r="N1301" s="2">
        <f t="shared" si="125"/>
        <v>232.72381306865171</v>
      </c>
      <c r="O1301">
        <v>12</v>
      </c>
    </row>
    <row r="1302" spans="1:15" x14ac:dyDescent="0.25">
      <c r="A1302" t="s">
        <v>46</v>
      </c>
      <c r="B1302" t="s">
        <v>14</v>
      </c>
      <c r="C1302" t="s">
        <v>7</v>
      </c>
      <c r="D1302" t="str">
        <f t="shared" si="121"/>
        <v>FAB1_Leche Clasica Semi 1 L</v>
      </c>
      <c r="E1302">
        <v>2023</v>
      </c>
      <c r="F1302">
        <v>32</v>
      </c>
      <c r="G1302">
        <f t="shared" si="122"/>
        <v>8</v>
      </c>
      <c r="H1302" s="1">
        <f t="shared" si="123"/>
        <v>45145</v>
      </c>
      <c r="I1302" s="1">
        <f t="shared" si="124"/>
        <v>45139</v>
      </c>
      <c r="J1302">
        <v>229081</v>
      </c>
      <c r="K1302">
        <v>11136</v>
      </c>
      <c r="L1302">
        <f t="shared" si="120"/>
        <v>20.571210488505749</v>
      </c>
      <c r="M1302">
        <v>928</v>
      </c>
      <c r="N1302" s="2">
        <f t="shared" si="125"/>
        <v>246.85452586206895</v>
      </c>
      <c r="O1302">
        <v>12</v>
      </c>
    </row>
    <row r="1303" spans="1:15" x14ac:dyDescent="0.25">
      <c r="A1303" t="s">
        <v>46</v>
      </c>
      <c r="B1303" t="s">
        <v>14</v>
      </c>
      <c r="C1303" t="s">
        <v>7</v>
      </c>
      <c r="D1303" t="str">
        <f t="shared" si="121"/>
        <v>FAB1_Leche Clasica Semi 1 L</v>
      </c>
      <c r="E1303">
        <v>2023</v>
      </c>
      <c r="F1303">
        <v>33</v>
      </c>
      <c r="G1303">
        <f t="shared" si="122"/>
        <v>8</v>
      </c>
      <c r="H1303" s="1">
        <f t="shared" si="123"/>
        <v>45152</v>
      </c>
      <c r="I1303" s="1">
        <f t="shared" si="124"/>
        <v>45139</v>
      </c>
      <c r="J1303">
        <v>180166.5</v>
      </c>
      <c r="K1303">
        <v>9024</v>
      </c>
      <c r="L1303">
        <f t="shared" si="120"/>
        <v>19.965259308510639</v>
      </c>
      <c r="M1303">
        <v>752</v>
      </c>
      <c r="N1303" s="2">
        <f t="shared" si="125"/>
        <v>239.58311170212767</v>
      </c>
      <c r="O1303">
        <v>12</v>
      </c>
    </row>
    <row r="1304" spans="1:15" x14ac:dyDescent="0.25">
      <c r="A1304" t="s">
        <v>46</v>
      </c>
      <c r="B1304" t="s">
        <v>14</v>
      </c>
      <c r="C1304" t="s">
        <v>7</v>
      </c>
      <c r="D1304" t="str">
        <f t="shared" si="121"/>
        <v>FAB1_Leche Clasica Semi 1 L</v>
      </c>
      <c r="E1304">
        <v>2023</v>
      </c>
      <c r="F1304">
        <v>34</v>
      </c>
      <c r="G1304">
        <f t="shared" si="122"/>
        <v>8</v>
      </c>
      <c r="H1304" s="1">
        <f t="shared" si="123"/>
        <v>45159</v>
      </c>
      <c r="I1304" s="1">
        <f t="shared" si="124"/>
        <v>45139</v>
      </c>
      <c r="J1304">
        <v>81417</v>
      </c>
      <c r="K1304">
        <v>4320</v>
      </c>
      <c r="L1304">
        <f t="shared" si="120"/>
        <v>18.846527777777776</v>
      </c>
      <c r="M1304">
        <v>360</v>
      </c>
      <c r="N1304" s="2">
        <f t="shared" si="125"/>
        <v>226.15833333333333</v>
      </c>
      <c r="O1304">
        <v>12</v>
      </c>
    </row>
    <row r="1305" spans="1:15" x14ac:dyDescent="0.25">
      <c r="A1305" t="s">
        <v>46</v>
      </c>
      <c r="B1305" t="s">
        <v>14</v>
      </c>
      <c r="C1305" t="s">
        <v>7</v>
      </c>
      <c r="D1305" t="str">
        <f t="shared" si="121"/>
        <v>FAB1_Leche Clasica Semi 1 L</v>
      </c>
      <c r="E1305">
        <v>2023</v>
      </c>
      <c r="F1305">
        <v>35</v>
      </c>
      <c r="G1305">
        <f t="shared" si="122"/>
        <v>8</v>
      </c>
      <c r="H1305" s="1">
        <f t="shared" si="123"/>
        <v>45166</v>
      </c>
      <c r="I1305" s="1">
        <f t="shared" si="124"/>
        <v>45139</v>
      </c>
      <c r="J1305">
        <v>24875</v>
      </c>
      <c r="K1305">
        <v>1500</v>
      </c>
      <c r="L1305">
        <f t="shared" si="120"/>
        <v>16.583333333333332</v>
      </c>
      <c r="M1305">
        <v>125</v>
      </c>
      <c r="N1305" s="2">
        <f t="shared" si="125"/>
        <v>199</v>
      </c>
      <c r="O1305">
        <v>12</v>
      </c>
    </row>
    <row r="1306" spans="1:15" x14ac:dyDescent="0.25">
      <c r="A1306" t="s">
        <v>46</v>
      </c>
      <c r="B1306" t="s">
        <v>14</v>
      </c>
      <c r="C1306" t="s">
        <v>7</v>
      </c>
      <c r="D1306" t="str">
        <f t="shared" si="121"/>
        <v>FAB1_Leche Clasica Semi 1 L</v>
      </c>
      <c r="E1306">
        <v>2023</v>
      </c>
      <c r="F1306">
        <v>36</v>
      </c>
      <c r="G1306">
        <f t="shared" si="122"/>
        <v>9</v>
      </c>
      <c r="H1306" s="1">
        <f t="shared" si="123"/>
        <v>45173</v>
      </c>
      <c r="I1306" s="1">
        <f t="shared" si="124"/>
        <v>45170</v>
      </c>
      <c r="J1306">
        <v>-3378.01</v>
      </c>
      <c r="K1306">
        <v>-156</v>
      </c>
      <c r="L1306">
        <f t="shared" si="120"/>
        <v>21.653910256410256</v>
      </c>
      <c r="M1306">
        <v>-13</v>
      </c>
      <c r="N1306" s="2">
        <f t="shared" si="125"/>
        <v>259.84692307692308</v>
      </c>
      <c r="O1306">
        <v>12</v>
      </c>
    </row>
    <row r="1307" spans="1:15" x14ac:dyDescent="0.25">
      <c r="A1307" t="s">
        <v>46</v>
      </c>
      <c r="B1307" t="s">
        <v>14</v>
      </c>
      <c r="C1307" t="s">
        <v>7</v>
      </c>
      <c r="D1307" t="str">
        <f t="shared" si="121"/>
        <v>FAB1_Leche Clasica Semi 1 L</v>
      </c>
      <c r="E1307">
        <v>2023</v>
      </c>
      <c r="F1307">
        <v>37</v>
      </c>
      <c r="G1307">
        <f t="shared" si="122"/>
        <v>9</v>
      </c>
      <c r="H1307" s="1">
        <f t="shared" si="123"/>
        <v>45180</v>
      </c>
      <c r="I1307" s="1">
        <f t="shared" si="124"/>
        <v>45170</v>
      </c>
      <c r="J1307">
        <v>100</v>
      </c>
      <c r="K1307">
        <v>12</v>
      </c>
      <c r="L1307">
        <f t="shared" si="120"/>
        <v>8.3333333333333339</v>
      </c>
      <c r="M1307">
        <v>1</v>
      </c>
      <c r="N1307" s="2">
        <f t="shared" si="125"/>
        <v>100</v>
      </c>
      <c r="O1307">
        <v>12</v>
      </c>
    </row>
    <row r="1308" spans="1:15" x14ac:dyDescent="0.25">
      <c r="A1308" t="s">
        <v>46</v>
      </c>
      <c r="B1308" t="s">
        <v>14</v>
      </c>
      <c r="C1308" t="s">
        <v>7</v>
      </c>
      <c r="D1308" t="str">
        <f t="shared" si="121"/>
        <v>FAB1_Leche Clasica Semi 1 L</v>
      </c>
      <c r="E1308">
        <v>2023</v>
      </c>
      <c r="F1308">
        <v>41</v>
      </c>
      <c r="G1308">
        <f t="shared" si="122"/>
        <v>10</v>
      </c>
      <c r="H1308" s="1">
        <f t="shared" si="123"/>
        <v>45208</v>
      </c>
      <c r="I1308" s="1">
        <f t="shared" si="124"/>
        <v>45200</v>
      </c>
      <c r="J1308">
        <v>252</v>
      </c>
      <c r="K1308">
        <v>12</v>
      </c>
      <c r="L1308">
        <f t="shared" si="120"/>
        <v>21</v>
      </c>
      <c r="M1308">
        <v>1</v>
      </c>
      <c r="N1308" s="2">
        <f t="shared" si="125"/>
        <v>252</v>
      </c>
      <c r="O1308">
        <v>12</v>
      </c>
    </row>
    <row r="1309" spans="1:15" x14ac:dyDescent="0.25">
      <c r="A1309" t="s">
        <v>46</v>
      </c>
      <c r="B1309" t="s">
        <v>14</v>
      </c>
      <c r="C1309" t="s">
        <v>7</v>
      </c>
      <c r="D1309" t="str">
        <f t="shared" si="121"/>
        <v>FAB1_Leche Clasica Semi 1 L</v>
      </c>
      <c r="E1309">
        <v>2023</v>
      </c>
      <c r="F1309">
        <v>47</v>
      </c>
      <c r="G1309">
        <f t="shared" si="122"/>
        <v>11</v>
      </c>
      <c r="H1309" s="1">
        <f t="shared" si="123"/>
        <v>45250</v>
      </c>
      <c r="I1309" s="1">
        <f t="shared" si="124"/>
        <v>45231</v>
      </c>
      <c r="J1309">
        <v>252</v>
      </c>
      <c r="K1309">
        <v>12</v>
      </c>
      <c r="L1309">
        <f t="shared" si="120"/>
        <v>21</v>
      </c>
      <c r="M1309">
        <v>1</v>
      </c>
      <c r="N1309" s="2">
        <f t="shared" si="125"/>
        <v>252</v>
      </c>
      <c r="O1309">
        <v>12</v>
      </c>
    </row>
    <row r="1310" spans="1:15" x14ac:dyDescent="0.25">
      <c r="A1310" t="s">
        <v>46</v>
      </c>
      <c r="B1310" t="s">
        <v>14</v>
      </c>
      <c r="C1310" t="s">
        <v>7</v>
      </c>
      <c r="D1310" t="str">
        <f t="shared" si="121"/>
        <v>FAB1_Leche Clasica Semi 1 L</v>
      </c>
      <c r="E1310">
        <v>2024</v>
      </c>
      <c r="F1310">
        <v>14</v>
      </c>
      <c r="G1310">
        <f t="shared" si="122"/>
        <v>4</v>
      </c>
      <c r="H1310" s="1">
        <f t="shared" si="123"/>
        <v>45383</v>
      </c>
      <c r="I1310" s="1">
        <f t="shared" si="124"/>
        <v>45383</v>
      </c>
      <c r="J1310">
        <v>266</v>
      </c>
      <c r="K1310">
        <v>12</v>
      </c>
      <c r="L1310">
        <f t="shared" si="120"/>
        <v>22.166666666666668</v>
      </c>
      <c r="M1310">
        <v>1</v>
      </c>
      <c r="N1310" s="2">
        <f t="shared" si="125"/>
        <v>266</v>
      </c>
      <c r="O1310">
        <v>12</v>
      </c>
    </row>
    <row r="1311" spans="1:15" x14ac:dyDescent="0.25">
      <c r="A1311" t="s">
        <v>46</v>
      </c>
      <c r="B1311" t="s">
        <v>14</v>
      </c>
      <c r="C1311" t="s">
        <v>7</v>
      </c>
      <c r="D1311" t="str">
        <f t="shared" si="121"/>
        <v>FAB1_Leche Clasica Semi 1 L</v>
      </c>
      <c r="E1311">
        <v>2024</v>
      </c>
      <c r="F1311">
        <v>16</v>
      </c>
      <c r="G1311">
        <f t="shared" si="122"/>
        <v>4</v>
      </c>
      <c r="H1311" s="1">
        <f t="shared" si="123"/>
        <v>45397</v>
      </c>
      <c r="I1311" s="1">
        <f t="shared" si="124"/>
        <v>45383</v>
      </c>
      <c r="J1311">
        <v>0</v>
      </c>
      <c r="K1311">
        <v>192</v>
      </c>
      <c r="M1311">
        <v>16</v>
      </c>
      <c r="O1311">
        <v>12</v>
      </c>
    </row>
    <row r="1312" spans="1:15" x14ac:dyDescent="0.25">
      <c r="A1312" t="s">
        <v>46</v>
      </c>
      <c r="B1312" t="s">
        <v>14</v>
      </c>
      <c r="C1312" t="s">
        <v>7</v>
      </c>
      <c r="D1312" t="str">
        <f t="shared" si="121"/>
        <v>FAB1_Leche Clasica Semi 1 L</v>
      </c>
      <c r="E1312">
        <v>2024</v>
      </c>
      <c r="F1312">
        <v>21</v>
      </c>
      <c r="G1312">
        <f t="shared" si="122"/>
        <v>5</v>
      </c>
      <c r="H1312" s="1">
        <f t="shared" si="123"/>
        <v>45432</v>
      </c>
      <c r="I1312" s="1">
        <f t="shared" si="124"/>
        <v>45413</v>
      </c>
      <c r="J1312">
        <v>494</v>
      </c>
      <c r="K1312">
        <v>24</v>
      </c>
      <c r="L1312">
        <f t="shared" ref="L1312:L1375" si="126">J1312/(M1312*O1312)</f>
        <v>20.583333333333332</v>
      </c>
      <c r="M1312">
        <v>2</v>
      </c>
      <c r="N1312" s="2">
        <f t="shared" si="125"/>
        <v>247</v>
      </c>
      <c r="O1312">
        <v>12</v>
      </c>
    </row>
    <row r="1313" spans="1:15" x14ac:dyDescent="0.25">
      <c r="A1313" t="s">
        <v>46</v>
      </c>
      <c r="B1313" t="s">
        <v>14</v>
      </c>
      <c r="C1313" t="s">
        <v>7</v>
      </c>
      <c r="D1313" t="str">
        <f t="shared" si="121"/>
        <v>FAB1_Leche Clasica Semi 1 L</v>
      </c>
      <c r="E1313">
        <v>2024</v>
      </c>
      <c r="F1313">
        <v>38</v>
      </c>
      <c r="G1313">
        <f t="shared" si="122"/>
        <v>9</v>
      </c>
      <c r="H1313" s="1">
        <f t="shared" si="123"/>
        <v>45551</v>
      </c>
      <c r="I1313" s="1">
        <f t="shared" si="124"/>
        <v>45536</v>
      </c>
      <c r="J1313">
        <v>275</v>
      </c>
      <c r="K1313">
        <v>12</v>
      </c>
      <c r="L1313">
        <f t="shared" si="126"/>
        <v>22.916666666666668</v>
      </c>
      <c r="M1313">
        <v>1</v>
      </c>
      <c r="N1313" s="2">
        <f t="shared" si="125"/>
        <v>275</v>
      </c>
      <c r="O1313">
        <v>12</v>
      </c>
    </row>
    <row r="1314" spans="1:15" x14ac:dyDescent="0.25">
      <c r="A1314" t="s">
        <v>46</v>
      </c>
      <c r="B1314" t="s">
        <v>14</v>
      </c>
      <c r="C1314" t="s">
        <v>7</v>
      </c>
      <c r="D1314" t="str">
        <f t="shared" si="121"/>
        <v>FAB1_Leche Clasica Semi 1 L</v>
      </c>
      <c r="E1314">
        <v>2024</v>
      </c>
      <c r="F1314">
        <v>39</v>
      </c>
      <c r="G1314">
        <f t="shared" si="122"/>
        <v>9</v>
      </c>
      <c r="H1314" s="1">
        <f t="shared" si="123"/>
        <v>45558</v>
      </c>
      <c r="I1314" s="1">
        <f t="shared" si="124"/>
        <v>45536</v>
      </c>
      <c r="J1314">
        <v>9075</v>
      </c>
      <c r="K1314">
        <v>396</v>
      </c>
      <c r="L1314">
        <f t="shared" si="126"/>
        <v>22.916666666666668</v>
      </c>
      <c r="M1314">
        <v>33</v>
      </c>
      <c r="N1314" s="2">
        <f t="shared" si="125"/>
        <v>275</v>
      </c>
      <c r="O1314">
        <v>12</v>
      </c>
    </row>
    <row r="1315" spans="1:15" x14ac:dyDescent="0.25">
      <c r="A1315" t="s">
        <v>46</v>
      </c>
      <c r="B1315" t="s">
        <v>14</v>
      </c>
      <c r="C1315" t="s">
        <v>7</v>
      </c>
      <c r="D1315" t="str">
        <f t="shared" si="121"/>
        <v>FAB1_Leche Clasica Semi 1 L</v>
      </c>
      <c r="E1315">
        <v>2024</v>
      </c>
      <c r="F1315">
        <v>40</v>
      </c>
      <c r="G1315">
        <f t="shared" si="122"/>
        <v>10</v>
      </c>
      <c r="H1315" s="1">
        <f t="shared" si="123"/>
        <v>45565</v>
      </c>
      <c r="I1315" s="1">
        <f t="shared" si="124"/>
        <v>45566</v>
      </c>
      <c r="J1315">
        <v>11550</v>
      </c>
      <c r="K1315">
        <v>504</v>
      </c>
      <c r="L1315">
        <f t="shared" si="126"/>
        <v>22.916666666666668</v>
      </c>
      <c r="M1315">
        <v>42</v>
      </c>
      <c r="N1315" s="2">
        <f t="shared" si="125"/>
        <v>275</v>
      </c>
      <c r="O1315">
        <v>12</v>
      </c>
    </row>
    <row r="1316" spans="1:15" x14ac:dyDescent="0.25">
      <c r="A1316" t="s">
        <v>46</v>
      </c>
      <c r="B1316" t="s">
        <v>14</v>
      </c>
      <c r="C1316" t="s">
        <v>7</v>
      </c>
      <c r="D1316" t="str">
        <f t="shared" si="121"/>
        <v>FAB1_Leche Clasica Semi 1 L</v>
      </c>
      <c r="E1316">
        <v>2024</v>
      </c>
      <c r="F1316">
        <v>41</v>
      </c>
      <c r="G1316">
        <f t="shared" si="122"/>
        <v>10</v>
      </c>
      <c r="H1316" s="1">
        <f t="shared" si="123"/>
        <v>45572</v>
      </c>
      <c r="I1316" s="1">
        <f t="shared" si="124"/>
        <v>45566</v>
      </c>
      <c r="J1316">
        <v>550</v>
      </c>
      <c r="K1316">
        <v>24</v>
      </c>
      <c r="L1316">
        <f t="shared" si="126"/>
        <v>22.916666666666668</v>
      </c>
      <c r="M1316">
        <v>2</v>
      </c>
      <c r="N1316" s="2">
        <f t="shared" si="125"/>
        <v>275</v>
      </c>
      <c r="O1316">
        <v>12</v>
      </c>
    </row>
    <row r="1317" spans="1:15" x14ac:dyDescent="0.25">
      <c r="A1317" t="s">
        <v>46</v>
      </c>
      <c r="B1317" t="s">
        <v>15</v>
      </c>
      <c r="C1317" t="s">
        <v>30</v>
      </c>
      <c r="D1317" t="str">
        <f t="shared" si="121"/>
        <v>FAB2_  100  70+30</v>
      </c>
      <c r="E1317">
        <v>2022</v>
      </c>
      <c r="F1317">
        <v>1</v>
      </c>
      <c r="G1317">
        <f t="shared" si="122"/>
        <v>1</v>
      </c>
      <c r="H1317" s="1">
        <f t="shared" si="123"/>
        <v>44564</v>
      </c>
      <c r="I1317" s="1">
        <f t="shared" si="124"/>
        <v>44562</v>
      </c>
      <c r="J1317">
        <v>271</v>
      </c>
      <c r="K1317">
        <v>12</v>
      </c>
      <c r="L1317">
        <f t="shared" si="126"/>
        <v>22.583333333333332</v>
      </c>
      <c r="M1317">
        <v>1</v>
      </c>
      <c r="N1317" s="2">
        <f t="shared" si="125"/>
        <v>271</v>
      </c>
      <c r="O1317">
        <v>12</v>
      </c>
    </row>
    <row r="1318" spans="1:15" x14ac:dyDescent="0.25">
      <c r="A1318" t="s">
        <v>46</v>
      </c>
      <c r="B1318" t="s">
        <v>15</v>
      </c>
      <c r="C1318" t="s">
        <v>31</v>
      </c>
      <c r="D1318" t="str">
        <f t="shared" si="121"/>
        <v>FAB2_12/1L  100 Proteina</v>
      </c>
      <c r="E1318">
        <v>2024</v>
      </c>
      <c r="F1318">
        <v>7</v>
      </c>
      <c r="G1318">
        <f t="shared" si="122"/>
        <v>2</v>
      </c>
      <c r="H1318" s="1">
        <f t="shared" si="123"/>
        <v>45334</v>
      </c>
      <c r="I1318" s="1">
        <f t="shared" si="124"/>
        <v>45323</v>
      </c>
      <c r="J1318">
        <v>9075</v>
      </c>
      <c r="K1318">
        <v>396</v>
      </c>
      <c r="L1318">
        <f t="shared" si="126"/>
        <v>22.916666666666668</v>
      </c>
      <c r="M1318">
        <v>33</v>
      </c>
      <c r="N1318" s="2">
        <f t="shared" si="125"/>
        <v>275</v>
      </c>
      <c r="O1318">
        <v>12</v>
      </c>
    </row>
    <row r="1319" spans="1:15" x14ac:dyDescent="0.25">
      <c r="A1319" t="s">
        <v>46</v>
      </c>
      <c r="B1319" t="s">
        <v>15</v>
      </c>
      <c r="C1319" t="s">
        <v>31</v>
      </c>
      <c r="D1319" t="str">
        <f t="shared" si="121"/>
        <v>FAB2_12/1L  100 Proteina</v>
      </c>
      <c r="E1319">
        <v>2024</v>
      </c>
      <c r="F1319">
        <v>8</v>
      </c>
      <c r="G1319">
        <f t="shared" si="122"/>
        <v>2</v>
      </c>
      <c r="H1319" s="1">
        <f t="shared" si="123"/>
        <v>45341</v>
      </c>
      <c r="I1319" s="1">
        <f t="shared" si="124"/>
        <v>45323</v>
      </c>
      <c r="J1319">
        <v>287659.95999999996</v>
      </c>
      <c r="K1319">
        <v>12552</v>
      </c>
      <c r="L1319">
        <f t="shared" si="126"/>
        <v>22.91746016571064</v>
      </c>
      <c r="M1319">
        <v>1046</v>
      </c>
      <c r="N1319" s="2">
        <f t="shared" si="125"/>
        <v>275.00952198852769</v>
      </c>
      <c r="O1319">
        <v>12</v>
      </c>
    </row>
    <row r="1320" spans="1:15" x14ac:dyDescent="0.25">
      <c r="A1320" t="s">
        <v>46</v>
      </c>
      <c r="B1320" t="s">
        <v>15</v>
      </c>
      <c r="C1320" t="s">
        <v>31</v>
      </c>
      <c r="D1320" t="str">
        <f t="shared" si="121"/>
        <v>FAB2_12/1L  100 Proteina</v>
      </c>
      <c r="E1320">
        <v>2024</v>
      </c>
      <c r="F1320">
        <v>9</v>
      </c>
      <c r="G1320">
        <f t="shared" si="122"/>
        <v>2</v>
      </c>
      <c r="H1320" s="1">
        <f t="shared" si="123"/>
        <v>45348</v>
      </c>
      <c r="I1320" s="1">
        <f t="shared" si="124"/>
        <v>45323</v>
      </c>
      <c r="J1320">
        <v>282175.28000000003</v>
      </c>
      <c r="K1320">
        <v>12312</v>
      </c>
      <c r="L1320">
        <f t="shared" si="126"/>
        <v>22.918719948018197</v>
      </c>
      <c r="M1320">
        <v>1026</v>
      </c>
      <c r="N1320" s="2">
        <f t="shared" si="125"/>
        <v>275.02463937621837</v>
      </c>
      <c r="O1320">
        <v>12</v>
      </c>
    </row>
    <row r="1321" spans="1:15" x14ac:dyDescent="0.25">
      <c r="A1321" t="s">
        <v>46</v>
      </c>
      <c r="B1321" t="s">
        <v>15</v>
      </c>
      <c r="C1321" t="s">
        <v>31</v>
      </c>
      <c r="D1321" t="str">
        <f t="shared" si="121"/>
        <v>FAB2_12/1L  100 Proteina</v>
      </c>
      <c r="E1321">
        <v>2024</v>
      </c>
      <c r="F1321">
        <v>10</v>
      </c>
      <c r="G1321">
        <f t="shared" si="122"/>
        <v>3</v>
      </c>
      <c r="H1321" s="1">
        <f t="shared" si="123"/>
        <v>45355</v>
      </c>
      <c r="I1321" s="1">
        <f t="shared" si="124"/>
        <v>45352</v>
      </c>
      <c r="J1321">
        <v>321512.92000000004</v>
      </c>
      <c r="K1321">
        <v>14028</v>
      </c>
      <c r="L1321">
        <f t="shared" si="126"/>
        <v>22.919369831765046</v>
      </c>
      <c r="M1321">
        <v>1169</v>
      </c>
      <c r="N1321" s="2">
        <f t="shared" si="125"/>
        <v>275.03243798118052</v>
      </c>
      <c r="O1321">
        <v>12</v>
      </c>
    </row>
    <row r="1322" spans="1:15" x14ac:dyDescent="0.25">
      <c r="A1322" t="s">
        <v>46</v>
      </c>
      <c r="B1322" t="s">
        <v>15</v>
      </c>
      <c r="C1322" t="s">
        <v>31</v>
      </c>
      <c r="D1322" t="str">
        <f t="shared" si="121"/>
        <v>FAB2_12/1L  100 Proteina</v>
      </c>
      <c r="E1322">
        <v>2024</v>
      </c>
      <c r="F1322">
        <v>11</v>
      </c>
      <c r="G1322">
        <f t="shared" si="122"/>
        <v>3</v>
      </c>
      <c r="H1322" s="1">
        <f t="shared" si="123"/>
        <v>45362</v>
      </c>
      <c r="I1322" s="1">
        <f t="shared" si="124"/>
        <v>45352</v>
      </c>
      <c r="J1322">
        <v>381369.92000000016</v>
      </c>
      <c r="K1322">
        <v>16644</v>
      </c>
      <c r="L1322">
        <f t="shared" si="126"/>
        <v>22.913357366017795</v>
      </c>
      <c r="M1322">
        <v>1387</v>
      </c>
      <c r="N1322" s="2">
        <f t="shared" si="125"/>
        <v>274.9602883922135</v>
      </c>
      <c r="O1322">
        <v>12</v>
      </c>
    </row>
    <row r="1323" spans="1:15" x14ac:dyDescent="0.25">
      <c r="A1323" t="s">
        <v>46</v>
      </c>
      <c r="B1323" t="s">
        <v>15</v>
      </c>
      <c r="C1323" t="s">
        <v>31</v>
      </c>
      <c r="D1323" t="str">
        <f t="shared" si="121"/>
        <v>FAB2_12/1L  100 Proteina</v>
      </c>
      <c r="E1323">
        <v>2024</v>
      </c>
      <c r="F1323">
        <v>12</v>
      </c>
      <c r="G1323">
        <f t="shared" si="122"/>
        <v>3</v>
      </c>
      <c r="H1323" s="1">
        <f t="shared" si="123"/>
        <v>45369</v>
      </c>
      <c r="I1323" s="1">
        <f t="shared" si="124"/>
        <v>45352</v>
      </c>
      <c r="J1323">
        <v>306457.44000000006</v>
      </c>
      <c r="K1323">
        <v>13368</v>
      </c>
      <c r="L1323">
        <f t="shared" si="126"/>
        <v>22.924703770197493</v>
      </c>
      <c r="M1323">
        <v>1114</v>
      </c>
      <c r="N1323" s="2">
        <f t="shared" si="125"/>
        <v>275.0964452423699</v>
      </c>
      <c r="O1323">
        <v>12</v>
      </c>
    </row>
    <row r="1324" spans="1:15" x14ac:dyDescent="0.25">
      <c r="A1324" t="s">
        <v>46</v>
      </c>
      <c r="B1324" t="s">
        <v>15</v>
      </c>
      <c r="C1324" t="s">
        <v>31</v>
      </c>
      <c r="D1324" t="str">
        <f t="shared" si="121"/>
        <v>FAB2_12/1L  100 Proteina</v>
      </c>
      <c r="E1324">
        <v>2024</v>
      </c>
      <c r="F1324">
        <v>13</v>
      </c>
      <c r="G1324">
        <f t="shared" si="122"/>
        <v>3</v>
      </c>
      <c r="H1324" s="1">
        <f t="shared" si="123"/>
        <v>45376</v>
      </c>
      <c r="I1324" s="1">
        <f t="shared" si="124"/>
        <v>45352</v>
      </c>
      <c r="J1324">
        <v>337740.73000000004</v>
      </c>
      <c r="K1324">
        <v>14736</v>
      </c>
      <c r="L1324">
        <f t="shared" si="126"/>
        <v>22.919430646036918</v>
      </c>
      <c r="M1324">
        <v>1228</v>
      </c>
      <c r="N1324" s="2">
        <f t="shared" si="125"/>
        <v>275.03316775244303</v>
      </c>
      <c r="O1324">
        <v>12</v>
      </c>
    </row>
    <row r="1325" spans="1:15" x14ac:dyDescent="0.25">
      <c r="A1325" t="s">
        <v>46</v>
      </c>
      <c r="B1325" t="s">
        <v>15</v>
      </c>
      <c r="C1325" t="s">
        <v>31</v>
      </c>
      <c r="D1325" t="str">
        <f t="shared" si="121"/>
        <v>FAB2_12/1L  100 Proteina</v>
      </c>
      <c r="E1325">
        <v>2024</v>
      </c>
      <c r="F1325">
        <v>14</v>
      </c>
      <c r="G1325">
        <f t="shared" si="122"/>
        <v>4</v>
      </c>
      <c r="H1325" s="1">
        <f t="shared" si="123"/>
        <v>45383</v>
      </c>
      <c r="I1325" s="1">
        <f t="shared" si="124"/>
        <v>45383</v>
      </c>
      <c r="J1325">
        <v>386239.0400000001</v>
      </c>
      <c r="K1325">
        <v>16848</v>
      </c>
      <c r="L1325">
        <f t="shared" si="126"/>
        <v>22.924919278252617</v>
      </c>
      <c r="M1325">
        <v>1404</v>
      </c>
      <c r="N1325" s="2">
        <f t="shared" si="125"/>
        <v>275.0990313390314</v>
      </c>
      <c r="O1325">
        <v>12</v>
      </c>
    </row>
    <row r="1326" spans="1:15" x14ac:dyDescent="0.25">
      <c r="A1326" t="s">
        <v>46</v>
      </c>
      <c r="B1326" t="s">
        <v>15</v>
      </c>
      <c r="C1326" t="s">
        <v>31</v>
      </c>
      <c r="D1326" t="str">
        <f t="shared" si="121"/>
        <v>FAB2_12/1L  100 Proteina</v>
      </c>
      <c r="E1326">
        <v>2024</v>
      </c>
      <c r="F1326">
        <v>15</v>
      </c>
      <c r="G1326">
        <f t="shared" si="122"/>
        <v>4</v>
      </c>
      <c r="H1326" s="1">
        <f t="shared" si="123"/>
        <v>45390</v>
      </c>
      <c r="I1326" s="1">
        <f t="shared" si="124"/>
        <v>45383</v>
      </c>
      <c r="J1326">
        <v>312484.0400000001</v>
      </c>
      <c r="K1326">
        <v>13632</v>
      </c>
      <c r="L1326">
        <f t="shared" si="126"/>
        <v>22.922831572769962</v>
      </c>
      <c r="M1326">
        <v>1136</v>
      </c>
      <c r="N1326" s="2">
        <f t="shared" si="125"/>
        <v>275.07397887323953</v>
      </c>
      <c r="O1326">
        <v>12</v>
      </c>
    </row>
    <row r="1327" spans="1:15" x14ac:dyDescent="0.25">
      <c r="A1327" t="s">
        <v>46</v>
      </c>
      <c r="B1327" t="s">
        <v>15</v>
      </c>
      <c r="C1327" t="s">
        <v>31</v>
      </c>
      <c r="D1327" t="str">
        <f t="shared" si="121"/>
        <v>FAB2_12/1L  100 Proteina</v>
      </c>
      <c r="E1327">
        <v>2024</v>
      </c>
      <c r="F1327">
        <v>16</v>
      </c>
      <c r="G1327">
        <f t="shared" si="122"/>
        <v>4</v>
      </c>
      <c r="H1327" s="1">
        <f t="shared" si="123"/>
        <v>45397</v>
      </c>
      <c r="I1327" s="1">
        <f t="shared" si="124"/>
        <v>45383</v>
      </c>
      <c r="J1327">
        <v>562274.22</v>
      </c>
      <c r="K1327">
        <v>26124</v>
      </c>
      <c r="L1327">
        <f t="shared" si="126"/>
        <v>21.523282039503904</v>
      </c>
      <c r="M1327">
        <v>2177</v>
      </c>
      <c r="N1327" s="2">
        <f t="shared" si="125"/>
        <v>258.27938447404682</v>
      </c>
      <c r="O1327">
        <v>12</v>
      </c>
    </row>
    <row r="1328" spans="1:15" x14ac:dyDescent="0.25">
      <c r="A1328" t="s">
        <v>46</v>
      </c>
      <c r="B1328" t="s">
        <v>15</v>
      </c>
      <c r="C1328" t="s">
        <v>31</v>
      </c>
      <c r="D1328" t="str">
        <f t="shared" si="121"/>
        <v>FAB2_12/1L  100 Proteina</v>
      </c>
      <c r="E1328">
        <v>2024</v>
      </c>
      <c r="F1328">
        <v>17</v>
      </c>
      <c r="G1328">
        <f t="shared" si="122"/>
        <v>4</v>
      </c>
      <c r="H1328" s="1">
        <f t="shared" si="123"/>
        <v>45404</v>
      </c>
      <c r="I1328" s="1">
        <f t="shared" si="124"/>
        <v>45383</v>
      </c>
      <c r="J1328">
        <v>602918.11999999976</v>
      </c>
      <c r="K1328">
        <v>29184</v>
      </c>
      <c r="L1328">
        <f t="shared" si="126"/>
        <v>20.659200932017537</v>
      </c>
      <c r="M1328">
        <v>2432</v>
      </c>
      <c r="N1328" s="2">
        <f t="shared" si="125"/>
        <v>247.91041118421043</v>
      </c>
      <c r="O1328">
        <v>12</v>
      </c>
    </row>
    <row r="1329" spans="1:15" x14ac:dyDescent="0.25">
      <c r="A1329" t="s">
        <v>46</v>
      </c>
      <c r="B1329" t="s">
        <v>15</v>
      </c>
      <c r="C1329" t="s">
        <v>31</v>
      </c>
      <c r="D1329" t="str">
        <f t="shared" si="121"/>
        <v>FAB2_12/1L  100 Proteina</v>
      </c>
      <c r="E1329">
        <v>2024</v>
      </c>
      <c r="F1329">
        <v>18</v>
      </c>
      <c r="G1329">
        <f t="shared" si="122"/>
        <v>5</v>
      </c>
      <c r="H1329" s="1">
        <f t="shared" si="123"/>
        <v>45411</v>
      </c>
      <c r="I1329" s="1">
        <f t="shared" si="124"/>
        <v>45413</v>
      </c>
      <c r="J1329">
        <v>600816.81999999983</v>
      </c>
      <c r="K1329">
        <v>28176</v>
      </c>
      <c r="L1329">
        <f t="shared" si="126"/>
        <v>21.323708830210101</v>
      </c>
      <c r="M1329">
        <v>2348</v>
      </c>
      <c r="N1329" s="2">
        <f t="shared" si="125"/>
        <v>255.88450596252122</v>
      </c>
      <c r="O1329">
        <v>12</v>
      </c>
    </row>
    <row r="1330" spans="1:15" x14ac:dyDescent="0.25">
      <c r="A1330" t="s">
        <v>46</v>
      </c>
      <c r="B1330" t="s">
        <v>15</v>
      </c>
      <c r="C1330" t="s">
        <v>31</v>
      </c>
      <c r="D1330" t="str">
        <f t="shared" si="121"/>
        <v>FAB2_12/1L  100 Proteina</v>
      </c>
      <c r="E1330">
        <v>2024</v>
      </c>
      <c r="F1330">
        <v>19</v>
      </c>
      <c r="G1330">
        <f t="shared" si="122"/>
        <v>5</v>
      </c>
      <c r="H1330" s="1">
        <f t="shared" si="123"/>
        <v>45418</v>
      </c>
      <c r="I1330" s="1">
        <f t="shared" si="124"/>
        <v>45413</v>
      </c>
      <c r="J1330">
        <v>431499.79000000004</v>
      </c>
      <c r="K1330">
        <v>18816</v>
      </c>
      <c r="L1330">
        <f t="shared" si="126"/>
        <v>22.932599383503405</v>
      </c>
      <c r="M1330">
        <v>1568</v>
      </c>
      <c r="N1330" s="2">
        <f t="shared" si="125"/>
        <v>275.19119260204081</v>
      </c>
      <c r="O1330">
        <v>12</v>
      </c>
    </row>
    <row r="1331" spans="1:15" x14ac:dyDescent="0.25">
      <c r="A1331" t="s">
        <v>46</v>
      </c>
      <c r="B1331" t="s">
        <v>15</v>
      </c>
      <c r="C1331" t="s">
        <v>31</v>
      </c>
      <c r="D1331" t="str">
        <f t="shared" si="121"/>
        <v>FAB2_12/1L  100 Proteina</v>
      </c>
      <c r="E1331">
        <v>2024</v>
      </c>
      <c r="F1331">
        <v>20</v>
      </c>
      <c r="G1331">
        <f t="shared" si="122"/>
        <v>5</v>
      </c>
      <c r="H1331" s="1">
        <f t="shared" si="123"/>
        <v>45425</v>
      </c>
      <c r="I1331" s="1">
        <f t="shared" si="124"/>
        <v>45413</v>
      </c>
      <c r="J1331">
        <v>437220.03000000014</v>
      </c>
      <c r="K1331">
        <v>19152</v>
      </c>
      <c r="L1331">
        <f t="shared" si="126"/>
        <v>22.828948934837101</v>
      </c>
      <c r="M1331">
        <v>1596</v>
      </c>
      <c r="N1331" s="2">
        <f t="shared" si="125"/>
        <v>273.94738721804521</v>
      </c>
      <c r="O1331">
        <v>12</v>
      </c>
    </row>
    <row r="1332" spans="1:15" x14ac:dyDescent="0.25">
      <c r="A1332" t="s">
        <v>46</v>
      </c>
      <c r="B1332" t="s">
        <v>15</v>
      </c>
      <c r="C1332" t="s">
        <v>31</v>
      </c>
      <c r="D1332" t="str">
        <f t="shared" si="121"/>
        <v>FAB2_12/1L  100 Proteina</v>
      </c>
      <c r="E1332">
        <v>2024</v>
      </c>
      <c r="F1332">
        <v>21</v>
      </c>
      <c r="G1332">
        <f t="shared" si="122"/>
        <v>5</v>
      </c>
      <c r="H1332" s="1">
        <f t="shared" si="123"/>
        <v>45432</v>
      </c>
      <c r="I1332" s="1">
        <f t="shared" si="124"/>
        <v>45413</v>
      </c>
      <c r="J1332">
        <v>504325.58000000025</v>
      </c>
      <c r="K1332">
        <v>21996</v>
      </c>
      <c r="L1332">
        <f t="shared" si="126"/>
        <v>22.928058737952366</v>
      </c>
      <c r="M1332">
        <v>1833</v>
      </c>
      <c r="N1332" s="2">
        <f t="shared" si="125"/>
        <v>275.13670485542838</v>
      </c>
      <c r="O1332">
        <v>12</v>
      </c>
    </row>
    <row r="1333" spans="1:15" x14ac:dyDescent="0.25">
      <c r="A1333" t="s">
        <v>46</v>
      </c>
      <c r="B1333" t="s">
        <v>15</v>
      </c>
      <c r="C1333" t="s">
        <v>31</v>
      </c>
      <c r="D1333" t="str">
        <f t="shared" si="121"/>
        <v>FAB2_12/1L  100 Proteina</v>
      </c>
      <c r="E1333">
        <v>2024</v>
      </c>
      <c r="F1333">
        <v>22</v>
      </c>
      <c r="G1333">
        <f t="shared" si="122"/>
        <v>5</v>
      </c>
      <c r="H1333" s="1">
        <f t="shared" si="123"/>
        <v>45439</v>
      </c>
      <c r="I1333" s="1">
        <f t="shared" si="124"/>
        <v>45413</v>
      </c>
      <c r="J1333">
        <v>538953.08000000019</v>
      </c>
      <c r="K1333">
        <v>23508</v>
      </c>
      <c r="L1333">
        <f t="shared" si="126"/>
        <v>22.926368895695092</v>
      </c>
      <c r="M1333">
        <v>1959</v>
      </c>
      <c r="N1333" s="2">
        <f t="shared" si="125"/>
        <v>275.1164267483411</v>
      </c>
      <c r="O1333">
        <v>12</v>
      </c>
    </row>
    <row r="1334" spans="1:15" x14ac:dyDescent="0.25">
      <c r="A1334" t="s">
        <v>46</v>
      </c>
      <c r="B1334" t="s">
        <v>15</v>
      </c>
      <c r="C1334" t="s">
        <v>31</v>
      </c>
      <c r="D1334" t="str">
        <f t="shared" si="121"/>
        <v>FAB2_12/1L  100 Proteina</v>
      </c>
      <c r="E1334">
        <v>2024</v>
      </c>
      <c r="F1334">
        <v>23</v>
      </c>
      <c r="G1334">
        <f t="shared" si="122"/>
        <v>6</v>
      </c>
      <c r="H1334" s="1">
        <f t="shared" si="123"/>
        <v>45446</v>
      </c>
      <c r="I1334" s="1">
        <f t="shared" si="124"/>
        <v>45444</v>
      </c>
      <c r="J1334">
        <v>605770.24999999988</v>
      </c>
      <c r="K1334">
        <v>26424</v>
      </c>
      <c r="L1334">
        <f t="shared" si="126"/>
        <v>22.925001892219189</v>
      </c>
      <c r="M1334">
        <v>2202</v>
      </c>
      <c r="N1334" s="2">
        <f t="shared" si="125"/>
        <v>275.10002270663028</v>
      </c>
      <c r="O1334">
        <v>12</v>
      </c>
    </row>
    <row r="1335" spans="1:15" x14ac:dyDescent="0.25">
      <c r="A1335" t="s">
        <v>46</v>
      </c>
      <c r="B1335" t="s">
        <v>15</v>
      </c>
      <c r="C1335" t="s">
        <v>31</v>
      </c>
      <c r="D1335" t="str">
        <f t="shared" si="121"/>
        <v>FAB2_12/1L  100 Proteina</v>
      </c>
      <c r="E1335">
        <v>2024</v>
      </c>
      <c r="F1335">
        <v>24</v>
      </c>
      <c r="G1335">
        <f t="shared" si="122"/>
        <v>6</v>
      </c>
      <c r="H1335" s="1">
        <f t="shared" si="123"/>
        <v>45453</v>
      </c>
      <c r="I1335" s="1">
        <f t="shared" si="124"/>
        <v>45444</v>
      </c>
      <c r="J1335">
        <v>562839.84999999974</v>
      </c>
      <c r="K1335">
        <v>24804</v>
      </c>
      <c r="L1335">
        <f t="shared" si="126"/>
        <v>22.691495323334937</v>
      </c>
      <c r="M1335">
        <v>2067</v>
      </c>
      <c r="N1335" s="2">
        <f t="shared" si="125"/>
        <v>272.2979438800192</v>
      </c>
      <c r="O1335">
        <v>12</v>
      </c>
    </row>
    <row r="1336" spans="1:15" x14ac:dyDescent="0.25">
      <c r="A1336" t="s">
        <v>46</v>
      </c>
      <c r="B1336" t="s">
        <v>15</v>
      </c>
      <c r="C1336" t="s">
        <v>31</v>
      </c>
      <c r="D1336" t="str">
        <f t="shared" si="121"/>
        <v>FAB2_12/1L  100 Proteina</v>
      </c>
      <c r="E1336">
        <v>2024</v>
      </c>
      <c r="F1336">
        <v>25</v>
      </c>
      <c r="G1336">
        <f t="shared" si="122"/>
        <v>6</v>
      </c>
      <c r="H1336" s="1">
        <f t="shared" si="123"/>
        <v>45460</v>
      </c>
      <c r="I1336" s="1">
        <f t="shared" si="124"/>
        <v>45444</v>
      </c>
      <c r="J1336">
        <v>605676.49000000011</v>
      </c>
      <c r="K1336">
        <v>26412</v>
      </c>
      <c r="L1336">
        <f t="shared" si="126"/>
        <v>22.931867711646227</v>
      </c>
      <c r="M1336">
        <v>2201</v>
      </c>
      <c r="N1336" s="2">
        <f t="shared" si="125"/>
        <v>275.18241253975469</v>
      </c>
      <c r="O1336">
        <v>12</v>
      </c>
    </row>
    <row r="1337" spans="1:15" x14ac:dyDescent="0.25">
      <c r="A1337" t="s">
        <v>46</v>
      </c>
      <c r="B1337" t="s">
        <v>15</v>
      </c>
      <c r="C1337" t="s">
        <v>31</v>
      </c>
      <c r="D1337" t="str">
        <f t="shared" si="121"/>
        <v>FAB2_12/1L  100 Proteina</v>
      </c>
      <c r="E1337">
        <v>2024</v>
      </c>
      <c r="F1337">
        <v>26</v>
      </c>
      <c r="G1337">
        <f t="shared" si="122"/>
        <v>6</v>
      </c>
      <c r="H1337" s="1">
        <f t="shared" si="123"/>
        <v>45467</v>
      </c>
      <c r="I1337" s="1">
        <f t="shared" si="124"/>
        <v>45444</v>
      </c>
      <c r="J1337">
        <v>531787.04000000027</v>
      </c>
      <c r="K1337">
        <v>23196</v>
      </c>
      <c r="L1337">
        <f t="shared" si="126"/>
        <v>22.925807897913444</v>
      </c>
      <c r="M1337">
        <v>1933</v>
      </c>
      <c r="N1337" s="2">
        <f t="shared" si="125"/>
        <v>275.10969477496133</v>
      </c>
      <c r="O1337">
        <v>12</v>
      </c>
    </row>
    <row r="1338" spans="1:15" x14ac:dyDescent="0.25">
      <c r="A1338" t="s">
        <v>46</v>
      </c>
      <c r="B1338" t="s">
        <v>15</v>
      </c>
      <c r="C1338" t="s">
        <v>31</v>
      </c>
      <c r="D1338" t="str">
        <f t="shared" si="121"/>
        <v>FAB2_12/1L  100 Proteina</v>
      </c>
      <c r="E1338">
        <v>2024</v>
      </c>
      <c r="F1338">
        <v>27</v>
      </c>
      <c r="G1338">
        <f t="shared" si="122"/>
        <v>7</v>
      </c>
      <c r="H1338" s="1">
        <f t="shared" si="123"/>
        <v>45474</v>
      </c>
      <c r="I1338" s="1">
        <f t="shared" si="124"/>
        <v>45474</v>
      </c>
      <c r="J1338">
        <v>678131.69000000006</v>
      </c>
      <c r="K1338">
        <v>28428</v>
      </c>
      <c r="L1338">
        <f t="shared" si="126"/>
        <v>23.854358027297032</v>
      </c>
      <c r="M1338">
        <v>2369</v>
      </c>
      <c r="N1338" s="2">
        <f t="shared" si="125"/>
        <v>286.25229632756441</v>
      </c>
      <c r="O1338">
        <v>12</v>
      </c>
    </row>
    <row r="1339" spans="1:15" x14ac:dyDescent="0.25">
      <c r="A1339" t="s">
        <v>46</v>
      </c>
      <c r="B1339" t="s">
        <v>15</v>
      </c>
      <c r="C1339" t="s">
        <v>31</v>
      </c>
      <c r="D1339" t="str">
        <f t="shared" si="121"/>
        <v>FAB2_12/1L  100 Proteina</v>
      </c>
      <c r="E1339">
        <v>2024</v>
      </c>
      <c r="F1339">
        <v>28</v>
      </c>
      <c r="G1339">
        <f t="shared" si="122"/>
        <v>7</v>
      </c>
      <c r="H1339" s="1">
        <f t="shared" si="123"/>
        <v>45481</v>
      </c>
      <c r="I1339" s="1">
        <f t="shared" si="124"/>
        <v>45474</v>
      </c>
      <c r="J1339">
        <v>488983.64000000025</v>
      </c>
      <c r="K1339">
        <v>19344</v>
      </c>
      <c r="L1339">
        <f t="shared" si="126"/>
        <v>25.278310587262212</v>
      </c>
      <c r="M1339">
        <v>1612</v>
      </c>
      <c r="N1339" s="2">
        <f t="shared" si="125"/>
        <v>303.33972704714654</v>
      </c>
      <c r="O1339">
        <v>12</v>
      </c>
    </row>
    <row r="1340" spans="1:15" x14ac:dyDescent="0.25">
      <c r="A1340" t="s">
        <v>46</v>
      </c>
      <c r="B1340" t="s">
        <v>15</v>
      </c>
      <c r="C1340" t="s">
        <v>31</v>
      </c>
      <c r="D1340" t="str">
        <f t="shared" si="121"/>
        <v>FAB2_12/1L  100 Proteina</v>
      </c>
      <c r="E1340">
        <v>2024</v>
      </c>
      <c r="F1340">
        <v>29</v>
      </c>
      <c r="G1340">
        <f t="shared" si="122"/>
        <v>7</v>
      </c>
      <c r="H1340" s="1">
        <f t="shared" si="123"/>
        <v>45488</v>
      </c>
      <c r="I1340" s="1">
        <f t="shared" si="124"/>
        <v>45474</v>
      </c>
      <c r="J1340">
        <v>549290.30000000028</v>
      </c>
      <c r="K1340">
        <v>21612</v>
      </c>
      <c r="L1340">
        <f t="shared" si="126"/>
        <v>25.415986488987613</v>
      </c>
      <c r="M1340">
        <v>1801</v>
      </c>
      <c r="N1340" s="2">
        <f t="shared" si="125"/>
        <v>304.99183786785136</v>
      </c>
      <c r="O1340">
        <v>12</v>
      </c>
    </row>
    <row r="1341" spans="1:15" x14ac:dyDescent="0.25">
      <c r="A1341" t="s">
        <v>46</v>
      </c>
      <c r="B1341" t="s">
        <v>15</v>
      </c>
      <c r="C1341" t="s">
        <v>31</v>
      </c>
      <c r="D1341" t="str">
        <f t="shared" si="121"/>
        <v>FAB2_12/1L  100 Proteina</v>
      </c>
      <c r="E1341">
        <v>2024</v>
      </c>
      <c r="F1341">
        <v>30</v>
      </c>
      <c r="G1341">
        <f t="shared" si="122"/>
        <v>7</v>
      </c>
      <c r="H1341" s="1">
        <f t="shared" si="123"/>
        <v>45495</v>
      </c>
      <c r="I1341" s="1">
        <f t="shared" si="124"/>
        <v>45474</v>
      </c>
      <c r="J1341">
        <v>487940.3400000002</v>
      </c>
      <c r="K1341">
        <v>19200</v>
      </c>
      <c r="L1341">
        <f t="shared" si="126"/>
        <v>25.413559375000009</v>
      </c>
      <c r="M1341">
        <v>1600</v>
      </c>
      <c r="N1341" s="2">
        <f t="shared" si="125"/>
        <v>304.96271250000012</v>
      </c>
      <c r="O1341">
        <v>12</v>
      </c>
    </row>
    <row r="1342" spans="1:15" x14ac:dyDescent="0.25">
      <c r="A1342" t="s">
        <v>46</v>
      </c>
      <c r="B1342" t="s">
        <v>15</v>
      </c>
      <c r="C1342" t="s">
        <v>31</v>
      </c>
      <c r="D1342" t="str">
        <f t="shared" si="121"/>
        <v>FAB2_12/1L  100 Proteina</v>
      </c>
      <c r="E1342">
        <v>2024</v>
      </c>
      <c r="F1342">
        <v>31</v>
      </c>
      <c r="G1342">
        <f t="shared" si="122"/>
        <v>8</v>
      </c>
      <c r="H1342" s="1">
        <f t="shared" si="123"/>
        <v>45502</v>
      </c>
      <c r="I1342" s="1">
        <f t="shared" si="124"/>
        <v>45505</v>
      </c>
      <c r="J1342">
        <v>629157.91000000015</v>
      </c>
      <c r="K1342">
        <v>25284</v>
      </c>
      <c r="L1342">
        <f t="shared" si="126"/>
        <v>24.883638269261198</v>
      </c>
      <c r="M1342">
        <v>2107</v>
      </c>
      <c r="N1342" s="2">
        <f t="shared" si="125"/>
        <v>298.60365923113437</v>
      </c>
      <c r="O1342">
        <v>12</v>
      </c>
    </row>
    <row r="1343" spans="1:15" x14ac:dyDescent="0.25">
      <c r="A1343" t="s">
        <v>46</v>
      </c>
      <c r="B1343" t="s">
        <v>15</v>
      </c>
      <c r="C1343" t="s">
        <v>31</v>
      </c>
      <c r="D1343" t="str">
        <f t="shared" si="121"/>
        <v>FAB2_12/1L  100 Proteina</v>
      </c>
      <c r="E1343">
        <v>2024</v>
      </c>
      <c r="F1343">
        <v>32</v>
      </c>
      <c r="G1343">
        <f t="shared" si="122"/>
        <v>8</v>
      </c>
      <c r="H1343" s="1">
        <f t="shared" si="123"/>
        <v>45509</v>
      </c>
      <c r="I1343" s="1">
        <f t="shared" si="124"/>
        <v>45505</v>
      </c>
      <c r="J1343">
        <v>543371.42000000016</v>
      </c>
      <c r="K1343">
        <v>21396</v>
      </c>
      <c r="L1343">
        <f t="shared" si="126"/>
        <v>25.395934754159665</v>
      </c>
      <c r="M1343">
        <v>1783</v>
      </c>
      <c r="N1343" s="2">
        <f t="shared" si="125"/>
        <v>304.75121704991597</v>
      </c>
      <c r="O1343">
        <v>12</v>
      </c>
    </row>
    <row r="1344" spans="1:15" x14ac:dyDescent="0.25">
      <c r="A1344" t="s">
        <v>46</v>
      </c>
      <c r="B1344" t="s">
        <v>15</v>
      </c>
      <c r="C1344" t="s">
        <v>31</v>
      </c>
      <c r="D1344" t="str">
        <f t="shared" si="121"/>
        <v>FAB2_12/1L  100 Proteina</v>
      </c>
      <c r="E1344">
        <v>2024</v>
      </c>
      <c r="F1344">
        <v>33</v>
      </c>
      <c r="G1344">
        <f t="shared" si="122"/>
        <v>8</v>
      </c>
      <c r="H1344" s="1">
        <f t="shared" si="123"/>
        <v>45516</v>
      </c>
      <c r="I1344" s="1">
        <f t="shared" si="124"/>
        <v>45505</v>
      </c>
      <c r="J1344">
        <v>611583.06000000029</v>
      </c>
      <c r="K1344">
        <v>24576</v>
      </c>
      <c r="L1344">
        <f t="shared" si="126"/>
        <v>24.885378417968763</v>
      </c>
      <c r="M1344">
        <v>2048</v>
      </c>
      <c r="N1344" s="2">
        <f t="shared" si="125"/>
        <v>298.62454101562514</v>
      </c>
      <c r="O1344">
        <v>12</v>
      </c>
    </row>
    <row r="1345" spans="1:15" x14ac:dyDescent="0.25">
      <c r="A1345" t="s">
        <v>46</v>
      </c>
      <c r="B1345" t="s">
        <v>15</v>
      </c>
      <c r="C1345" t="s">
        <v>31</v>
      </c>
      <c r="D1345" t="str">
        <f t="shared" si="121"/>
        <v>FAB2_12/1L  100 Proteina</v>
      </c>
      <c r="E1345">
        <v>2024</v>
      </c>
      <c r="F1345">
        <v>34</v>
      </c>
      <c r="G1345">
        <f t="shared" si="122"/>
        <v>8</v>
      </c>
      <c r="H1345" s="1">
        <f t="shared" si="123"/>
        <v>45523</v>
      </c>
      <c r="I1345" s="1">
        <f t="shared" si="124"/>
        <v>45505</v>
      </c>
      <c r="J1345">
        <v>590382.40000000026</v>
      </c>
      <c r="K1345">
        <v>23748</v>
      </c>
      <c r="L1345">
        <f t="shared" si="126"/>
        <v>24.860299814721252</v>
      </c>
      <c r="M1345">
        <v>1979</v>
      </c>
      <c r="N1345" s="2">
        <f t="shared" si="125"/>
        <v>298.32359777665499</v>
      </c>
      <c r="O1345">
        <v>12</v>
      </c>
    </row>
    <row r="1346" spans="1:15" x14ac:dyDescent="0.25">
      <c r="A1346" t="s">
        <v>46</v>
      </c>
      <c r="B1346" t="s">
        <v>15</v>
      </c>
      <c r="C1346" t="s">
        <v>31</v>
      </c>
      <c r="D1346" t="str">
        <f t="shared" si="121"/>
        <v>FAB2_12/1L  100 Proteina</v>
      </c>
      <c r="E1346">
        <v>2024</v>
      </c>
      <c r="F1346">
        <v>35</v>
      </c>
      <c r="G1346">
        <f t="shared" si="122"/>
        <v>8</v>
      </c>
      <c r="H1346" s="1">
        <f t="shared" si="123"/>
        <v>45530</v>
      </c>
      <c r="I1346" s="1">
        <f t="shared" si="124"/>
        <v>45505</v>
      </c>
      <c r="J1346">
        <v>494401.58000000013</v>
      </c>
      <c r="K1346">
        <v>19440</v>
      </c>
      <c r="L1346">
        <f t="shared" si="126"/>
        <v>25.432180041152272</v>
      </c>
      <c r="M1346">
        <v>1620</v>
      </c>
      <c r="N1346" s="2">
        <f t="shared" si="125"/>
        <v>305.18616049382723</v>
      </c>
      <c r="O1346">
        <v>12</v>
      </c>
    </row>
    <row r="1347" spans="1:15" x14ac:dyDescent="0.25">
      <c r="A1347" t="s">
        <v>46</v>
      </c>
      <c r="B1347" t="s">
        <v>15</v>
      </c>
      <c r="C1347" t="s">
        <v>31</v>
      </c>
      <c r="D1347" t="str">
        <f t="shared" ref="D1347:D1410" si="127">B1347&amp;"_"&amp;C1347</f>
        <v>FAB2_12/1L  100 Proteina</v>
      </c>
      <c r="E1347">
        <v>2024</v>
      </c>
      <c r="F1347">
        <v>36</v>
      </c>
      <c r="G1347">
        <f t="shared" ref="G1347:G1410" si="128">MONTH(DATE(E1347,1,4)+(F1347-1)*7-WEEKDAY(DATE(E1347,1,4),2)+4)</f>
        <v>9</v>
      </c>
      <c r="H1347" s="1">
        <f t="shared" ref="H1347:H1410" si="129">DATE(E1347,1,-2)-WEEKDAY(DATE(E1347,1,3))+F1347*7</f>
        <v>45537</v>
      </c>
      <c r="I1347" s="1">
        <f t="shared" ref="I1347:I1410" si="130">DATE(E1347,G1347,1)</f>
        <v>45536</v>
      </c>
      <c r="J1347">
        <v>633891.58000000031</v>
      </c>
      <c r="K1347">
        <v>24924</v>
      </c>
      <c r="L1347">
        <f t="shared" si="126"/>
        <v>25.432979457550967</v>
      </c>
      <c r="M1347">
        <v>2077</v>
      </c>
      <c r="N1347" s="2">
        <f t="shared" ref="N1347:N1410" si="131">J1347/M1347</f>
        <v>305.19575349061159</v>
      </c>
      <c r="O1347">
        <v>12</v>
      </c>
    </row>
    <row r="1348" spans="1:15" x14ac:dyDescent="0.25">
      <c r="A1348" t="s">
        <v>46</v>
      </c>
      <c r="B1348" t="s">
        <v>15</v>
      </c>
      <c r="C1348" t="s">
        <v>31</v>
      </c>
      <c r="D1348" t="str">
        <f t="shared" si="127"/>
        <v>FAB2_12/1L  100 Proteina</v>
      </c>
      <c r="E1348">
        <v>2024</v>
      </c>
      <c r="F1348">
        <v>37</v>
      </c>
      <c r="G1348">
        <f t="shared" si="128"/>
        <v>9</v>
      </c>
      <c r="H1348" s="1">
        <f t="shared" si="129"/>
        <v>45544</v>
      </c>
      <c r="I1348" s="1">
        <f t="shared" si="130"/>
        <v>45536</v>
      </c>
      <c r="J1348">
        <v>484820.35000000009</v>
      </c>
      <c r="K1348">
        <v>19260</v>
      </c>
      <c r="L1348">
        <f t="shared" si="126"/>
        <v>25.172396157840087</v>
      </c>
      <c r="M1348">
        <v>1605</v>
      </c>
      <c r="N1348" s="2">
        <f t="shared" si="131"/>
        <v>302.06875389408106</v>
      </c>
      <c r="O1348">
        <v>12</v>
      </c>
    </row>
    <row r="1349" spans="1:15" x14ac:dyDescent="0.25">
      <c r="A1349" t="s">
        <v>46</v>
      </c>
      <c r="B1349" t="s">
        <v>15</v>
      </c>
      <c r="C1349" t="s">
        <v>31</v>
      </c>
      <c r="D1349" t="str">
        <f t="shared" si="127"/>
        <v>FAB2_12/1L  100 Proteina</v>
      </c>
      <c r="E1349">
        <v>2024</v>
      </c>
      <c r="F1349">
        <v>38</v>
      </c>
      <c r="G1349">
        <f t="shared" si="128"/>
        <v>9</v>
      </c>
      <c r="H1349" s="1">
        <f t="shared" si="129"/>
        <v>45551</v>
      </c>
      <c r="I1349" s="1">
        <f t="shared" si="130"/>
        <v>45536</v>
      </c>
      <c r="J1349">
        <v>303583.24000000005</v>
      </c>
      <c r="K1349">
        <v>11940</v>
      </c>
      <c r="L1349">
        <f t="shared" si="126"/>
        <v>25.425731993299838</v>
      </c>
      <c r="M1349">
        <v>995</v>
      </c>
      <c r="N1349" s="2">
        <f t="shared" si="131"/>
        <v>305.10878391959801</v>
      </c>
      <c r="O1349">
        <v>12</v>
      </c>
    </row>
    <row r="1350" spans="1:15" x14ac:dyDescent="0.25">
      <c r="A1350" t="s">
        <v>46</v>
      </c>
      <c r="B1350" t="s">
        <v>15</v>
      </c>
      <c r="C1350" t="s">
        <v>31</v>
      </c>
      <c r="D1350" t="str">
        <f t="shared" si="127"/>
        <v>FAB2_12/1L  100 Proteina</v>
      </c>
      <c r="E1350">
        <v>2024</v>
      </c>
      <c r="F1350">
        <v>39</v>
      </c>
      <c r="G1350">
        <f t="shared" si="128"/>
        <v>9</v>
      </c>
      <c r="H1350" s="1">
        <f t="shared" si="129"/>
        <v>45558</v>
      </c>
      <c r="I1350" s="1">
        <f t="shared" si="130"/>
        <v>45536</v>
      </c>
      <c r="J1350">
        <v>178288.13999999998</v>
      </c>
      <c r="K1350">
        <v>7008</v>
      </c>
      <c r="L1350">
        <f t="shared" si="126"/>
        <v>25.44065924657534</v>
      </c>
      <c r="M1350">
        <v>584</v>
      </c>
      <c r="N1350" s="2">
        <f t="shared" si="131"/>
        <v>305.28791095890409</v>
      </c>
      <c r="O1350">
        <v>12</v>
      </c>
    </row>
    <row r="1351" spans="1:15" x14ac:dyDescent="0.25">
      <c r="A1351" t="s">
        <v>46</v>
      </c>
      <c r="B1351" t="s">
        <v>15</v>
      </c>
      <c r="C1351" t="s">
        <v>31</v>
      </c>
      <c r="D1351" t="str">
        <f t="shared" si="127"/>
        <v>FAB2_12/1L  100 Proteina</v>
      </c>
      <c r="E1351">
        <v>2024</v>
      </c>
      <c r="F1351">
        <v>40</v>
      </c>
      <c r="G1351">
        <f t="shared" si="128"/>
        <v>10</v>
      </c>
      <c r="H1351" s="1">
        <f t="shared" si="129"/>
        <v>45565</v>
      </c>
      <c r="I1351" s="1">
        <f t="shared" si="130"/>
        <v>45566</v>
      </c>
      <c r="J1351">
        <v>67745.05</v>
      </c>
      <c r="K1351">
        <v>2664</v>
      </c>
      <c r="L1351">
        <f t="shared" si="126"/>
        <v>25.429823573573575</v>
      </c>
      <c r="M1351">
        <v>222</v>
      </c>
      <c r="N1351" s="2">
        <f t="shared" si="131"/>
        <v>305.15788288288292</v>
      </c>
      <c r="O1351">
        <v>12</v>
      </c>
    </row>
    <row r="1352" spans="1:15" x14ac:dyDescent="0.25">
      <c r="A1352" t="s">
        <v>46</v>
      </c>
      <c r="B1352" t="s">
        <v>15</v>
      </c>
      <c r="C1352" t="s">
        <v>31</v>
      </c>
      <c r="D1352" t="str">
        <f t="shared" si="127"/>
        <v>FAB2_12/1L  100 Proteina</v>
      </c>
      <c r="E1352">
        <v>2024</v>
      </c>
      <c r="F1352">
        <v>41</v>
      </c>
      <c r="G1352">
        <f t="shared" si="128"/>
        <v>10</v>
      </c>
      <c r="H1352" s="1">
        <f t="shared" si="129"/>
        <v>45572</v>
      </c>
      <c r="I1352" s="1">
        <f t="shared" si="130"/>
        <v>45566</v>
      </c>
      <c r="J1352">
        <v>288874.07</v>
      </c>
      <c r="K1352">
        <v>11364</v>
      </c>
      <c r="L1352">
        <f t="shared" si="126"/>
        <v>25.420104716649067</v>
      </c>
      <c r="M1352">
        <v>947</v>
      </c>
      <c r="N1352" s="2">
        <f t="shared" si="131"/>
        <v>305.04125659978882</v>
      </c>
      <c r="O1352">
        <v>12</v>
      </c>
    </row>
    <row r="1353" spans="1:15" x14ac:dyDescent="0.25">
      <c r="A1353" t="s">
        <v>46</v>
      </c>
      <c r="B1353" t="s">
        <v>15</v>
      </c>
      <c r="C1353" t="s">
        <v>31</v>
      </c>
      <c r="D1353" t="str">
        <f t="shared" si="127"/>
        <v>FAB2_12/1L  100 Proteina</v>
      </c>
      <c r="E1353">
        <v>2024</v>
      </c>
      <c r="F1353">
        <v>42</v>
      </c>
      <c r="G1353">
        <f t="shared" si="128"/>
        <v>10</v>
      </c>
      <c r="H1353" s="1">
        <f t="shared" si="129"/>
        <v>45579</v>
      </c>
      <c r="I1353" s="1">
        <f t="shared" si="130"/>
        <v>45566</v>
      </c>
      <c r="J1353">
        <v>564210.49000000022</v>
      </c>
      <c r="K1353">
        <v>22404</v>
      </c>
      <c r="L1353">
        <f t="shared" si="126"/>
        <v>25.183471255133021</v>
      </c>
      <c r="M1353">
        <v>1867</v>
      </c>
      <c r="N1353" s="2">
        <f t="shared" si="131"/>
        <v>302.20165506159628</v>
      </c>
      <c r="O1353">
        <v>12</v>
      </c>
    </row>
    <row r="1354" spans="1:15" x14ac:dyDescent="0.25">
      <c r="A1354" t="s">
        <v>46</v>
      </c>
      <c r="B1354" t="s">
        <v>15</v>
      </c>
      <c r="C1354" t="s">
        <v>31</v>
      </c>
      <c r="D1354" t="str">
        <f t="shared" si="127"/>
        <v>FAB2_12/1L  100 Proteina</v>
      </c>
      <c r="E1354">
        <v>2024</v>
      </c>
      <c r="F1354">
        <v>43</v>
      </c>
      <c r="G1354">
        <f t="shared" si="128"/>
        <v>10</v>
      </c>
      <c r="H1354" s="1">
        <f t="shared" si="129"/>
        <v>45586</v>
      </c>
      <c r="I1354" s="1">
        <f t="shared" si="130"/>
        <v>45566</v>
      </c>
      <c r="J1354">
        <v>405185.22000000009</v>
      </c>
      <c r="K1354">
        <v>15972</v>
      </c>
      <c r="L1354">
        <f t="shared" si="126"/>
        <v>25.368471074380171</v>
      </c>
      <c r="M1354">
        <v>1331</v>
      </c>
      <c r="N1354" s="2">
        <f t="shared" si="131"/>
        <v>304.42165289256207</v>
      </c>
      <c r="O1354">
        <v>12</v>
      </c>
    </row>
    <row r="1355" spans="1:15" x14ac:dyDescent="0.25">
      <c r="A1355" t="s">
        <v>46</v>
      </c>
      <c r="B1355" t="s">
        <v>15</v>
      </c>
      <c r="C1355" t="s">
        <v>31</v>
      </c>
      <c r="D1355" t="str">
        <f t="shared" si="127"/>
        <v>FAB2_12/1L  100 Proteina</v>
      </c>
      <c r="E1355">
        <v>2024</v>
      </c>
      <c r="F1355">
        <v>44</v>
      </c>
      <c r="G1355">
        <f t="shared" si="128"/>
        <v>10</v>
      </c>
      <c r="H1355" s="1">
        <f t="shared" si="129"/>
        <v>45593</v>
      </c>
      <c r="I1355" s="1">
        <f t="shared" si="130"/>
        <v>45566</v>
      </c>
      <c r="J1355">
        <v>386852.16000000003</v>
      </c>
      <c r="K1355">
        <v>15216</v>
      </c>
      <c r="L1355">
        <f t="shared" si="126"/>
        <v>25.42403785488959</v>
      </c>
      <c r="M1355">
        <v>1268</v>
      </c>
      <c r="N1355" s="2">
        <f t="shared" si="131"/>
        <v>305.08845425867509</v>
      </c>
      <c r="O1355">
        <v>12</v>
      </c>
    </row>
    <row r="1356" spans="1:15" x14ac:dyDescent="0.25">
      <c r="A1356" t="s">
        <v>46</v>
      </c>
      <c r="B1356" t="s">
        <v>15</v>
      </c>
      <c r="C1356" t="s">
        <v>31</v>
      </c>
      <c r="D1356" t="str">
        <f t="shared" si="127"/>
        <v>FAB2_12/1L  100 Proteina</v>
      </c>
      <c r="E1356">
        <v>2024</v>
      </c>
      <c r="F1356">
        <v>45</v>
      </c>
      <c r="G1356">
        <f t="shared" si="128"/>
        <v>11</v>
      </c>
      <c r="H1356" s="1">
        <f t="shared" si="129"/>
        <v>45600</v>
      </c>
      <c r="I1356" s="1">
        <f t="shared" si="130"/>
        <v>45597</v>
      </c>
      <c r="J1356">
        <v>399725.25000000017</v>
      </c>
      <c r="K1356">
        <v>15720</v>
      </c>
      <c r="L1356">
        <f t="shared" si="126"/>
        <v>25.427814885496193</v>
      </c>
      <c r="M1356">
        <v>1310</v>
      </c>
      <c r="N1356" s="2">
        <f t="shared" si="131"/>
        <v>305.13377862595433</v>
      </c>
      <c r="O1356">
        <v>12</v>
      </c>
    </row>
    <row r="1357" spans="1:15" x14ac:dyDescent="0.25">
      <c r="A1357" t="s">
        <v>46</v>
      </c>
      <c r="B1357" t="s">
        <v>15</v>
      </c>
      <c r="C1357" t="s">
        <v>31</v>
      </c>
      <c r="D1357" t="str">
        <f t="shared" si="127"/>
        <v>FAB2_12/1L  100 Proteina</v>
      </c>
      <c r="E1357">
        <v>2024</v>
      </c>
      <c r="F1357">
        <v>46</v>
      </c>
      <c r="G1357">
        <f t="shared" si="128"/>
        <v>11</v>
      </c>
      <c r="H1357" s="1">
        <f t="shared" si="129"/>
        <v>45607</v>
      </c>
      <c r="I1357" s="1">
        <f t="shared" si="130"/>
        <v>45597</v>
      </c>
      <c r="J1357">
        <v>492797.41000000021</v>
      </c>
      <c r="K1357">
        <v>19500</v>
      </c>
      <c r="L1357">
        <f t="shared" si="126"/>
        <v>25.27166205128206</v>
      </c>
      <c r="M1357">
        <v>1625</v>
      </c>
      <c r="N1357" s="2">
        <f t="shared" si="131"/>
        <v>303.25994461538477</v>
      </c>
      <c r="O1357">
        <v>12</v>
      </c>
    </row>
    <row r="1358" spans="1:15" x14ac:dyDescent="0.25">
      <c r="A1358" t="s">
        <v>46</v>
      </c>
      <c r="B1358" t="s">
        <v>15</v>
      </c>
      <c r="C1358" t="s">
        <v>31</v>
      </c>
      <c r="D1358" t="str">
        <f t="shared" si="127"/>
        <v>FAB2_12/1L  100 Proteina</v>
      </c>
      <c r="E1358">
        <v>2024</v>
      </c>
      <c r="F1358">
        <v>47</v>
      </c>
      <c r="G1358">
        <f t="shared" si="128"/>
        <v>11</v>
      </c>
      <c r="H1358" s="1">
        <f t="shared" si="129"/>
        <v>45614</v>
      </c>
      <c r="I1358" s="1">
        <f t="shared" si="130"/>
        <v>45597</v>
      </c>
      <c r="J1358">
        <v>399676.18000000005</v>
      </c>
      <c r="K1358">
        <v>15720</v>
      </c>
      <c r="L1358">
        <f t="shared" si="126"/>
        <v>25.424693384223922</v>
      </c>
      <c r="M1358">
        <v>1310</v>
      </c>
      <c r="N1358" s="2">
        <f t="shared" si="131"/>
        <v>305.09632061068709</v>
      </c>
      <c r="O1358">
        <v>12</v>
      </c>
    </row>
    <row r="1359" spans="1:15" x14ac:dyDescent="0.25">
      <c r="A1359" t="s">
        <v>46</v>
      </c>
      <c r="B1359" t="s">
        <v>15</v>
      </c>
      <c r="C1359" t="s">
        <v>31</v>
      </c>
      <c r="D1359" t="str">
        <f t="shared" si="127"/>
        <v>FAB2_12/1L  100 Proteina</v>
      </c>
      <c r="E1359">
        <v>2024</v>
      </c>
      <c r="F1359">
        <v>48</v>
      </c>
      <c r="G1359">
        <f t="shared" si="128"/>
        <v>11</v>
      </c>
      <c r="H1359" s="1">
        <f t="shared" si="129"/>
        <v>45621</v>
      </c>
      <c r="I1359" s="1">
        <f t="shared" si="130"/>
        <v>45597</v>
      </c>
      <c r="J1359">
        <v>448966.23000000004</v>
      </c>
      <c r="K1359">
        <v>17664</v>
      </c>
      <c r="L1359">
        <f t="shared" si="126"/>
        <v>25.417019361413047</v>
      </c>
      <c r="M1359">
        <v>1472</v>
      </c>
      <c r="N1359" s="2">
        <f t="shared" si="131"/>
        <v>305.00423233695653</v>
      </c>
      <c r="O1359">
        <v>12</v>
      </c>
    </row>
    <row r="1360" spans="1:15" x14ac:dyDescent="0.25">
      <c r="A1360" t="s">
        <v>46</v>
      </c>
      <c r="B1360" t="s">
        <v>15</v>
      </c>
      <c r="C1360" t="s">
        <v>31</v>
      </c>
      <c r="D1360" t="str">
        <f t="shared" si="127"/>
        <v>FAB2_12/1L  100 Proteina</v>
      </c>
      <c r="E1360">
        <v>2024</v>
      </c>
      <c r="F1360">
        <v>49</v>
      </c>
      <c r="G1360">
        <f t="shared" si="128"/>
        <v>12</v>
      </c>
      <c r="H1360" s="1">
        <f t="shared" si="129"/>
        <v>45628</v>
      </c>
      <c r="I1360" s="1">
        <f t="shared" si="130"/>
        <v>45627</v>
      </c>
      <c r="J1360">
        <v>379784.54000000004</v>
      </c>
      <c r="K1360">
        <v>15000</v>
      </c>
      <c r="L1360">
        <f t="shared" si="126"/>
        <v>25.318969333333335</v>
      </c>
      <c r="M1360">
        <v>1250</v>
      </c>
      <c r="N1360" s="2">
        <f t="shared" si="131"/>
        <v>303.82763200000005</v>
      </c>
      <c r="O1360">
        <v>12</v>
      </c>
    </row>
    <row r="1361" spans="1:15" x14ac:dyDescent="0.25">
      <c r="A1361" t="s">
        <v>46</v>
      </c>
      <c r="B1361" t="s">
        <v>15</v>
      </c>
      <c r="C1361" t="s">
        <v>31</v>
      </c>
      <c r="D1361" t="str">
        <f t="shared" si="127"/>
        <v>FAB2_12/1L  100 Proteina</v>
      </c>
      <c r="E1361">
        <v>2024</v>
      </c>
      <c r="F1361">
        <v>50</v>
      </c>
      <c r="G1361">
        <f t="shared" si="128"/>
        <v>12</v>
      </c>
      <c r="H1361" s="1">
        <f t="shared" si="129"/>
        <v>45635</v>
      </c>
      <c r="I1361" s="1">
        <f t="shared" si="130"/>
        <v>45627</v>
      </c>
      <c r="J1361">
        <v>554224.00000000012</v>
      </c>
      <c r="K1361">
        <v>22584</v>
      </c>
      <c r="L1361">
        <f t="shared" si="126"/>
        <v>24.54055968827489</v>
      </c>
      <c r="M1361">
        <v>1882</v>
      </c>
      <c r="N1361" s="2">
        <f t="shared" si="131"/>
        <v>294.4867162592987</v>
      </c>
      <c r="O1361">
        <v>12</v>
      </c>
    </row>
    <row r="1362" spans="1:15" x14ac:dyDescent="0.25">
      <c r="A1362" t="s">
        <v>46</v>
      </c>
      <c r="B1362" t="s">
        <v>15</v>
      </c>
      <c r="C1362" t="s">
        <v>31</v>
      </c>
      <c r="D1362" t="str">
        <f t="shared" si="127"/>
        <v>FAB2_12/1L  100 Proteina</v>
      </c>
      <c r="E1362">
        <v>2024</v>
      </c>
      <c r="F1362">
        <v>51</v>
      </c>
      <c r="G1362">
        <f t="shared" si="128"/>
        <v>12</v>
      </c>
      <c r="H1362" s="1">
        <f t="shared" si="129"/>
        <v>45642</v>
      </c>
      <c r="I1362" s="1">
        <f t="shared" si="130"/>
        <v>45627</v>
      </c>
      <c r="J1362">
        <v>636381.9700000002</v>
      </c>
      <c r="K1362">
        <v>25908</v>
      </c>
      <c r="L1362">
        <f t="shared" si="126"/>
        <v>24.563145360506415</v>
      </c>
      <c r="M1362">
        <v>2159</v>
      </c>
      <c r="N1362" s="2">
        <f t="shared" si="131"/>
        <v>294.75774432607699</v>
      </c>
      <c r="O1362">
        <v>12</v>
      </c>
    </row>
    <row r="1363" spans="1:15" x14ac:dyDescent="0.25">
      <c r="A1363" t="s">
        <v>46</v>
      </c>
      <c r="B1363" t="s">
        <v>15</v>
      </c>
      <c r="C1363" t="s">
        <v>31</v>
      </c>
      <c r="D1363" t="str">
        <f t="shared" si="127"/>
        <v>FAB2_12/1L  100 Proteina</v>
      </c>
      <c r="E1363">
        <v>2024</v>
      </c>
      <c r="F1363">
        <v>52</v>
      </c>
      <c r="G1363">
        <f t="shared" si="128"/>
        <v>12</v>
      </c>
      <c r="H1363" s="1">
        <f t="shared" si="129"/>
        <v>45649</v>
      </c>
      <c r="I1363" s="1">
        <f t="shared" si="130"/>
        <v>45627</v>
      </c>
      <c r="J1363">
        <v>550942.90000000014</v>
      </c>
      <c r="K1363">
        <v>21852</v>
      </c>
      <c r="L1363">
        <f t="shared" si="126"/>
        <v>25.212470254438959</v>
      </c>
      <c r="M1363">
        <v>1821</v>
      </c>
      <c r="N1363" s="2">
        <f t="shared" si="131"/>
        <v>302.54964305326752</v>
      </c>
      <c r="O1363">
        <v>12</v>
      </c>
    </row>
    <row r="1364" spans="1:15" x14ac:dyDescent="0.25">
      <c r="A1364" t="s">
        <v>46</v>
      </c>
      <c r="B1364" t="s">
        <v>15</v>
      </c>
      <c r="C1364" t="s">
        <v>31</v>
      </c>
      <c r="D1364" t="str">
        <f t="shared" si="127"/>
        <v>FAB2_12/1L  100 Proteina</v>
      </c>
      <c r="E1364">
        <v>2025</v>
      </c>
      <c r="F1364">
        <v>1</v>
      </c>
      <c r="G1364">
        <f t="shared" si="128"/>
        <v>1</v>
      </c>
      <c r="H1364" s="1">
        <f t="shared" si="129"/>
        <v>45656</v>
      </c>
      <c r="I1364" s="1">
        <f t="shared" si="130"/>
        <v>45658</v>
      </c>
      <c r="J1364">
        <v>539199.26999999979</v>
      </c>
      <c r="K1364">
        <v>18744</v>
      </c>
      <c r="L1364">
        <f t="shared" si="126"/>
        <v>28.766499679897557</v>
      </c>
      <c r="M1364">
        <v>1562</v>
      </c>
      <c r="N1364" s="2">
        <f t="shared" si="131"/>
        <v>345.19799615877065</v>
      </c>
      <c r="O1364">
        <v>12</v>
      </c>
    </row>
    <row r="1365" spans="1:15" x14ac:dyDescent="0.25">
      <c r="A1365" t="s">
        <v>46</v>
      </c>
      <c r="B1365" t="s">
        <v>15</v>
      </c>
      <c r="C1365" t="s">
        <v>31</v>
      </c>
      <c r="D1365" t="str">
        <f t="shared" si="127"/>
        <v>FAB2_12/1L  100 Proteina</v>
      </c>
      <c r="E1365">
        <v>2025</v>
      </c>
      <c r="F1365">
        <v>2</v>
      </c>
      <c r="G1365">
        <f t="shared" si="128"/>
        <v>1</v>
      </c>
      <c r="H1365" s="1">
        <f t="shared" si="129"/>
        <v>45663</v>
      </c>
      <c r="I1365" s="1">
        <f t="shared" si="130"/>
        <v>45658</v>
      </c>
      <c r="J1365">
        <v>509200.12999999983</v>
      </c>
      <c r="K1365">
        <v>17700</v>
      </c>
      <c r="L1365">
        <f t="shared" si="126"/>
        <v>28.768368926553663</v>
      </c>
      <c r="M1365">
        <v>1475</v>
      </c>
      <c r="N1365" s="2">
        <f t="shared" si="131"/>
        <v>345.22042711864395</v>
      </c>
      <c r="O1365">
        <v>12</v>
      </c>
    </row>
    <row r="1366" spans="1:15" x14ac:dyDescent="0.25">
      <c r="A1366" t="s">
        <v>46</v>
      </c>
      <c r="B1366" t="s">
        <v>15</v>
      </c>
      <c r="C1366" t="s">
        <v>31</v>
      </c>
      <c r="D1366" t="str">
        <f t="shared" si="127"/>
        <v>FAB2_12/1L  100 Proteina</v>
      </c>
      <c r="E1366">
        <v>2025</v>
      </c>
      <c r="F1366">
        <v>3</v>
      </c>
      <c r="G1366">
        <f t="shared" si="128"/>
        <v>1</v>
      </c>
      <c r="H1366" s="1">
        <f t="shared" si="129"/>
        <v>45670</v>
      </c>
      <c r="I1366" s="1">
        <f t="shared" si="130"/>
        <v>45658</v>
      </c>
      <c r="J1366">
        <v>485901.36999999976</v>
      </c>
      <c r="K1366">
        <v>17076</v>
      </c>
      <c r="L1366">
        <f t="shared" si="126"/>
        <v>28.455221948934163</v>
      </c>
      <c r="M1366">
        <v>1423</v>
      </c>
      <c r="N1366" s="2">
        <f t="shared" si="131"/>
        <v>341.46266338720994</v>
      </c>
      <c r="O1366">
        <v>12</v>
      </c>
    </row>
    <row r="1367" spans="1:15" x14ac:dyDescent="0.25">
      <c r="A1367" t="s">
        <v>46</v>
      </c>
      <c r="B1367" t="s">
        <v>15</v>
      </c>
      <c r="C1367" t="s">
        <v>31</v>
      </c>
      <c r="D1367" t="str">
        <f t="shared" si="127"/>
        <v>FAB2_12/1L  100 Proteina</v>
      </c>
      <c r="E1367">
        <v>2025</v>
      </c>
      <c r="F1367">
        <v>4</v>
      </c>
      <c r="G1367">
        <f t="shared" si="128"/>
        <v>1</v>
      </c>
      <c r="H1367" s="1">
        <f t="shared" si="129"/>
        <v>45677</v>
      </c>
      <c r="I1367" s="1">
        <f t="shared" si="130"/>
        <v>45658</v>
      </c>
      <c r="J1367">
        <v>490191.33999999979</v>
      </c>
      <c r="K1367">
        <v>17040</v>
      </c>
      <c r="L1367">
        <f t="shared" si="126"/>
        <v>28.767097417840365</v>
      </c>
      <c r="M1367">
        <v>1420</v>
      </c>
      <c r="N1367" s="2">
        <f t="shared" si="131"/>
        <v>345.20516901408433</v>
      </c>
      <c r="O1367">
        <v>12</v>
      </c>
    </row>
    <row r="1368" spans="1:15" x14ac:dyDescent="0.25">
      <c r="A1368" t="s">
        <v>46</v>
      </c>
      <c r="B1368" t="s">
        <v>15</v>
      </c>
      <c r="C1368" t="s">
        <v>31</v>
      </c>
      <c r="D1368" t="str">
        <f t="shared" si="127"/>
        <v>FAB2_12/1L  100 Proteina</v>
      </c>
      <c r="E1368">
        <v>2025</v>
      </c>
      <c r="F1368">
        <v>5</v>
      </c>
      <c r="G1368">
        <f t="shared" si="128"/>
        <v>1</v>
      </c>
      <c r="H1368" s="1">
        <f t="shared" si="129"/>
        <v>45684</v>
      </c>
      <c r="I1368" s="1">
        <f t="shared" si="130"/>
        <v>45658</v>
      </c>
      <c r="J1368">
        <v>560486.17999999982</v>
      </c>
      <c r="K1368">
        <v>19488</v>
      </c>
      <c r="L1368">
        <f t="shared" si="126"/>
        <v>28.760579844006561</v>
      </c>
      <c r="M1368">
        <v>1624</v>
      </c>
      <c r="N1368" s="2">
        <f t="shared" si="131"/>
        <v>345.12695812807868</v>
      </c>
      <c r="O1368">
        <v>12</v>
      </c>
    </row>
    <row r="1369" spans="1:15" x14ac:dyDescent="0.25">
      <c r="A1369" t="s">
        <v>46</v>
      </c>
      <c r="B1369" t="s">
        <v>15</v>
      </c>
      <c r="C1369" t="s">
        <v>31</v>
      </c>
      <c r="D1369" t="str">
        <f t="shared" si="127"/>
        <v>FAB2_12/1L  100 Proteina</v>
      </c>
      <c r="E1369">
        <v>2025</v>
      </c>
      <c r="F1369">
        <v>6</v>
      </c>
      <c r="G1369">
        <f t="shared" si="128"/>
        <v>2</v>
      </c>
      <c r="H1369" s="1">
        <f t="shared" si="129"/>
        <v>45691</v>
      </c>
      <c r="I1369" s="1">
        <f t="shared" si="130"/>
        <v>45689</v>
      </c>
      <c r="J1369">
        <v>539751.02999999991</v>
      </c>
      <c r="K1369">
        <v>18768</v>
      </c>
      <c r="L1369">
        <f t="shared" si="126"/>
        <v>28.759112851662401</v>
      </c>
      <c r="M1369">
        <v>1564</v>
      </c>
      <c r="N1369" s="2">
        <f t="shared" si="131"/>
        <v>345.10935421994878</v>
      </c>
      <c r="O1369">
        <v>12</v>
      </c>
    </row>
    <row r="1370" spans="1:15" x14ac:dyDescent="0.25">
      <c r="A1370" t="s">
        <v>46</v>
      </c>
      <c r="B1370" t="s">
        <v>15</v>
      </c>
      <c r="C1370" t="s">
        <v>31</v>
      </c>
      <c r="D1370" t="str">
        <f t="shared" si="127"/>
        <v>FAB2_12/1L  100 Proteina</v>
      </c>
      <c r="E1370">
        <v>2025</v>
      </c>
      <c r="F1370">
        <v>7</v>
      </c>
      <c r="G1370">
        <f t="shared" si="128"/>
        <v>2</v>
      </c>
      <c r="H1370" s="1">
        <f t="shared" si="129"/>
        <v>45698</v>
      </c>
      <c r="I1370" s="1">
        <f t="shared" si="130"/>
        <v>45689</v>
      </c>
      <c r="J1370">
        <v>531254.93999999971</v>
      </c>
      <c r="K1370">
        <v>18792</v>
      </c>
      <c r="L1370">
        <f t="shared" si="126"/>
        <v>28.270271392081721</v>
      </c>
      <c r="M1370">
        <v>1566</v>
      </c>
      <c r="N1370" s="2">
        <f t="shared" si="131"/>
        <v>339.24325670498064</v>
      </c>
      <c r="O1370">
        <v>12</v>
      </c>
    </row>
    <row r="1371" spans="1:15" x14ac:dyDescent="0.25">
      <c r="A1371" t="s">
        <v>46</v>
      </c>
      <c r="B1371" t="s">
        <v>15</v>
      </c>
      <c r="C1371" t="s">
        <v>31</v>
      </c>
      <c r="D1371" t="str">
        <f t="shared" si="127"/>
        <v>FAB2_12/1L  100 Proteina</v>
      </c>
      <c r="E1371">
        <v>2025</v>
      </c>
      <c r="F1371">
        <v>8</v>
      </c>
      <c r="G1371">
        <f t="shared" si="128"/>
        <v>2</v>
      </c>
      <c r="H1371" s="1">
        <f t="shared" si="129"/>
        <v>45705</v>
      </c>
      <c r="I1371" s="1">
        <f t="shared" si="130"/>
        <v>45689</v>
      </c>
      <c r="J1371">
        <v>539510.28999999969</v>
      </c>
      <c r="K1371">
        <v>18756</v>
      </c>
      <c r="L1371">
        <f t="shared" si="126"/>
        <v>28.764677436553619</v>
      </c>
      <c r="M1371">
        <v>1563</v>
      </c>
      <c r="N1371" s="2">
        <f t="shared" si="131"/>
        <v>345.17612923864345</v>
      </c>
      <c r="O1371">
        <v>12</v>
      </c>
    </row>
    <row r="1372" spans="1:15" x14ac:dyDescent="0.25">
      <c r="A1372" t="s">
        <v>46</v>
      </c>
      <c r="B1372" t="s">
        <v>15</v>
      </c>
      <c r="C1372" t="s">
        <v>31</v>
      </c>
      <c r="D1372" t="str">
        <f t="shared" si="127"/>
        <v>FAB2_12/1L  100 Proteina</v>
      </c>
      <c r="E1372">
        <v>2025</v>
      </c>
      <c r="F1372">
        <v>9</v>
      </c>
      <c r="G1372">
        <f t="shared" si="128"/>
        <v>2</v>
      </c>
      <c r="H1372" s="1">
        <f t="shared" si="129"/>
        <v>45712</v>
      </c>
      <c r="I1372" s="1">
        <f t="shared" si="130"/>
        <v>45689</v>
      </c>
      <c r="J1372">
        <v>423987.9699999998</v>
      </c>
      <c r="K1372">
        <v>14856</v>
      </c>
      <c r="L1372">
        <f t="shared" si="126"/>
        <v>28.539847199784585</v>
      </c>
      <c r="M1372">
        <v>1238</v>
      </c>
      <c r="N1372" s="2">
        <f t="shared" si="131"/>
        <v>342.47816639741501</v>
      </c>
      <c r="O1372">
        <v>12</v>
      </c>
    </row>
    <row r="1373" spans="1:15" x14ac:dyDescent="0.25">
      <c r="A1373" t="s">
        <v>46</v>
      </c>
      <c r="B1373" t="s">
        <v>15</v>
      </c>
      <c r="C1373" t="s">
        <v>31</v>
      </c>
      <c r="D1373" t="str">
        <f t="shared" si="127"/>
        <v>FAB2_12/1L  100 Proteina</v>
      </c>
      <c r="E1373">
        <v>2025</v>
      </c>
      <c r="F1373">
        <v>10</v>
      </c>
      <c r="G1373">
        <f t="shared" si="128"/>
        <v>3</v>
      </c>
      <c r="H1373" s="1">
        <f t="shared" si="129"/>
        <v>45719</v>
      </c>
      <c r="I1373" s="1">
        <f t="shared" si="130"/>
        <v>45717</v>
      </c>
      <c r="J1373">
        <v>585831.54999999993</v>
      </c>
      <c r="K1373">
        <v>20604</v>
      </c>
      <c r="L1373">
        <f t="shared" si="126"/>
        <v>28.432903805086386</v>
      </c>
      <c r="M1373">
        <v>1717</v>
      </c>
      <c r="N1373" s="2">
        <f t="shared" si="131"/>
        <v>341.19484566103665</v>
      </c>
      <c r="O1373">
        <v>12</v>
      </c>
    </row>
    <row r="1374" spans="1:15" x14ac:dyDescent="0.25">
      <c r="A1374" t="s">
        <v>46</v>
      </c>
      <c r="B1374" t="s">
        <v>15</v>
      </c>
      <c r="C1374" t="s">
        <v>31</v>
      </c>
      <c r="D1374" t="str">
        <f t="shared" si="127"/>
        <v>FAB2_12/1L  100 Proteina</v>
      </c>
      <c r="E1374">
        <v>2025</v>
      </c>
      <c r="F1374">
        <v>11</v>
      </c>
      <c r="G1374">
        <f t="shared" si="128"/>
        <v>3</v>
      </c>
      <c r="H1374" s="1">
        <f t="shared" si="129"/>
        <v>45726</v>
      </c>
      <c r="I1374" s="1">
        <f t="shared" si="130"/>
        <v>45717</v>
      </c>
      <c r="J1374">
        <v>463250.12999999977</v>
      </c>
      <c r="K1374">
        <v>16104</v>
      </c>
      <c r="L1374">
        <f t="shared" si="126"/>
        <v>28.766153129657212</v>
      </c>
      <c r="M1374">
        <v>1342</v>
      </c>
      <c r="N1374" s="2">
        <f t="shared" si="131"/>
        <v>345.19383755588655</v>
      </c>
      <c r="O1374">
        <v>12</v>
      </c>
    </row>
    <row r="1375" spans="1:15" x14ac:dyDescent="0.25">
      <c r="A1375" t="s">
        <v>46</v>
      </c>
      <c r="B1375" t="s">
        <v>15</v>
      </c>
      <c r="C1375" t="s">
        <v>31</v>
      </c>
      <c r="D1375" t="str">
        <f t="shared" si="127"/>
        <v>FAB2_12/1L  100 Proteina</v>
      </c>
      <c r="E1375">
        <v>2025</v>
      </c>
      <c r="F1375">
        <v>12</v>
      </c>
      <c r="G1375">
        <f t="shared" si="128"/>
        <v>3</v>
      </c>
      <c r="H1375" s="1">
        <f t="shared" si="129"/>
        <v>45733</v>
      </c>
      <c r="I1375" s="1">
        <f t="shared" si="130"/>
        <v>45717</v>
      </c>
      <c r="J1375">
        <v>593873.32999999984</v>
      </c>
      <c r="K1375">
        <v>20844</v>
      </c>
      <c r="L1375">
        <f t="shared" si="126"/>
        <v>28.49133227787372</v>
      </c>
      <c r="M1375">
        <v>1737</v>
      </c>
      <c r="N1375" s="2">
        <f t="shared" si="131"/>
        <v>341.89598733448463</v>
      </c>
      <c r="O1375">
        <v>12</v>
      </c>
    </row>
    <row r="1376" spans="1:15" x14ac:dyDescent="0.25">
      <c r="A1376" t="s">
        <v>46</v>
      </c>
      <c r="B1376" t="s">
        <v>15</v>
      </c>
      <c r="C1376" t="s">
        <v>31</v>
      </c>
      <c r="D1376" t="str">
        <f t="shared" si="127"/>
        <v>FAB2_12/1L  100 Proteina</v>
      </c>
      <c r="E1376">
        <v>2025</v>
      </c>
      <c r="F1376">
        <v>13</v>
      </c>
      <c r="G1376">
        <f t="shared" si="128"/>
        <v>3</v>
      </c>
      <c r="H1376" s="1">
        <f t="shared" si="129"/>
        <v>45740</v>
      </c>
      <c r="I1376" s="1">
        <f t="shared" si="130"/>
        <v>45717</v>
      </c>
      <c r="J1376">
        <v>478094.61999999982</v>
      </c>
      <c r="K1376">
        <v>16620</v>
      </c>
      <c r="L1376">
        <f t="shared" ref="L1376:L1439" si="132">J1376/(M1376*O1376)</f>
        <v>28.766222623345357</v>
      </c>
      <c r="M1376">
        <v>1385</v>
      </c>
      <c r="N1376" s="2">
        <f t="shared" si="131"/>
        <v>345.19467148014428</v>
      </c>
      <c r="O1376">
        <v>12</v>
      </c>
    </row>
    <row r="1377" spans="1:15" x14ac:dyDescent="0.25">
      <c r="A1377" t="s">
        <v>46</v>
      </c>
      <c r="B1377" t="s">
        <v>15</v>
      </c>
      <c r="C1377" t="s">
        <v>31</v>
      </c>
      <c r="D1377" t="str">
        <f t="shared" si="127"/>
        <v>FAB2_12/1L  100 Proteina</v>
      </c>
      <c r="E1377">
        <v>2025</v>
      </c>
      <c r="F1377">
        <v>14</v>
      </c>
      <c r="G1377">
        <f t="shared" si="128"/>
        <v>4</v>
      </c>
      <c r="H1377" s="1">
        <f t="shared" si="129"/>
        <v>45747</v>
      </c>
      <c r="I1377" s="1">
        <f t="shared" si="130"/>
        <v>45748</v>
      </c>
      <c r="J1377">
        <v>593514.93999999971</v>
      </c>
      <c r="K1377">
        <v>20628</v>
      </c>
      <c r="L1377">
        <f t="shared" si="132"/>
        <v>28.772296878029849</v>
      </c>
      <c r="M1377">
        <v>1719</v>
      </c>
      <c r="N1377" s="2">
        <f t="shared" si="131"/>
        <v>345.26756253635818</v>
      </c>
      <c r="O1377">
        <v>12</v>
      </c>
    </row>
    <row r="1378" spans="1:15" x14ac:dyDescent="0.25">
      <c r="A1378" t="s">
        <v>46</v>
      </c>
      <c r="B1378" t="s">
        <v>15</v>
      </c>
      <c r="C1378" t="s">
        <v>31</v>
      </c>
      <c r="D1378" t="str">
        <f t="shared" si="127"/>
        <v>FAB2_12/1L  100 Proteina</v>
      </c>
      <c r="E1378">
        <v>2025</v>
      </c>
      <c r="F1378">
        <v>15</v>
      </c>
      <c r="G1378">
        <f t="shared" si="128"/>
        <v>4</v>
      </c>
      <c r="H1378" s="1">
        <f t="shared" si="129"/>
        <v>45754</v>
      </c>
      <c r="I1378" s="1">
        <f t="shared" si="130"/>
        <v>45748</v>
      </c>
      <c r="J1378">
        <v>490225.11999999976</v>
      </c>
      <c r="K1378">
        <v>17040</v>
      </c>
      <c r="L1378">
        <f t="shared" si="132"/>
        <v>28.769079812206559</v>
      </c>
      <c r="M1378">
        <v>1420</v>
      </c>
      <c r="N1378" s="2">
        <f t="shared" si="131"/>
        <v>345.22895774647873</v>
      </c>
      <c r="O1378">
        <v>12</v>
      </c>
    </row>
    <row r="1379" spans="1:15" x14ac:dyDescent="0.25">
      <c r="A1379" t="s">
        <v>46</v>
      </c>
      <c r="B1379" t="s">
        <v>15</v>
      </c>
      <c r="C1379" t="s">
        <v>31</v>
      </c>
      <c r="D1379" t="str">
        <f t="shared" si="127"/>
        <v>FAB2_12/1L  100 Proteina</v>
      </c>
      <c r="E1379">
        <v>2025</v>
      </c>
      <c r="F1379">
        <v>16</v>
      </c>
      <c r="G1379">
        <f t="shared" si="128"/>
        <v>4</v>
      </c>
      <c r="H1379" s="1">
        <f t="shared" si="129"/>
        <v>45761</v>
      </c>
      <c r="I1379" s="1">
        <f t="shared" si="130"/>
        <v>45748</v>
      </c>
      <c r="J1379">
        <v>574395.82999999996</v>
      </c>
      <c r="K1379">
        <v>19968</v>
      </c>
      <c r="L1379">
        <f t="shared" si="132"/>
        <v>28.765816806891024</v>
      </c>
      <c r="M1379">
        <v>1664</v>
      </c>
      <c r="N1379" s="2">
        <f t="shared" si="131"/>
        <v>345.18980168269229</v>
      </c>
      <c r="O1379">
        <v>12</v>
      </c>
    </row>
    <row r="1380" spans="1:15" x14ac:dyDescent="0.25">
      <c r="A1380" t="s">
        <v>46</v>
      </c>
      <c r="B1380" t="s">
        <v>15</v>
      </c>
      <c r="C1380" t="s">
        <v>31</v>
      </c>
      <c r="D1380" t="str">
        <f t="shared" si="127"/>
        <v>FAB2_12/1L  100 Proteina</v>
      </c>
      <c r="E1380">
        <v>2025</v>
      </c>
      <c r="F1380">
        <v>17</v>
      </c>
      <c r="G1380">
        <f t="shared" si="128"/>
        <v>4</v>
      </c>
      <c r="H1380" s="1">
        <f t="shared" si="129"/>
        <v>45768</v>
      </c>
      <c r="I1380" s="1">
        <f t="shared" si="130"/>
        <v>45748</v>
      </c>
      <c r="J1380">
        <v>525429.46999999986</v>
      </c>
      <c r="K1380">
        <v>18324</v>
      </c>
      <c r="L1380">
        <f t="shared" si="132"/>
        <v>28.674387142545289</v>
      </c>
      <c r="M1380">
        <v>1527</v>
      </c>
      <c r="N1380" s="2">
        <f t="shared" si="131"/>
        <v>344.09264571054348</v>
      </c>
      <c r="O1380">
        <v>12</v>
      </c>
    </row>
    <row r="1381" spans="1:15" x14ac:dyDescent="0.25">
      <c r="A1381" t="s">
        <v>46</v>
      </c>
      <c r="B1381" t="s">
        <v>15</v>
      </c>
      <c r="C1381" t="s">
        <v>31</v>
      </c>
      <c r="D1381" t="str">
        <f t="shared" si="127"/>
        <v>FAB2_12/1L  100 Proteina</v>
      </c>
      <c r="E1381">
        <v>2025</v>
      </c>
      <c r="F1381">
        <v>18</v>
      </c>
      <c r="G1381">
        <f t="shared" si="128"/>
        <v>5</v>
      </c>
      <c r="H1381" s="1">
        <f t="shared" si="129"/>
        <v>45775</v>
      </c>
      <c r="I1381" s="1">
        <f t="shared" si="130"/>
        <v>45778</v>
      </c>
      <c r="J1381">
        <v>641795.37999999966</v>
      </c>
      <c r="K1381">
        <v>22668</v>
      </c>
      <c r="L1381">
        <f t="shared" si="132"/>
        <v>28.31283659784717</v>
      </c>
      <c r="M1381">
        <v>1889</v>
      </c>
      <c r="N1381" s="2">
        <f t="shared" si="131"/>
        <v>339.75403917416605</v>
      </c>
      <c r="O1381">
        <v>12</v>
      </c>
    </row>
    <row r="1382" spans="1:15" x14ac:dyDescent="0.25">
      <c r="A1382" t="s">
        <v>46</v>
      </c>
      <c r="B1382" t="s">
        <v>15</v>
      </c>
      <c r="C1382" t="s">
        <v>31</v>
      </c>
      <c r="D1382" t="str">
        <f t="shared" si="127"/>
        <v>FAB2_12/1L  100 Proteina</v>
      </c>
      <c r="E1382">
        <v>2025</v>
      </c>
      <c r="F1382">
        <v>19</v>
      </c>
      <c r="G1382">
        <f t="shared" si="128"/>
        <v>5</v>
      </c>
      <c r="H1382" s="1">
        <f t="shared" si="129"/>
        <v>45782</v>
      </c>
      <c r="I1382" s="1">
        <f t="shared" si="130"/>
        <v>45778</v>
      </c>
      <c r="J1382">
        <v>626769.74</v>
      </c>
      <c r="K1382">
        <v>21780</v>
      </c>
      <c r="L1382">
        <f t="shared" si="132"/>
        <v>28.777306703397613</v>
      </c>
      <c r="M1382">
        <v>1815</v>
      </c>
      <c r="N1382" s="2">
        <f t="shared" si="131"/>
        <v>345.32768044077136</v>
      </c>
      <c r="O1382">
        <v>12</v>
      </c>
    </row>
    <row r="1383" spans="1:15" x14ac:dyDescent="0.25">
      <c r="A1383" t="s">
        <v>46</v>
      </c>
      <c r="B1383" t="s">
        <v>15</v>
      </c>
      <c r="C1383" t="s">
        <v>31</v>
      </c>
      <c r="D1383" t="str">
        <f t="shared" si="127"/>
        <v>FAB2_12/1L  100 Proteina</v>
      </c>
      <c r="E1383">
        <v>2025</v>
      </c>
      <c r="F1383">
        <v>20</v>
      </c>
      <c r="G1383">
        <f t="shared" si="128"/>
        <v>5</v>
      </c>
      <c r="H1383" s="1">
        <f t="shared" si="129"/>
        <v>45789</v>
      </c>
      <c r="I1383" s="1">
        <f t="shared" si="130"/>
        <v>45778</v>
      </c>
      <c r="J1383">
        <v>521596.33999999979</v>
      </c>
      <c r="K1383">
        <v>18132</v>
      </c>
      <c r="L1383">
        <f t="shared" si="132"/>
        <v>28.766619236708571</v>
      </c>
      <c r="M1383">
        <v>1511</v>
      </c>
      <c r="N1383" s="2">
        <f t="shared" si="131"/>
        <v>345.19943084050283</v>
      </c>
      <c r="O1383">
        <v>12</v>
      </c>
    </row>
    <row r="1384" spans="1:15" x14ac:dyDescent="0.25">
      <c r="A1384" t="s">
        <v>46</v>
      </c>
      <c r="B1384" t="s">
        <v>15</v>
      </c>
      <c r="C1384" t="s">
        <v>31</v>
      </c>
      <c r="D1384" t="str">
        <f t="shared" si="127"/>
        <v>FAB2_12/1L  100 Proteina</v>
      </c>
      <c r="E1384">
        <v>2025</v>
      </c>
      <c r="F1384">
        <v>21</v>
      </c>
      <c r="G1384">
        <f t="shared" si="128"/>
        <v>5</v>
      </c>
      <c r="H1384" s="1">
        <f t="shared" si="129"/>
        <v>45796</v>
      </c>
      <c r="I1384" s="1">
        <f t="shared" si="130"/>
        <v>45778</v>
      </c>
      <c r="J1384">
        <v>495098.31999999983</v>
      </c>
      <c r="K1384">
        <v>17208</v>
      </c>
      <c r="L1384">
        <f t="shared" si="132"/>
        <v>28.771403998140389</v>
      </c>
      <c r="M1384">
        <v>1434</v>
      </c>
      <c r="N1384" s="2">
        <f t="shared" si="131"/>
        <v>345.25684797768469</v>
      </c>
      <c r="O1384">
        <v>12</v>
      </c>
    </row>
    <row r="1385" spans="1:15" x14ac:dyDescent="0.25">
      <c r="A1385" t="s">
        <v>46</v>
      </c>
      <c r="B1385" t="s">
        <v>15</v>
      </c>
      <c r="C1385" t="s">
        <v>31</v>
      </c>
      <c r="D1385" t="str">
        <f t="shared" si="127"/>
        <v>FAB2_12/1L  100 Proteina</v>
      </c>
      <c r="E1385">
        <v>2025</v>
      </c>
      <c r="F1385">
        <v>22</v>
      </c>
      <c r="G1385">
        <f t="shared" si="128"/>
        <v>5</v>
      </c>
      <c r="H1385" s="1">
        <f t="shared" si="129"/>
        <v>45803</v>
      </c>
      <c r="I1385" s="1">
        <f t="shared" si="130"/>
        <v>45778</v>
      </c>
      <c r="J1385">
        <v>382014.28999999992</v>
      </c>
      <c r="K1385">
        <v>13584</v>
      </c>
      <c r="L1385">
        <f t="shared" si="132"/>
        <v>28.122371171967014</v>
      </c>
      <c r="M1385">
        <v>1132</v>
      </c>
      <c r="N1385" s="2">
        <f t="shared" si="131"/>
        <v>337.46845406360416</v>
      </c>
      <c r="O1385">
        <v>12</v>
      </c>
    </row>
    <row r="1386" spans="1:15" x14ac:dyDescent="0.25">
      <c r="A1386" t="s">
        <v>46</v>
      </c>
      <c r="B1386" t="s">
        <v>15</v>
      </c>
      <c r="C1386" t="s">
        <v>31</v>
      </c>
      <c r="D1386" t="str">
        <f t="shared" si="127"/>
        <v>FAB2_12/1L  100 Proteina</v>
      </c>
      <c r="E1386">
        <v>2025</v>
      </c>
      <c r="F1386">
        <v>23</v>
      </c>
      <c r="G1386">
        <f t="shared" si="128"/>
        <v>6</v>
      </c>
      <c r="H1386" s="1">
        <f t="shared" si="129"/>
        <v>45810</v>
      </c>
      <c r="I1386" s="1">
        <f t="shared" si="130"/>
        <v>45809</v>
      </c>
      <c r="J1386">
        <v>435862.31999999983</v>
      </c>
      <c r="K1386">
        <v>15768</v>
      </c>
      <c r="L1386">
        <f t="shared" si="132"/>
        <v>27.64220700152206</v>
      </c>
      <c r="M1386">
        <v>1314</v>
      </c>
      <c r="N1386" s="2">
        <f t="shared" si="131"/>
        <v>331.70648401826469</v>
      </c>
      <c r="O1386">
        <v>12</v>
      </c>
    </row>
    <row r="1387" spans="1:15" x14ac:dyDescent="0.25">
      <c r="A1387" t="s">
        <v>46</v>
      </c>
      <c r="B1387" t="s">
        <v>15</v>
      </c>
      <c r="C1387" t="s">
        <v>31</v>
      </c>
      <c r="D1387" t="str">
        <f t="shared" si="127"/>
        <v>FAB2_12/1L  100 Proteina</v>
      </c>
      <c r="E1387">
        <v>2025</v>
      </c>
      <c r="F1387">
        <v>24</v>
      </c>
      <c r="G1387">
        <f t="shared" si="128"/>
        <v>6</v>
      </c>
      <c r="H1387" s="1">
        <f t="shared" si="129"/>
        <v>45817</v>
      </c>
      <c r="I1387" s="1">
        <f t="shared" si="130"/>
        <v>45809</v>
      </c>
      <c r="J1387">
        <v>293811.25</v>
      </c>
      <c r="K1387">
        <v>10620</v>
      </c>
      <c r="L1387">
        <f t="shared" si="132"/>
        <v>27.66584274952919</v>
      </c>
      <c r="M1387">
        <v>885</v>
      </c>
      <c r="N1387" s="2">
        <f t="shared" si="131"/>
        <v>331.99011299435028</v>
      </c>
      <c r="O1387">
        <v>12</v>
      </c>
    </row>
    <row r="1388" spans="1:15" x14ac:dyDescent="0.25">
      <c r="A1388" t="s">
        <v>46</v>
      </c>
      <c r="B1388" t="s">
        <v>15</v>
      </c>
      <c r="C1388" t="s">
        <v>31</v>
      </c>
      <c r="D1388" t="str">
        <f t="shared" si="127"/>
        <v>FAB2_12/1L  100 Proteina</v>
      </c>
      <c r="E1388">
        <v>2025</v>
      </c>
      <c r="F1388">
        <v>25</v>
      </c>
      <c r="G1388">
        <f t="shared" si="128"/>
        <v>6</v>
      </c>
      <c r="H1388" s="1">
        <f t="shared" si="129"/>
        <v>45824</v>
      </c>
      <c r="I1388" s="1">
        <f t="shared" si="130"/>
        <v>45809</v>
      </c>
      <c r="J1388">
        <v>453153.57999999978</v>
      </c>
      <c r="K1388">
        <v>16152</v>
      </c>
      <c r="L1388">
        <f t="shared" si="132"/>
        <v>28.055570827142137</v>
      </c>
      <c r="M1388">
        <v>1346</v>
      </c>
      <c r="N1388" s="2">
        <f t="shared" si="131"/>
        <v>336.66684992570566</v>
      </c>
      <c r="O1388">
        <v>12</v>
      </c>
    </row>
    <row r="1389" spans="1:15" x14ac:dyDescent="0.25">
      <c r="A1389" t="s">
        <v>46</v>
      </c>
      <c r="B1389" t="s">
        <v>15</v>
      </c>
      <c r="C1389" t="s">
        <v>31</v>
      </c>
      <c r="D1389" t="str">
        <f t="shared" si="127"/>
        <v>FAB2_12/1L  100 Proteina</v>
      </c>
      <c r="E1389">
        <v>2025</v>
      </c>
      <c r="F1389">
        <v>26</v>
      </c>
      <c r="G1389">
        <f t="shared" si="128"/>
        <v>6</v>
      </c>
      <c r="H1389" s="1">
        <f t="shared" si="129"/>
        <v>45831</v>
      </c>
      <c r="I1389" s="1">
        <f t="shared" si="130"/>
        <v>45809</v>
      </c>
      <c r="J1389">
        <v>496010.78999999992</v>
      </c>
      <c r="K1389">
        <v>17244</v>
      </c>
      <c r="L1389">
        <f t="shared" si="132"/>
        <v>28.764253653444673</v>
      </c>
      <c r="M1389">
        <v>1437</v>
      </c>
      <c r="N1389" s="2">
        <f t="shared" si="131"/>
        <v>345.17104384133609</v>
      </c>
      <c r="O1389">
        <v>12</v>
      </c>
    </row>
    <row r="1390" spans="1:15" x14ac:dyDescent="0.25">
      <c r="A1390" t="s">
        <v>46</v>
      </c>
      <c r="B1390" t="s">
        <v>15</v>
      </c>
      <c r="C1390" t="s">
        <v>31</v>
      </c>
      <c r="D1390" t="str">
        <f t="shared" si="127"/>
        <v>FAB2_12/1L  100 Proteina</v>
      </c>
      <c r="E1390">
        <v>2025</v>
      </c>
      <c r="F1390">
        <v>27</v>
      </c>
      <c r="G1390">
        <f t="shared" si="128"/>
        <v>7</v>
      </c>
      <c r="H1390" s="1">
        <f t="shared" si="129"/>
        <v>45838</v>
      </c>
      <c r="I1390" s="1">
        <f t="shared" si="130"/>
        <v>45839</v>
      </c>
      <c r="J1390">
        <v>613711.34</v>
      </c>
      <c r="K1390">
        <v>21336</v>
      </c>
      <c r="L1390">
        <f t="shared" si="132"/>
        <v>28.764123547056617</v>
      </c>
      <c r="M1390">
        <v>1778</v>
      </c>
      <c r="N1390" s="2">
        <f t="shared" si="131"/>
        <v>345.16948256467941</v>
      </c>
      <c r="O1390">
        <v>12</v>
      </c>
    </row>
    <row r="1391" spans="1:15" x14ac:dyDescent="0.25">
      <c r="A1391" t="s">
        <v>46</v>
      </c>
      <c r="B1391" t="s">
        <v>15</v>
      </c>
      <c r="C1391" t="s">
        <v>31</v>
      </c>
      <c r="D1391" t="str">
        <f t="shared" si="127"/>
        <v>FAB2_12/1L  100 Proteina</v>
      </c>
      <c r="E1391">
        <v>2025</v>
      </c>
      <c r="F1391">
        <v>28</v>
      </c>
      <c r="G1391">
        <f t="shared" si="128"/>
        <v>7</v>
      </c>
      <c r="H1391" s="1">
        <f t="shared" si="129"/>
        <v>45845</v>
      </c>
      <c r="I1391" s="1">
        <f t="shared" si="130"/>
        <v>45839</v>
      </c>
      <c r="J1391">
        <v>543454.07999999984</v>
      </c>
      <c r="K1391">
        <v>18888</v>
      </c>
      <c r="L1391">
        <f t="shared" si="132"/>
        <v>28.772452350698849</v>
      </c>
      <c r="M1391">
        <v>1574</v>
      </c>
      <c r="N1391" s="2">
        <f t="shared" si="131"/>
        <v>345.26942820838616</v>
      </c>
      <c r="O1391">
        <v>12</v>
      </c>
    </row>
    <row r="1392" spans="1:15" x14ac:dyDescent="0.25">
      <c r="A1392" t="s">
        <v>46</v>
      </c>
      <c r="B1392" t="s">
        <v>15</v>
      </c>
      <c r="C1392" t="s">
        <v>31</v>
      </c>
      <c r="D1392" t="str">
        <f t="shared" si="127"/>
        <v>FAB2_12/1L  100 Proteina</v>
      </c>
      <c r="E1392">
        <v>2025</v>
      </c>
      <c r="F1392">
        <v>29</v>
      </c>
      <c r="G1392">
        <f t="shared" si="128"/>
        <v>7</v>
      </c>
      <c r="H1392" s="1">
        <f t="shared" si="129"/>
        <v>45852</v>
      </c>
      <c r="I1392" s="1">
        <f t="shared" si="130"/>
        <v>45839</v>
      </c>
      <c r="J1392">
        <v>603111.49999999965</v>
      </c>
      <c r="K1392">
        <v>20964</v>
      </c>
      <c r="L1392">
        <f t="shared" si="132"/>
        <v>28.768913375310039</v>
      </c>
      <c r="M1392">
        <v>1747</v>
      </c>
      <c r="N1392" s="2">
        <f t="shared" si="131"/>
        <v>345.22696050372048</v>
      </c>
      <c r="O1392">
        <v>12</v>
      </c>
    </row>
    <row r="1393" spans="1:15" x14ac:dyDescent="0.25">
      <c r="A1393" t="s">
        <v>46</v>
      </c>
      <c r="B1393" t="s">
        <v>15</v>
      </c>
      <c r="C1393" t="s">
        <v>31</v>
      </c>
      <c r="D1393" t="str">
        <f t="shared" si="127"/>
        <v>FAB2_12/1L  100 Proteina</v>
      </c>
      <c r="E1393">
        <v>2025</v>
      </c>
      <c r="F1393">
        <v>30</v>
      </c>
      <c r="G1393">
        <f t="shared" si="128"/>
        <v>7</v>
      </c>
      <c r="H1393" s="1">
        <f t="shared" si="129"/>
        <v>45859</v>
      </c>
      <c r="I1393" s="1">
        <f t="shared" si="130"/>
        <v>45839</v>
      </c>
      <c r="J1393">
        <v>582300.83999999985</v>
      </c>
      <c r="K1393">
        <v>20448</v>
      </c>
      <c r="L1393">
        <f t="shared" si="132"/>
        <v>28.477153755868539</v>
      </c>
      <c r="M1393">
        <v>1704</v>
      </c>
      <c r="N1393" s="2">
        <f t="shared" si="131"/>
        <v>341.72584507042245</v>
      </c>
      <c r="O1393">
        <v>12</v>
      </c>
    </row>
    <row r="1394" spans="1:15" x14ac:dyDescent="0.25">
      <c r="A1394" t="s">
        <v>46</v>
      </c>
      <c r="B1394" t="s">
        <v>15</v>
      </c>
      <c r="C1394" t="s">
        <v>31</v>
      </c>
      <c r="D1394" t="str">
        <f t="shared" si="127"/>
        <v>FAB2_12/1L  100 Proteina</v>
      </c>
      <c r="E1394">
        <v>2025</v>
      </c>
      <c r="F1394">
        <v>31</v>
      </c>
      <c r="G1394">
        <f t="shared" si="128"/>
        <v>7</v>
      </c>
      <c r="H1394" s="1">
        <f t="shared" si="129"/>
        <v>45866</v>
      </c>
      <c r="I1394" s="1">
        <f t="shared" si="130"/>
        <v>45839</v>
      </c>
      <c r="J1394">
        <v>591952.55000000016</v>
      </c>
      <c r="K1394">
        <v>20580</v>
      </c>
      <c r="L1394">
        <f t="shared" si="132"/>
        <v>28.76348639455783</v>
      </c>
      <c r="M1394">
        <v>1715</v>
      </c>
      <c r="N1394" s="2">
        <f t="shared" si="131"/>
        <v>345.16183673469396</v>
      </c>
      <c r="O1394">
        <v>12</v>
      </c>
    </row>
    <row r="1395" spans="1:15" x14ac:dyDescent="0.25">
      <c r="A1395" t="s">
        <v>46</v>
      </c>
      <c r="B1395" t="s">
        <v>15</v>
      </c>
      <c r="C1395" t="s">
        <v>32</v>
      </c>
      <c r="D1395" t="str">
        <f t="shared" si="127"/>
        <v>FAB2_ 100 Low C Arb</v>
      </c>
      <c r="E1395">
        <v>2023</v>
      </c>
      <c r="F1395">
        <v>44</v>
      </c>
      <c r="G1395">
        <f t="shared" si="128"/>
        <v>11</v>
      </c>
      <c r="H1395" s="1">
        <f t="shared" si="129"/>
        <v>45229</v>
      </c>
      <c r="I1395" s="1">
        <f t="shared" si="130"/>
        <v>45231</v>
      </c>
      <c r="J1395">
        <v>24431</v>
      </c>
      <c r="K1395">
        <v>1092</v>
      </c>
      <c r="L1395">
        <f t="shared" si="132"/>
        <v>22.372710622710624</v>
      </c>
      <c r="M1395">
        <v>91</v>
      </c>
      <c r="N1395" s="2">
        <f t="shared" si="131"/>
        <v>268.47252747252747</v>
      </c>
      <c r="O1395">
        <v>12</v>
      </c>
    </row>
    <row r="1396" spans="1:15" x14ac:dyDescent="0.25">
      <c r="A1396" t="s">
        <v>46</v>
      </c>
      <c r="B1396" t="s">
        <v>15</v>
      </c>
      <c r="C1396" t="s">
        <v>32</v>
      </c>
      <c r="D1396" t="str">
        <f t="shared" si="127"/>
        <v>FAB2_ 100 Low C Arb</v>
      </c>
      <c r="E1396">
        <v>2023</v>
      </c>
      <c r="F1396">
        <v>45</v>
      </c>
      <c r="G1396">
        <f t="shared" si="128"/>
        <v>11</v>
      </c>
      <c r="H1396" s="1">
        <f t="shared" si="129"/>
        <v>45236</v>
      </c>
      <c r="I1396" s="1">
        <f t="shared" si="130"/>
        <v>45231</v>
      </c>
      <c r="J1396">
        <v>83922.969999999987</v>
      </c>
      <c r="K1396">
        <v>3744</v>
      </c>
      <c r="L1396">
        <f t="shared" si="132"/>
        <v>22.41532318376068</v>
      </c>
      <c r="M1396">
        <v>312</v>
      </c>
      <c r="N1396" s="2">
        <f t="shared" si="131"/>
        <v>268.98387820512818</v>
      </c>
      <c r="O1396">
        <v>12</v>
      </c>
    </row>
    <row r="1397" spans="1:15" x14ac:dyDescent="0.25">
      <c r="A1397" t="s">
        <v>46</v>
      </c>
      <c r="B1397" t="s">
        <v>15</v>
      </c>
      <c r="C1397" t="s">
        <v>32</v>
      </c>
      <c r="D1397" t="str">
        <f t="shared" si="127"/>
        <v>FAB2_ 100 Low C Arb</v>
      </c>
      <c r="E1397">
        <v>2023</v>
      </c>
      <c r="F1397">
        <v>46</v>
      </c>
      <c r="G1397">
        <f t="shared" si="128"/>
        <v>11</v>
      </c>
      <c r="H1397" s="1">
        <f t="shared" si="129"/>
        <v>45243</v>
      </c>
      <c r="I1397" s="1">
        <f t="shared" si="130"/>
        <v>45231</v>
      </c>
      <c r="J1397">
        <v>77492.87999999999</v>
      </c>
      <c r="K1397">
        <v>3456</v>
      </c>
      <c r="L1397">
        <f t="shared" si="132"/>
        <v>22.422708333333329</v>
      </c>
      <c r="M1397">
        <v>288</v>
      </c>
      <c r="N1397" s="2">
        <f t="shared" si="131"/>
        <v>269.07249999999999</v>
      </c>
      <c r="O1397">
        <v>12</v>
      </c>
    </row>
    <row r="1398" spans="1:15" x14ac:dyDescent="0.25">
      <c r="A1398" t="s">
        <v>46</v>
      </c>
      <c r="B1398" t="s">
        <v>15</v>
      </c>
      <c r="C1398" t="s">
        <v>32</v>
      </c>
      <c r="D1398" t="str">
        <f t="shared" si="127"/>
        <v>FAB2_ 100 Low C Arb</v>
      </c>
      <c r="E1398">
        <v>2023</v>
      </c>
      <c r="F1398">
        <v>47</v>
      </c>
      <c r="G1398">
        <f t="shared" si="128"/>
        <v>11</v>
      </c>
      <c r="H1398" s="1">
        <f t="shared" si="129"/>
        <v>45250</v>
      </c>
      <c r="I1398" s="1">
        <f t="shared" si="130"/>
        <v>45231</v>
      </c>
      <c r="J1398">
        <v>131805.01</v>
      </c>
      <c r="K1398">
        <v>5904</v>
      </c>
      <c r="L1398">
        <f t="shared" si="132"/>
        <v>22.324696815718159</v>
      </c>
      <c r="M1398">
        <v>492</v>
      </c>
      <c r="N1398" s="2">
        <f t="shared" si="131"/>
        <v>267.89636178861792</v>
      </c>
      <c r="O1398">
        <v>12</v>
      </c>
    </row>
    <row r="1399" spans="1:15" x14ac:dyDescent="0.25">
      <c r="A1399" t="s">
        <v>46</v>
      </c>
      <c r="B1399" t="s">
        <v>15</v>
      </c>
      <c r="C1399" t="s">
        <v>32</v>
      </c>
      <c r="D1399" t="str">
        <f t="shared" si="127"/>
        <v>FAB2_ 100 Low C Arb</v>
      </c>
      <c r="E1399">
        <v>2023</v>
      </c>
      <c r="F1399">
        <v>48</v>
      </c>
      <c r="G1399">
        <f t="shared" si="128"/>
        <v>11</v>
      </c>
      <c r="H1399" s="1">
        <f t="shared" si="129"/>
        <v>45257</v>
      </c>
      <c r="I1399" s="1">
        <f t="shared" si="130"/>
        <v>45231</v>
      </c>
      <c r="J1399">
        <v>84861.029999999984</v>
      </c>
      <c r="K1399">
        <v>3792</v>
      </c>
      <c r="L1399">
        <f t="shared" si="132"/>
        <v>22.378963607594933</v>
      </c>
      <c r="M1399">
        <v>316</v>
      </c>
      <c r="N1399" s="2">
        <f t="shared" si="131"/>
        <v>268.54756329113917</v>
      </c>
      <c r="O1399">
        <v>12</v>
      </c>
    </row>
    <row r="1400" spans="1:15" x14ac:dyDescent="0.25">
      <c r="A1400" t="s">
        <v>46</v>
      </c>
      <c r="B1400" t="s">
        <v>15</v>
      </c>
      <c r="C1400" t="s">
        <v>32</v>
      </c>
      <c r="D1400" t="str">
        <f t="shared" si="127"/>
        <v>FAB2_ 100 Low C Arb</v>
      </c>
      <c r="E1400">
        <v>2023</v>
      </c>
      <c r="F1400">
        <v>49</v>
      </c>
      <c r="G1400">
        <f t="shared" si="128"/>
        <v>12</v>
      </c>
      <c r="H1400" s="1">
        <f t="shared" si="129"/>
        <v>45264</v>
      </c>
      <c r="I1400" s="1">
        <f t="shared" si="130"/>
        <v>45261</v>
      </c>
      <c r="J1400">
        <v>102567.53</v>
      </c>
      <c r="K1400">
        <v>4656</v>
      </c>
      <c r="L1400">
        <f t="shared" si="132"/>
        <v>22.029108676975945</v>
      </c>
      <c r="M1400">
        <v>388</v>
      </c>
      <c r="N1400" s="2">
        <f t="shared" si="131"/>
        <v>264.34930412371136</v>
      </c>
      <c r="O1400">
        <v>12</v>
      </c>
    </row>
    <row r="1401" spans="1:15" x14ac:dyDescent="0.25">
      <c r="A1401" t="s">
        <v>46</v>
      </c>
      <c r="B1401" t="s">
        <v>15</v>
      </c>
      <c r="C1401" t="s">
        <v>32</v>
      </c>
      <c r="D1401" t="str">
        <f t="shared" si="127"/>
        <v>FAB2_ 100 Low C Arb</v>
      </c>
      <c r="E1401">
        <v>2023</v>
      </c>
      <c r="F1401">
        <v>50</v>
      </c>
      <c r="G1401">
        <f t="shared" si="128"/>
        <v>12</v>
      </c>
      <c r="H1401" s="1">
        <f t="shared" si="129"/>
        <v>45271</v>
      </c>
      <c r="I1401" s="1">
        <f t="shared" si="130"/>
        <v>45261</v>
      </c>
      <c r="J1401">
        <v>167630.23000000004</v>
      </c>
      <c r="K1401">
        <v>8088</v>
      </c>
      <c r="L1401">
        <f t="shared" si="132"/>
        <v>20.725795004945603</v>
      </c>
      <c r="M1401">
        <v>674</v>
      </c>
      <c r="N1401" s="2">
        <f t="shared" si="131"/>
        <v>248.70954005934723</v>
      </c>
      <c r="O1401">
        <v>12</v>
      </c>
    </row>
    <row r="1402" spans="1:15" x14ac:dyDescent="0.25">
      <c r="A1402" t="s">
        <v>46</v>
      </c>
      <c r="B1402" t="s">
        <v>15</v>
      </c>
      <c r="C1402" t="s">
        <v>32</v>
      </c>
      <c r="D1402" t="str">
        <f t="shared" si="127"/>
        <v>FAB2_ 100 Low C Arb</v>
      </c>
      <c r="E1402">
        <v>2023</v>
      </c>
      <c r="F1402">
        <v>51</v>
      </c>
      <c r="G1402">
        <f t="shared" si="128"/>
        <v>12</v>
      </c>
      <c r="H1402" s="1">
        <f t="shared" si="129"/>
        <v>45278</v>
      </c>
      <c r="I1402" s="1">
        <f t="shared" si="130"/>
        <v>45261</v>
      </c>
      <c r="J1402">
        <v>196476.75000000006</v>
      </c>
      <c r="K1402">
        <v>9492</v>
      </c>
      <c r="L1402">
        <f t="shared" si="132"/>
        <v>20.699194058154241</v>
      </c>
      <c r="M1402">
        <v>791</v>
      </c>
      <c r="N1402" s="2">
        <f t="shared" si="131"/>
        <v>248.39032869785089</v>
      </c>
      <c r="O1402">
        <v>12</v>
      </c>
    </row>
    <row r="1403" spans="1:15" x14ac:dyDescent="0.25">
      <c r="A1403" t="s">
        <v>46</v>
      </c>
      <c r="B1403" t="s">
        <v>15</v>
      </c>
      <c r="C1403" t="s">
        <v>32</v>
      </c>
      <c r="D1403" t="str">
        <f t="shared" si="127"/>
        <v>FAB2_ 100 Low C Arb</v>
      </c>
      <c r="E1403">
        <v>2023</v>
      </c>
      <c r="F1403">
        <v>52</v>
      </c>
      <c r="G1403">
        <f t="shared" si="128"/>
        <v>12</v>
      </c>
      <c r="H1403" s="1">
        <f t="shared" si="129"/>
        <v>45285</v>
      </c>
      <c r="I1403" s="1">
        <f t="shared" si="130"/>
        <v>45261</v>
      </c>
      <c r="J1403">
        <v>156410.17000000004</v>
      </c>
      <c r="K1403">
        <v>7428</v>
      </c>
      <c r="L1403">
        <f t="shared" si="132"/>
        <v>21.056834948842223</v>
      </c>
      <c r="M1403">
        <v>619</v>
      </c>
      <c r="N1403" s="2">
        <f t="shared" si="131"/>
        <v>252.6820193861067</v>
      </c>
      <c r="O1403">
        <v>12</v>
      </c>
    </row>
    <row r="1404" spans="1:15" x14ac:dyDescent="0.25">
      <c r="A1404" t="s">
        <v>46</v>
      </c>
      <c r="B1404" t="s">
        <v>15</v>
      </c>
      <c r="C1404" t="s">
        <v>32</v>
      </c>
      <c r="D1404" t="str">
        <f t="shared" si="127"/>
        <v>FAB2_ 100 Low C Arb</v>
      </c>
      <c r="E1404">
        <v>2024</v>
      </c>
      <c r="F1404">
        <v>1</v>
      </c>
      <c r="G1404">
        <f t="shared" si="128"/>
        <v>1</v>
      </c>
      <c r="H1404" s="1">
        <f t="shared" si="129"/>
        <v>45292</v>
      </c>
      <c r="I1404" s="1">
        <f t="shared" si="130"/>
        <v>45292</v>
      </c>
      <c r="J1404">
        <v>175554.59999999995</v>
      </c>
      <c r="K1404">
        <v>7824</v>
      </c>
      <c r="L1404">
        <f t="shared" si="132"/>
        <v>22.43796012269938</v>
      </c>
      <c r="M1404">
        <v>652</v>
      </c>
      <c r="N1404" s="2">
        <f t="shared" si="131"/>
        <v>269.25552147239256</v>
      </c>
      <c r="O1404">
        <v>12</v>
      </c>
    </row>
    <row r="1405" spans="1:15" x14ac:dyDescent="0.25">
      <c r="A1405" t="s">
        <v>46</v>
      </c>
      <c r="B1405" t="s">
        <v>15</v>
      </c>
      <c r="C1405" t="s">
        <v>32</v>
      </c>
      <c r="D1405" t="str">
        <f t="shared" si="127"/>
        <v>FAB2_ 100 Low C Arb</v>
      </c>
      <c r="E1405">
        <v>2024</v>
      </c>
      <c r="F1405">
        <v>2</v>
      </c>
      <c r="G1405">
        <f t="shared" si="128"/>
        <v>1</v>
      </c>
      <c r="H1405" s="1">
        <f t="shared" si="129"/>
        <v>45299</v>
      </c>
      <c r="I1405" s="1">
        <f t="shared" si="130"/>
        <v>45292</v>
      </c>
      <c r="J1405">
        <v>167996.32999999996</v>
      </c>
      <c r="K1405">
        <v>7500</v>
      </c>
      <c r="L1405">
        <f t="shared" si="132"/>
        <v>22.399510666666661</v>
      </c>
      <c r="M1405">
        <v>625</v>
      </c>
      <c r="N1405" s="2">
        <f t="shared" si="131"/>
        <v>268.79412799999994</v>
      </c>
      <c r="O1405">
        <v>12</v>
      </c>
    </row>
    <row r="1406" spans="1:15" x14ac:dyDescent="0.25">
      <c r="A1406" t="s">
        <v>46</v>
      </c>
      <c r="B1406" t="s">
        <v>15</v>
      </c>
      <c r="C1406" t="s">
        <v>32</v>
      </c>
      <c r="D1406" t="str">
        <f t="shared" si="127"/>
        <v>FAB2_ 100 Low C Arb</v>
      </c>
      <c r="E1406">
        <v>2024</v>
      </c>
      <c r="F1406">
        <v>3</v>
      </c>
      <c r="G1406">
        <f t="shared" si="128"/>
        <v>1</v>
      </c>
      <c r="H1406" s="1">
        <f t="shared" si="129"/>
        <v>45306</v>
      </c>
      <c r="I1406" s="1">
        <f t="shared" si="130"/>
        <v>45292</v>
      </c>
      <c r="J1406">
        <v>170987.7999999999</v>
      </c>
      <c r="K1406">
        <v>7620</v>
      </c>
      <c r="L1406">
        <f t="shared" si="132"/>
        <v>22.439343832020985</v>
      </c>
      <c r="M1406">
        <v>635</v>
      </c>
      <c r="N1406" s="2">
        <f t="shared" si="131"/>
        <v>269.27212598425183</v>
      </c>
      <c r="O1406">
        <v>12</v>
      </c>
    </row>
    <row r="1407" spans="1:15" x14ac:dyDescent="0.25">
      <c r="A1407" t="s">
        <v>46</v>
      </c>
      <c r="B1407" t="s">
        <v>15</v>
      </c>
      <c r="C1407" t="s">
        <v>32</v>
      </c>
      <c r="D1407" t="str">
        <f t="shared" si="127"/>
        <v>FAB2_ 100 Low C Arb</v>
      </c>
      <c r="E1407">
        <v>2024</v>
      </c>
      <c r="F1407">
        <v>4</v>
      </c>
      <c r="G1407">
        <f t="shared" si="128"/>
        <v>1</v>
      </c>
      <c r="H1407" s="1">
        <f t="shared" si="129"/>
        <v>45313</v>
      </c>
      <c r="I1407" s="1">
        <f t="shared" si="130"/>
        <v>45292</v>
      </c>
      <c r="J1407">
        <v>165082.17999999993</v>
      </c>
      <c r="K1407">
        <v>7356</v>
      </c>
      <c r="L1407">
        <f t="shared" si="132"/>
        <v>22.44184067427949</v>
      </c>
      <c r="M1407">
        <v>613</v>
      </c>
      <c r="N1407" s="2">
        <f t="shared" si="131"/>
        <v>269.30208809135388</v>
      </c>
      <c r="O1407">
        <v>12</v>
      </c>
    </row>
    <row r="1408" spans="1:15" x14ac:dyDescent="0.25">
      <c r="A1408" t="s">
        <v>46</v>
      </c>
      <c r="B1408" t="s">
        <v>15</v>
      </c>
      <c r="C1408" t="s">
        <v>32</v>
      </c>
      <c r="D1408" t="str">
        <f t="shared" si="127"/>
        <v>FAB2_ 100 Low C Arb</v>
      </c>
      <c r="E1408">
        <v>2024</v>
      </c>
      <c r="F1408">
        <v>5</v>
      </c>
      <c r="G1408">
        <f t="shared" si="128"/>
        <v>2</v>
      </c>
      <c r="H1408" s="1">
        <f t="shared" si="129"/>
        <v>45320</v>
      </c>
      <c r="I1408" s="1">
        <f t="shared" si="130"/>
        <v>45323</v>
      </c>
      <c r="J1408">
        <v>220265.92999999993</v>
      </c>
      <c r="K1408">
        <v>9864</v>
      </c>
      <c r="L1408">
        <f t="shared" si="132"/>
        <v>22.330284874290342</v>
      </c>
      <c r="M1408">
        <v>822</v>
      </c>
      <c r="N1408" s="2">
        <f t="shared" si="131"/>
        <v>267.96341849148411</v>
      </c>
      <c r="O1408">
        <v>12</v>
      </c>
    </row>
    <row r="1409" spans="1:15" x14ac:dyDescent="0.25">
      <c r="A1409" t="s">
        <v>46</v>
      </c>
      <c r="B1409" t="s">
        <v>15</v>
      </c>
      <c r="C1409" t="s">
        <v>32</v>
      </c>
      <c r="D1409" t="str">
        <f t="shared" si="127"/>
        <v>FAB2_ 100 Low C Arb</v>
      </c>
      <c r="E1409">
        <v>2024</v>
      </c>
      <c r="F1409">
        <v>6</v>
      </c>
      <c r="G1409">
        <f t="shared" si="128"/>
        <v>2</v>
      </c>
      <c r="H1409" s="1">
        <f t="shared" si="129"/>
        <v>45327</v>
      </c>
      <c r="I1409" s="1">
        <f t="shared" si="130"/>
        <v>45323</v>
      </c>
      <c r="J1409">
        <v>178348.84999999995</v>
      </c>
      <c r="K1409">
        <v>8160</v>
      </c>
      <c r="L1409">
        <f t="shared" si="132"/>
        <v>21.856476715686266</v>
      </c>
      <c r="M1409">
        <v>680</v>
      </c>
      <c r="N1409" s="2">
        <f t="shared" si="131"/>
        <v>262.27772058823524</v>
      </c>
      <c r="O1409">
        <v>12</v>
      </c>
    </row>
    <row r="1410" spans="1:15" x14ac:dyDescent="0.25">
      <c r="A1410" t="s">
        <v>46</v>
      </c>
      <c r="B1410" t="s">
        <v>15</v>
      </c>
      <c r="C1410" t="s">
        <v>32</v>
      </c>
      <c r="D1410" t="str">
        <f t="shared" si="127"/>
        <v>FAB2_ 100 Low C Arb</v>
      </c>
      <c r="E1410">
        <v>2024</v>
      </c>
      <c r="F1410">
        <v>7</v>
      </c>
      <c r="G1410">
        <f t="shared" si="128"/>
        <v>2</v>
      </c>
      <c r="H1410" s="1">
        <f t="shared" si="129"/>
        <v>45334</v>
      </c>
      <c r="I1410" s="1">
        <f t="shared" si="130"/>
        <v>45323</v>
      </c>
      <c r="J1410">
        <v>156699.29999999993</v>
      </c>
      <c r="K1410">
        <v>7056</v>
      </c>
      <c r="L1410">
        <f t="shared" si="132"/>
        <v>22.207950680272099</v>
      </c>
      <c r="M1410">
        <v>588</v>
      </c>
      <c r="N1410" s="2">
        <f t="shared" si="131"/>
        <v>266.49540816326521</v>
      </c>
      <c r="O1410">
        <v>12</v>
      </c>
    </row>
    <row r="1411" spans="1:15" x14ac:dyDescent="0.25">
      <c r="A1411" t="s">
        <v>46</v>
      </c>
      <c r="B1411" t="s">
        <v>15</v>
      </c>
      <c r="C1411" t="s">
        <v>32</v>
      </c>
      <c r="D1411" t="str">
        <f t="shared" ref="D1411:D1474" si="133">B1411&amp;"_"&amp;C1411</f>
        <v>FAB2_ 100 Low C Arb</v>
      </c>
      <c r="E1411">
        <v>2024</v>
      </c>
      <c r="F1411">
        <v>8</v>
      </c>
      <c r="G1411">
        <f t="shared" ref="G1411:G1474" si="134">MONTH(DATE(E1411,1,4)+(F1411-1)*7-WEEKDAY(DATE(E1411,1,4),2)+4)</f>
        <v>2</v>
      </c>
      <c r="H1411" s="1">
        <f t="shared" ref="H1411:H1474" si="135">DATE(E1411,1,-2)-WEEKDAY(DATE(E1411,1,3))+F1411*7</f>
        <v>45341</v>
      </c>
      <c r="I1411" s="1">
        <f t="shared" ref="I1411:I1474" si="136">DATE(E1411,G1411,1)</f>
        <v>45323</v>
      </c>
      <c r="J1411">
        <v>135007.99</v>
      </c>
      <c r="K1411">
        <v>6072</v>
      </c>
      <c r="L1411">
        <f t="shared" si="132"/>
        <v>22.234517457180498</v>
      </c>
      <c r="M1411">
        <v>506</v>
      </c>
      <c r="N1411" s="2">
        <f t="shared" ref="N1411:N1474" si="137">J1411/M1411</f>
        <v>266.81420948616596</v>
      </c>
      <c r="O1411">
        <v>12</v>
      </c>
    </row>
    <row r="1412" spans="1:15" x14ac:dyDescent="0.25">
      <c r="A1412" t="s">
        <v>46</v>
      </c>
      <c r="B1412" t="s">
        <v>15</v>
      </c>
      <c r="C1412" t="s">
        <v>32</v>
      </c>
      <c r="D1412" t="str">
        <f t="shared" si="133"/>
        <v>FAB2_ 100 Low C Arb</v>
      </c>
      <c r="E1412">
        <v>2024</v>
      </c>
      <c r="F1412">
        <v>9</v>
      </c>
      <c r="G1412">
        <f t="shared" si="134"/>
        <v>2</v>
      </c>
      <c r="H1412" s="1">
        <f t="shared" si="135"/>
        <v>45348</v>
      </c>
      <c r="I1412" s="1">
        <f t="shared" si="136"/>
        <v>45323</v>
      </c>
      <c r="J1412">
        <v>154825.73999999993</v>
      </c>
      <c r="K1412">
        <v>6924</v>
      </c>
      <c r="L1412">
        <f t="shared" si="132"/>
        <v>22.360736568457529</v>
      </c>
      <c r="M1412">
        <v>577</v>
      </c>
      <c r="N1412" s="2">
        <f t="shared" si="137"/>
        <v>268.32883882149036</v>
      </c>
      <c r="O1412">
        <v>12</v>
      </c>
    </row>
    <row r="1413" spans="1:15" x14ac:dyDescent="0.25">
      <c r="A1413" t="s">
        <v>46</v>
      </c>
      <c r="B1413" t="s">
        <v>15</v>
      </c>
      <c r="C1413" t="s">
        <v>32</v>
      </c>
      <c r="D1413" t="str">
        <f t="shared" si="133"/>
        <v>FAB2_ 100 Low C Arb</v>
      </c>
      <c r="E1413">
        <v>2024</v>
      </c>
      <c r="F1413">
        <v>10</v>
      </c>
      <c r="G1413">
        <f t="shared" si="134"/>
        <v>3</v>
      </c>
      <c r="H1413" s="1">
        <f t="shared" si="135"/>
        <v>45355</v>
      </c>
      <c r="I1413" s="1">
        <f t="shared" si="136"/>
        <v>45352</v>
      </c>
      <c r="J1413">
        <v>200334.44999999995</v>
      </c>
      <c r="K1413">
        <v>8940</v>
      </c>
      <c r="L1413">
        <f t="shared" si="132"/>
        <v>22.40877516778523</v>
      </c>
      <c r="M1413">
        <v>745</v>
      </c>
      <c r="N1413" s="2">
        <f t="shared" si="137"/>
        <v>268.90530201342278</v>
      </c>
      <c r="O1413">
        <v>12</v>
      </c>
    </row>
    <row r="1414" spans="1:15" x14ac:dyDescent="0.25">
      <c r="A1414" t="s">
        <v>46</v>
      </c>
      <c r="B1414" t="s">
        <v>15</v>
      </c>
      <c r="C1414" t="s">
        <v>32</v>
      </c>
      <c r="D1414" t="str">
        <f t="shared" si="133"/>
        <v>FAB2_ 100 Low C Arb</v>
      </c>
      <c r="E1414">
        <v>2024</v>
      </c>
      <c r="F1414">
        <v>11</v>
      </c>
      <c r="G1414">
        <f t="shared" si="134"/>
        <v>3</v>
      </c>
      <c r="H1414" s="1">
        <f t="shared" si="135"/>
        <v>45362</v>
      </c>
      <c r="I1414" s="1">
        <f t="shared" si="136"/>
        <v>45352</v>
      </c>
      <c r="J1414">
        <v>171171.03999999995</v>
      </c>
      <c r="K1414">
        <v>7632</v>
      </c>
      <c r="L1414">
        <f t="shared" si="132"/>
        <v>22.428071278825989</v>
      </c>
      <c r="M1414">
        <v>636</v>
      </c>
      <c r="N1414" s="2">
        <f t="shared" si="137"/>
        <v>269.1368553459119</v>
      </c>
      <c r="O1414">
        <v>12</v>
      </c>
    </row>
    <row r="1415" spans="1:15" x14ac:dyDescent="0.25">
      <c r="A1415" t="s">
        <v>46</v>
      </c>
      <c r="B1415" t="s">
        <v>15</v>
      </c>
      <c r="C1415" t="s">
        <v>32</v>
      </c>
      <c r="D1415" t="str">
        <f t="shared" si="133"/>
        <v>FAB2_ 100 Low C Arb</v>
      </c>
      <c r="E1415">
        <v>2024</v>
      </c>
      <c r="F1415">
        <v>12</v>
      </c>
      <c r="G1415">
        <f t="shared" si="134"/>
        <v>3</v>
      </c>
      <c r="H1415" s="1">
        <f t="shared" si="135"/>
        <v>45369</v>
      </c>
      <c r="I1415" s="1">
        <f t="shared" si="136"/>
        <v>45352</v>
      </c>
      <c r="J1415">
        <v>135936.29999999993</v>
      </c>
      <c r="K1415">
        <v>6060</v>
      </c>
      <c r="L1415">
        <f t="shared" si="132"/>
        <v>22.431732673267316</v>
      </c>
      <c r="M1415">
        <v>505</v>
      </c>
      <c r="N1415" s="2">
        <f t="shared" si="137"/>
        <v>269.18079207920778</v>
      </c>
      <c r="O1415">
        <v>12</v>
      </c>
    </row>
    <row r="1416" spans="1:15" x14ac:dyDescent="0.25">
      <c r="A1416" t="s">
        <v>46</v>
      </c>
      <c r="B1416" t="s">
        <v>15</v>
      </c>
      <c r="C1416" t="s">
        <v>32</v>
      </c>
      <c r="D1416" t="str">
        <f t="shared" si="133"/>
        <v>FAB2_ 100 Low C Arb</v>
      </c>
      <c r="E1416">
        <v>2024</v>
      </c>
      <c r="F1416">
        <v>13</v>
      </c>
      <c r="G1416">
        <f t="shared" si="134"/>
        <v>3</v>
      </c>
      <c r="H1416" s="1">
        <f t="shared" si="135"/>
        <v>45376</v>
      </c>
      <c r="I1416" s="1">
        <f t="shared" si="136"/>
        <v>45352</v>
      </c>
      <c r="J1416">
        <v>188187.03</v>
      </c>
      <c r="K1416">
        <v>8388</v>
      </c>
      <c r="L1416">
        <f t="shared" si="132"/>
        <v>22.435268240343348</v>
      </c>
      <c r="M1416">
        <v>699</v>
      </c>
      <c r="N1416" s="2">
        <f t="shared" si="137"/>
        <v>269.22321888412017</v>
      </c>
      <c r="O1416">
        <v>12</v>
      </c>
    </row>
    <row r="1417" spans="1:15" x14ac:dyDescent="0.25">
      <c r="A1417" t="s">
        <v>46</v>
      </c>
      <c r="B1417" t="s">
        <v>15</v>
      </c>
      <c r="C1417" t="s">
        <v>32</v>
      </c>
      <c r="D1417" t="str">
        <f t="shared" si="133"/>
        <v>FAB2_ 100 Low C Arb</v>
      </c>
      <c r="E1417">
        <v>2024</v>
      </c>
      <c r="F1417">
        <v>14</v>
      </c>
      <c r="G1417">
        <f t="shared" si="134"/>
        <v>4</v>
      </c>
      <c r="H1417" s="1">
        <f t="shared" si="135"/>
        <v>45383</v>
      </c>
      <c r="I1417" s="1">
        <f t="shared" si="136"/>
        <v>45383</v>
      </c>
      <c r="J1417">
        <v>238212.74</v>
      </c>
      <c r="K1417">
        <v>10620</v>
      </c>
      <c r="L1417">
        <f t="shared" si="132"/>
        <v>22.430578154425611</v>
      </c>
      <c r="M1417">
        <v>885</v>
      </c>
      <c r="N1417" s="2">
        <f t="shared" si="137"/>
        <v>269.16693785310736</v>
      </c>
      <c r="O1417">
        <v>12</v>
      </c>
    </row>
    <row r="1418" spans="1:15" x14ac:dyDescent="0.25">
      <c r="A1418" t="s">
        <v>46</v>
      </c>
      <c r="B1418" t="s">
        <v>15</v>
      </c>
      <c r="C1418" t="s">
        <v>32</v>
      </c>
      <c r="D1418" t="str">
        <f t="shared" si="133"/>
        <v>FAB2_ 100 Low C Arb</v>
      </c>
      <c r="E1418">
        <v>2024</v>
      </c>
      <c r="F1418">
        <v>15</v>
      </c>
      <c r="G1418">
        <f t="shared" si="134"/>
        <v>4</v>
      </c>
      <c r="H1418" s="1">
        <f t="shared" si="135"/>
        <v>45390</v>
      </c>
      <c r="I1418" s="1">
        <f t="shared" si="136"/>
        <v>45383</v>
      </c>
      <c r="J1418">
        <v>202516.34999999998</v>
      </c>
      <c r="K1418">
        <v>9036</v>
      </c>
      <c r="L1418">
        <f t="shared" si="132"/>
        <v>22.412167994687913</v>
      </c>
      <c r="M1418">
        <v>753</v>
      </c>
      <c r="N1418" s="2">
        <f t="shared" si="137"/>
        <v>268.94601593625492</v>
      </c>
      <c r="O1418">
        <v>12</v>
      </c>
    </row>
    <row r="1419" spans="1:15" x14ac:dyDescent="0.25">
      <c r="A1419" t="s">
        <v>46</v>
      </c>
      <c r="B1419" t="s">
        <v>15</v>
      </c>
      <c r="C1419" t="s">
        <v>32</v>
      </c>
      <c r="D1419" t="str">
        <f t="shared" si="133"/>
        <v>FAB2_ 100 Low C Arb</v>
      </c>
      <c r="E1419">
        <v>2024</v>
      </c>
      <c r="F1419">
        <v>16</v>
      </c>
      <c r="G1419">
        <f t="shared" si="134"/>
        <v>4</v>
      </c>
      <c r="H1419" s="1">
        <f t="shared" si="135"/>
        <v>45397</v>
      </c>
      <c r="I1419" s="1">
        <f t="shared" si="136"/>
        <v>45383</v>
      </c>
      <c r="J1419">
        <v>227548.32999999996</v>
      </c>
      <c r="K1419">
        <v>10992</v>
      </c>
      <c r="L1419">
        <f t="shared" si="132"/>
        <v>20.701267285298396</v>
      </c>
      <c r="M1419">
        <v>916</v>
      </c>
      <c r="N1419" s="2">
        <f t="shared" si="137"/>
        <v>248.41520742358074</v>
      </c>
      <c r="O1419">
        <v>12</v>
      </c>
    </row>
    <row r="1420" spans="1:15" x14ac:dyDescent="0.25">
      <c r="A1420" t="s">
        <v>46</v>
      </c>
      <c r="B1420" t="s">
        <v>15</v>
      </c>
      <c r="C1420" t="s">
        <v>32</v>
      </c>
      <c r="D1420" t="str">
        <f t="shared" si="133"/>
        <v>FAB2_ 100 Low C Arb</v>
      </c>
      <c r="E1420">
        <v>2024</v>
      </c>
      <c r="F1420">
        <v>17</v>
      </c>
      <c r="G1420">
        <f t="shared" si="134"/>
        <v>4</v>
      </c>
      <c r="H1420" s="1">
        <f t="shared" si="135"/>
        <v>45404</v>
      </c>
      <c r="I1420" s="1">
        <f t="shared" si="136"/>
        <v>45383</v>
      </c>
      <c r="J1420">
        <v>187292.74000000011</v>
      </c>
      <c r="K1420">
        <v>9216</v>
      </c>
      <c r="L1420">
        <f t="shared" si="132"/>
        <v>20.32256293402779</v>
      </c>
      <c r="M1420">
        <v>768</v>
      </c>
      <c r="N1420" s="2">
        <f t="shared" si="137"/>
        <v>243.87075520833346</v>
      </c>
      <c r="O1420">
        <v>12</v>
      </c>
    </row>
    <row r="1421" spans="1:15" x14ac:dyDescent="0.25">
      <c r="A1421" t="s">
        <v>46</v>
      </c>
      <c r="B1421" t="s">
        <v>15</v>
      </c>
      <c r="C1421" t="s">
        <v>32</v>
      </c>
      <c r="D1421" t="str">
        <f t="shared" si="133"/>
        <v>FAB2_ 100 Low C Arb</v>
      </c>
      <c r="E1421">
        <v>2024</v>
      </c>
      <c r="F1421">
        <v>18</v>
      </c>
      <c r="G1421">
        <f t="shared" si="134"/>
        <v>5</v>
      </c>
      <c r="H1421" s="1">
        <f t="shared" si="135"/>
        <v>45411</v>
      </c>
      <c r="I1421" s="1">
        <f t="shared" si="136"/>
        <v>45413</v>
      </c>
      <c r="J1421">
        <v>253419.80000000019</v>
      </c>
      <c r="K1421">
        <v>12120</v>
      </c>
      <c r="L1421">
        <f t="shared" si="132"/>
        <v>20.909224422442261</v>
      </c>
      <c r="M1421">
        <v>1010</v>
      </c>
      <c r="N1421" s="2">
        <f t="shared" si="137"/>
        <v>250.91069306930711</v>
      </c>
      <c r="O1421">
        <v>12</v>
      </c>
    </row>
    <row r="1422" spans="1:15" x14ac:dyDescent="0.25">
      <c r="A1422" t="s">
        <v>46</v>
      </c>
      <c r="B1422" t="s">
        <v>15</v>
      </c>
      <c r="C1422" t="s">
        <v>32</v>
      </c>
      <c r="D1422" t="str">
        <f t="shared" si="133"/>
        <v>FAB2_ 100 Low C Arb</v>
      </c>
      <c r="E1422">
        <v>2024</v>
      </c>
      <c r="F1422">
        <v>19</v>
      </c>
      <c r="G1422">
        <f t="shared" si="134"/>
        <v>5</v>
      </c>
      <c r="H1422" s="1">
        <f t="shared" si="135"/>
        <v>45418</v>
      </c>
      <c r="I1422" s="1">
        <f t="shared" si="136"/>
        <v>45413</v>
      </c>
      <c r="J1422">
        <v>187628.69</v>
      </c>
      <c r="K1422">
        <v>8364</v>
      </c>
      <c r="L1422">
        <f t="shared" si="132"/>
        <v>22.432889765662363</v>
      </c>
      <c r="M1422">
        <v>697</v>
      </c>
      <c r="N1422" s="2">
        <f t="shared" si="137"/>
        <v>269.19467718794834</v>
      </c>
      <c r="O1422">
        <v>12</v>
      </c>
    </row>
    <row r="1423" spans="1:15" x14ac:dyDescent="0.25">
      <c r="A1423" t="s">
        <v>46</v>
      </c>
      <c r="B1423" t="s">
        <v>15</v>
      </c>
      <c r="C1423" t="s">
        <v>32</v>
      </c>
      <c r="D1423" t="str">
        <f t="shared" si="133"/>
        <v>FAB2_ 100 Low C Arb</v>
      </c>
      <c r="E1423">
        <v>2024</v>
      </c>
      <c r="F1423">
        <v>20</v>
      </c>
      <c r="G1423">
        <f t="shared" si="134"/>
        <v>5</v>
      </c>
      <c r="H1423" s="1">
        <f t="shared" si="135"/>
        <v>45425</v>
      </c>
      <c r="I1423" s="1">
        <f t="shared" si="136"/>
        <v>45413</v>
      </c>
      <c r="J1423">
        <v>206404.84999999992</v>
      </c>
      <c r="K1423">
        <v>9228</v>
      </c>
      <c r="L1423">
        <f t="shared" si="132"/>
        <v>22.367235587342861</v>
      </c>
      <c r="M1423">
        <v>769</v>
      </c>
      <c r="N1423" s="2">
        <f t="shared" si="137"/>
        <v>268.40682704811434</v>
      </c>
      <c r="O1423">
        <v>12</v>
      </c>
    </row>
    <row r="1424" spans="1:15" x14ac:dyDescent="0.25">
      <c r="A1424" t="s">
        <v>46</v>
      </c>
      <c r="B1424" t="s">
        <v>15</v>
      </c>
      <c r="C1424" t="s">
        <v>32</v>
      </c>
      <c r="D1424" t="str">
        <f t="shared" si="133"/>
        <v>FAB2_ 100 Low C Arb</v>
      </c>
      <c r="E1424">
        <v>2024</v>
      </c>
      <c r="F1424">
        <v>21</v>
      </c>
      <c r="G1424">
        <f t="shared" si="134"/>
        <v>5</v>
      </c>
      <c r="H1424" s="1">
        <f t="shared" si="135"/>
        <v>45432</v>
      </c>
      <c r="I1424" s="1">
        <f t="shared" si="136"/>
        <v>45413</v>
      </c>
      <c r="J1424">
        <v>163697.90999999997</v>
      </c>
      <c r="K1424">
        <v>7296</v>
      </c>
      <c r="L1424">
        <f t="shared" si="132"/>
        <v>22.436665296052627</v>
      </c>
      <c r="M1424">
        <v>608</v>
      </c>
      <c r="N1424" s="2">
        <f t="shared" si="137"/>
        <v>269.23998355263154</v>
      </c>
      <c r="O1424">
        <v>12</v>
      </c>
    </row>
    <row r="1425" spans="1:15" x14ac:dyDescent="0.25">
      <c r="A1425" t="s">
        <v>46</v>
      </c>
      <c r="B1425" t="s">
        <v>15</v>
      </c>
      <c r="C1425" t="s">
        <v>32</v>
      </c>
      <c r="D1425" t="str">
        <f t="shared" si="133"/>
        <v>FAB2_ 100 Low C Arb</v>
      </c>
      <c r="E1425">
        <v>2024</v>
      </c>
      <c r="F1425">
        <v>22</v>
      </c>
      <c r="G1425">
        <f t="shared" si="134"/>
        <v>5</v>
      </c>
      <c r="H1425" s="1">
        <f t="shared" si="135"/>
        <v>45439</v>
      </c>
      <c r="I1425" s="1">
        <f t="shared" si="136"/>
        <v>45413</v>
      </c>
      <c r="J1425">
        <v>175242.27999999997</v>
      </c>
      <c r="K1425">
        <v>7812</v>
      </c>
      <c r="L1425">
        <f t="shared" si="132"/>
        <v>22.432447516641062</v>
      </c>
      <c r="M1425">
        <v>651</v>
      </c>
      <c r="N1425" s="2">
        <f t="shared" si="137"/>
        <v>269.18937019969275</v>
      </c>
      <c r="O1425">
        <v>12</v>
      </c>
    </row>
    <row r="1426" spans="1:15" x14ac:dyDescent="0.25">
      <c r="A1426" t="s">
        <v>46</v>
      </c>
      <c r="B1426" t="s">
        <v>15</v>
      </c>
      <c r="C1426" t="s">
        <v>32</v>
      </c>
      <c r="D1426" t="str">
        <f t="shared" si="133"/>
        <v>FAB2_ 100 Low C Arb</v>
      </c>
      <c r="E1426">
        <v>2024</v>
      </c>
      <c r="F1426">
        <v>23</v>
      </c>
      <c r="G1426">
        <f t="shared" si="134"/>
        <v>6</v>
      </c>
      <c r="H1426" s="1">
        <f t="shared" si="135"/>
        <v>45446</v>
      </c>
      <c r="I1426" s="1">
        <f t="shared" si="136"/>
        <v>45444</v>
      </c>
      <c r="J1426">
        <v>197837.02999999988</v>
      </c>
      <c r="K1426">
        <v>8820</v>
      </c>
      <c r="L1426">
        <f t="shared" si="132"/>
        <v>22.430502267573683</v>
      </c>
      <c r="M1426">
        <v>735</v>
      </c>
      <c r="N1426" s="2">
        <f t="shared" si="137"/>
        <v>269.16602721088418</v>
      </c>
      <c r="O1426">
        <v>12</v>
      </c>
    </row>
    <row r="1427" spans="1:15" x14ac:dyDescent="0.25">
      <c r="A1427" t="s">
        <v>46</v>
      </c>
      <c r="B1427" t="s">
        <v>15</v>
      </c>
      <c r="C1427" t="s">
        <v>32</v>
      </c>
      <c r="D1427" t="str">
        <f t="shared" si="133"/>
        <v>FAB2_ 100 Low C Arb</v>
      </c>
      <c r="E1427">
        <v>2024</v>
      </c>
      <c r="F1427">
        <v>24</v>
      </c>
      <c r="G1427">
        <f t="shared" si="134"/>
        <v>6</v>
      </c>
      <c r="H1427" s="1">
        <f t="shared" si="135"/>
        <v>45453</v>
      </c>
      <c r="I1427" s="1">
        <f t="shared" si="136"/>
        <v>45444</v>
      </c>
      <c r="J1427">
        <v>185943.2099999999</v>
      </c>
      <c r="K1427">
        <v>8340</v>
      </c>
      <c r="L1427">
        <f t="shared" si="132"/>
        <v>22.295348920863297</v>
      </c>
      <c r="M1427">
        <v>695</v>
      </c>
      <c r="N1427" s="2">
        <f t="shared" si="137"/>
        <v>267.5441870503596</v>
      </c>
      <c r="O1427">
        <v>12</v>
      </c>
    </row>
    <row r="1428" spans="1:15" x14ac:dyDescent="0.25">
      <c r="A1428" t="s">
        <v>46</v>
      </c>
      <c r="B1428" t="s">
        <v>15</v>
      </c>
      <c r="C1428" t="s">
        <v>32</v>
      </c>
      <c r="D1428" t="str">
        <f t="shared" si="133"/>
        <v>FAB2_ 100 Low C Arb</v>
      </c>
      <c r="E1428">
        <v>2024</v>
      </c>
      <c r="F1428">
        <v>25</v>
      </c>
      <c r="G1428">
        <f t="shared" si="134"/>
        <v>6</v>
      </c>
      <c r="H1428" s="1">
        <f t="shared" si="135"/>
        <v>45460</v>
      </c>
      <c r="I1428" s="1">
        <f t="shared" si="136"/>
        <v>45444</v>
      </c>
      <c r="J1428">
        <v>202497.79999999996</v>
      </c>
      <c r="K1428">
        <v>9024</v>
      </c>
      <c r="L1428">
        <f t="shared" si="132"/>
        <v>22.439915780141838</v>
      </c>
      <c r="M1428">
        <v>752</v>
      </c>
      <c r="N1428" s="2">
        <f t="shared" si="137"/>
        <v>269.27898936170209</v>
      </c>
      <c r="O1428">
        <v>12</v>
      </c>
    </row>
    <row r="1429" spans="1:15" x14ac:dyDescent="0.25">
      <c r="A1429" t="s">
        <v>46</v>
      </c>
      <c r="B1429" t="s">
        <v>15</v>
      </c>
      <c r="C1429" t="s">
        <v>32</v>
      </c>
      <c r="D1429" t="str">
        <f t="shared" si="133"/>
        <v>FAB2_ 100 Low C Arb</v>
      </c>
      <c r="E1429">
        <v>2024</v>
      </c>
      <c r="F1429">
        <v>26</v>
      </c>
      <c r="G1429">
        <f t="shared" si="134"/>
        <v>6</v>
      </c>
      <c r="H1429" s="1">
        <f t="shared" si="135"/>
        <v>45467</v>
      </c>
      <c r="I1429" s="1">
        <f t="shared" si="136"/>
        <v>45444</v>
      </c>
      <c r="J1429">
        <v>165363.44999999998</v>
      </c>
      <c r="K1429">
        <v>7368</v>
      </c>
      <c r="L1429">
        <f t="shared" si="132"/>
        <v>22.443464983713351</v>
      </c>
      <c r="M1429">
        <v>614</v>
      </c>
      <c r="N1429" s="2">
        <f t="shared" si="137"/>
        <v>269.32157980456026</v>
      </c>
      <c r="O1429">
        <v>12</v>
      </c>
    </row>
    <row r="1430" spans="1:15" x14ac:dyDescent="0.25">
      <c r="A1430" t="s">
        <v>46</v>
      </c>
      <c r="B1430" t="s">
        <v>15</v>
      </c>
      <c r="C1430" t="s">
        <v>32</v>
      </c>
      <c r="D1430" t="str">
        <f t="shared" si="133"/>
        <v>FAB2_ 100 Low C Arb</v>
      </c>
      <c r="E1430">
        <v>2024</v>
      </c>
      <c r="F1430">
        <v>27</v>
      </c>
      <c r="G1430">
        <f t="shared" si="134"/>
        <v>7</v>
      </c>
      <c r="H1430" s="1">
        <f t="shared" si="135"/>
        <v>45474</v>
      </c>
      <c r="I1430" s="1">
        <f t="shared" si="136"/>
        <v>45474</v>
      </c>
      <c r="J1430">
        <v>213346.43999999994</v>
      </c>
      <c r="K1430">
        <v>9144</v>
      </c>
      <c r="L1430">
        <f t="shared" si="132"/>
        <v>23.33185039370078</v>
      </c>
      <c r="M1430">
        <v>762</v>
      </c>
      <c r="N1430" s="2">
        <f t="shared" si="137"/>
        <v>279.98220472440937</v>
      </c>
      <c r="O1430">
        <v>12</v>
      </c>
    </row>
    <row r="1431" spans="1:15" x14ac:dyDescent="0.25">
      <c r="A1431" t="s">
        <v>46</v>
      </c>
      <c r="B1431" t="s">
        <v>15</v>
      </c>
      <c r="C1431" t="s">
        <v>32</v>
      </c>
      <c r="D1431" t="str">
        <f t="shared" si="133"/>
        <v>FAB2_ 100 Low C Arb</v>
      </c>
      <c r="E1431">
        <v>2024</v>
      </c>
      <c r="F1431">
        <v>28</v>
      </c>
      <c r="G1431">
        <f t="shared" si="134"/>
        <v>7</v>
      </c>
      <c r="H1431" s="1">
        <f t="shared" si="135"/>
        <v>45481</v>
      </c>
      <c r="I1431" s="1">
        <f t="shared" si="136"/>
        <v>45474</v>
      </c>
      <c r="J1431">
        <v>174986.3</v>
      </c>
      <c r="K1431">
        <v>7152</v>
      </c>
      <c r="L1431">
        <f t="shared" si="132"/>
        <v>24.466764541387022</v>
      </c>
      <c r="M1431">
        <v>596</v>
      </c>
      <c r="N1431" s="2">
        <f t="shared" si="137"/>
        <v>293.60117449664426</v>
      </c>
      <c r="O1431">
        <v>12</v>
      </c>
    </row>
    <row r="1432" spans="1:15" x14ac:dyDescent="0.25">
      <c r="A1432" t="s">
        <v>46</v>
      </c>
      <c r="B1432" t="s">
        <v>15</v>
      </c>
      <c r="C1432" t="s">
        <v>32</v>
      </c>
      <c r="D1432" t="str">
        <f t="shared" si="133"/>
        <v>FAB2_ 100 Low C Arb</v>
      </c>
      <c r="E1432">
        <v>2024</v>
      </c>
      <c r="F1432">
        <v>29</v>
      </c>
      <c r="G1432">
        <f t="shared" si="134"/>
        <v>7</v>
      </c>
      <c r="H1432" s="1">
        <f t="shared" si="135"/>
        <v>45488</v>
      </c>
      <c r="I1432" s="1">
        <f t="shared" si="136"/>
        <v>45474</v>
      </c>
      <c r="J1432">
        <v>183536.08</v>
      </c>
      <c r="K1432">
        <v>7464</v>
      </c>
      <c r="L1432">
        <f t="shared" si="132"/>
        <v>24.589506966773847</v>
      </c>
      <c r="M1432">
        <v>622</v>
      </c>
      <c r="N1432" s="2">
        <f t="shared" si="137"/>
        <v>295.07408360128613</v>
      </c>
      <c r="O1432">
        <v>12</v>
      </c>
    </row>
    <row r="1433" spans="1:15" x14ac:dyDescent="0.25">
      <c r="A1433" t="s">
        <v>46</v>
      </c>
      <c r="B1433" t="s">
        <v>15</v>
      </c>
      <c r="C1433" t="s">
        <v>32</v>
      </c>
      <c r="D1433" t="str">
        <f t="shared" si="133"/>
        <v>FAB2_ 100 Low C Arb</v>
      </c>
      <c r="E1433">
        <v>2024</v>
      </c>
      <c r="F1433">
        <v>30</v>
      </c>
      <c r="G1433">
        <f t="shared" si="134"/>
        <v>7</v>
      </c>
      <c r="H1433" s="1">
        <f t="shared" si="135"/>
        <v>45495</v>
      </c>
      <c r="I1433" s="1">
        <f t="shared" si="136"/>
        <v>45474</v>
      </c>
      <c r="J1433">
        <v>157674.15999999997</v>
      </c>
      <c r="K1433">
        <v>6420</v>
      </c>
      <c r="L1433">
        <f t="shared" si="132"/>
        <v>24.559838006230525</v>
      </c>
      <c r="M1433">
        <v>535</v>
      </c>
      <c r="N1433" s="2">
        <f t="shared" si="137"/>
        <v>294.71805607476631</v>
      </c>
      <c r="O1433">
        <v>12</v>
      </c>
    </row>
    <row r="1434" spans="1:15" x14ac:dyDescent="0.25">
      <c r="A1434" t="s">
        <v>46</v>
      </c>
      <c r="B1434" t="s">
        <v>15</v>
      </c>
      <c r="C1434" t="s">
        <v>32</v>
      </c>
      <c r="D1434" t="str">
        <f t="shared" si="133"/>
        <v>FAB2_ 100 Low C Arb</v>
      </c>
      <c r="E1434">
        <v>2024</v>
      </c>
      <c r="F1434">
        <v>31</v>
      </c>
      <c r="G1434">
        <f t="shared" si="134"/>
        <v>8</v>
      </c>
      <c r="H1434" s="1">
        <f t="shared" si="135"/>
        <v>45502</v>
      </c>
      <c r="I1434" s="1">
        <f t="shared" si="136"/>
        <v>45505</v>
      </c>
      <c r="J1434">
        <v>223525.64999999994</v>
      </c>
      <c r="K1434">
        <v>9264</v>
      </c>
      <c r="L1434">
        <f t="shared" si="132"/>
        <v>24.128416450777195</v>
      </c>
      <c r="M1434">
        <v>772</v>
      </c>
      <c r="N1434" s="2">
        <f t="shared" si="137"/>
        <v>289.54099740932634</v>
      </c>
      <c r="O1434">
        <v>12</v>
      </c>
    </row>
    <row r="1435" spans="1:15" x14ac:dyDescent="0.25">
      <c r="A1435" t="s">
        <v>46</v>
      </c>
      <c r="B1435" t="s">
        <v>15</v>
      </c>
      <c r="C1435" t="s">
        <v>32</v>
      </c>
      <c r="D1435" t="str">
        <f t="shared" si="133"/>
        <v>FAB2_ 100 Low C Arb</v>
      </c>
      <c r="E1435">
        <v>2024</v>
      </c>
      <c r="F1435">
        <v>32</v>
      </c>
      <c r="G1435">
        <f t="shared" si="134"/>
        <v>8</v>
      </c>
      <c r="H1435" s="1">
        <f t="shared" si="135"/>
        <v>45509</v>
      </c>
      <c r="I1435" s="1">
        <f t="shared" si="136"/>
        <v>45505</v>
      </c>
      <c r="J1435">
        <v>185252.95999999996</v>
      </c>
      <c r="K1435">
        <v>7536</v>
      </c>
      <c r="L1435">
        <f t="shared" si="132"/>
        <v>24.582399150743093</v>
      </c>
      <c r="M1435">
        <v>628</v>
      </c>
      <c r="N1435" s="2">
        <f t="shared" si="137"/>
        <v>294.98878980891715</v>
      </c>
      <c r="O1435">
        <v>12</v>
      </c>
    </row>
    <row r="1436" spans="1:15" x14ac:dyDescent="0.25">
      <c r="A1436" t="s">
        <v>46</v>
      </c>
      <c r="B1436" t="s">
        <v>15</v>
      </c>
      <c r="C1436" t="s">
        <v>32</v>
      </c>
      <c r="D1436" t="str">
        <f t="shared" si="133"/>
        <v>FAB2_ 100 Low C Arb</v>
      </c>
      <c r="E1436">
        <v>2024</v>
      </c>
      <c r="F1436">
        <v>33</v>
      </c>
      <c r="G1436">
        <f t="shared" si="134"/>
        <v>8</v>
      </c>
      <c r="H1436" s="1">
        <f t="shared" si="135"/>
        <v>45516</v>
      </c>
      <c r="I1436" s="1">
        <f t="shared" si="136"/>
        <v>45505</v>
      </c>
      <c r="J1436">
        <v>183298.90999999997</v>
      </c>
      <c r="K1436">
        <v>7608</v>
      </c>
      <c r="L1436">
        <f t="shared" si="132"/>
        <v>24.092916666666664</v>
      </c>
      <c r="M1436">
        <v>634</v>
      </c>
      <c r="N1436" s="2">
        <f t="shared" si="137"/>
        <v>289.11499999999995</v>
      </c>
      <c r="O1436">
        <v>12</v>
      </c>
    </row>
    <row r="1437" spans="1:15" x14ac:dyDescent="0.25">
      <c r="A1437" t="s">
        <v>46</v>
      </c>
      <c r="B1437" t="s">
        <v>15</v>
      </c>
      <c r="C1437" t="s">
        <v>32</v>
      </c>
      <c r="D1437" t="str">
        <f t="shared" si="133"/>
        <v>FAB2_ 100 Low C Arb</v>
      </c>
      <c r="E1437">
        <v>2024</v>
      </c>
      <c r="F1437">
        <v>34</v>
      </c>
      <c r="G1437">
        <f t="shared" si="134"/>
        <v>8</v>
      </c>
      <c r="H1437" s="1">
        <f t="shared" si="135"/>
        <v>45523</v>
      </c>
      <c r="I1437" s="1">
        <f t="shared" si="136"/>
        <v>45505</v>
      </c>
      <c r="J1437">
        <v>183365.33999999997</v>
      </c>
      <c r="K1437">
        <v>7596</v>
      </c>
      <c r="L1437">
        <f t="shared" si="132"/>
        <v>24.139723538704576</v>
      </c>
      <c r="M1437">
        <v>633</v>
      </c>
      <c r="N1437" s="2">
        <f t="shared" si="137"/>
        <v>289.67668246445493</v>
      </c>
      <c r="O1437">
        <v>12</v>
      </c>
    </row>
    <row r="1438" spans="1:15" x14ac:dyDescent="0.25">
      <c r="A1438" t="s">
        <v>46</v>
      </c>
      <c r="B1438" t="s">
        <v>15</v>
      </c>
      <c r="C1438" t="s">
        <v>32</v>
      </c>
      <c r="D1438" t="str">
        <f t="shared" si="133"/>
        <v>FAB2_ 100 Low C Arb</v>
      </c>
      <c r="E1438">
        <v>2024</v>
      </c>
      <c r="F1438">
        <v>35</v>
      </c>
      <c r="G1438">
        <f t="shared" si="134"/>
        <v>8</v>
      </c>
      <c r="H1438" s="1">
        <f t="shared" si="135"/>
        <v>45530</v>
      </c>
      <c r="I1438" s="1">
        <f t="shared" si="136"/>
        <v>45505</v>
      </c>
      <c r="J1438">
        <v>198882.61999999997</v>
      </c>
      <c r="K1438">
        <v>8088</v>
      </c>
      <c r="L1438">
        <f t="shared" si="132"/>
        <v>24.589839268051431</v>
      </c>
      <c r="M1438">
        <v>674</v>
      </c>
      <c r="N1438" s="2">
        <f t="shared" si="137"/>
        <v>295.07807121661716</v>
      </c>
      <c r="O1438">
        <v>12</v>
      </c>
    </row>
    <row r="1439" spans="1:15" x14ac:dyDescent="0.25">
      <c r="A1439" t="s">
        <v>46</v>
      </c>
      <c r="B1439" t="s">
        <v>15</v>
      </c>
      <c r="C1439" t="s">
        <v>32</v>
      </c>
      <c r="D1439" t="str">
        <f t="shared" si="133"/>
        <v>FAB2_ 100 Low C Arb</v>
      </c>
      <c r="E1439">
        <v>2024</v>
      </c>
      <c r="F1439">
        <v>36</v>
      </c>
      <c r="G1439">
        <f t="shared" si="134"/>
        <v>9</v>
      </c>
      <c r="H1439" s="1">
        <f t="shared" si="135"/>
        <v>45537</v>
      </c>
      <c r="I1439" s="1">
        <f t="shared" si="136"/>
        <v>45536</v>
      </c>
      <c r="J1439">
        <v>196653.05999999997</v>
      </c>
      <c r="K1439">
        <v>7992</v>
      </c>
      <c r="L1439">
        <f t="shared" si="132"/>
        <v>24.606238738738735</v>
      </c>
      <c r="M1439">
        <v>666</v>
      </c>
      <c r="N1439" s="2">
        <f t="shared" si="137"/>
        <v>295.27486486486481</v>
      </c>
      <c r="O1439">
        <v>12</v>
      </c>
    </row>
    <row r="1440" spans="1:15" x14ac:dyDescent="0.25">
      <c r="A1440" t="s">
        <v>46</v>
      </c>
      <c r="B1440" t="s">
        <v>15</v>
      </c>
      <c r="C1440" t="s">
        <v>32</v>
      </c>
      <c r="D1440" t="str">
        <f t="shared" si="133"/>
        <v>FAB2_ 100 Low C Arb</v>
      </c>
      <c r="E1440">
        <v>2024</v>
      </c>
      <c r="F1440">
        <v>37</v>
      </c>
      <c r="G1440">
        <f t="shared" si="134"/>
        <v>9</v>
      </c>
      <c r="H1440" s="1">
        <f t="shared" si="135"/>
        <v>45544</v>
      </c>
      <c r="I1440" s="1">
        <f t="shared" si="136"/>
        <v>45536</v>
      </c>
      <c r="J1440">
        <v>171262.71999999997</v>
      </c>
      <c r="K1440">
        <v>6960</v>
      </c>
      <c r="L1440">
        <f t="shared" ref="L1440:L1503" si="138">J1440/(M1440*O1440)</f>
        <v>24.606712643678158</v>
      </c>
      <c r="M1440">
        <v>580</v>
      </c>
      <c r="N1440" s="2">
        <f t="shared" si="137"/>
        <v>295.28055172413787</v>
      </c>
      <c r="O1440">
        <v>12</v>
      </c>
    </row>
    <row r="1441" spans="1:15" x14ac:dyDescent="0.25">
      <c r="A1441" t="s">
        <v>46</v>
      </c>
      <c r="B1441" t="s">
        <v>15</v>
      </c>
      <c r="C1441" t="s">
        <v>32</v>
      </c>
      <c r="D1441" t="str">
        <f t="shared" si="133"/>
        <v>FAB2_ 100 Low C Arb</v>
      </c>
      <c r="E1441">
        <v>2024</v>
      </c>
      <c r="F1441">
        <v>38</v>
      </c>
      <c r="G1441">
        <f t="shared" si="134"/>
        <v>9</v>
      </c>
      <c r="H1441" s="1">
        <f t="shared" si="135"/>
        <v>45551</v>
      </c>
      <c r="I1441" s="1">
        <f t="shared" si="136"/>
        <v>45536</v>
      </c>
      <c r="J1441">
        <v>200031.05999999997</v>
      </c>
      <c r="K1441">
        <v>8136</v>
      </c>
      <c r="L1441">
        <f t="shared" si="138"/>
        <v>24.58592182890855</v>
      </c>
      <c r="M1441">
        <v>678</v>
      </c>
      <c r="N1441" s="2">
        <f t="shared" si="137"/>
        <v>295.03106194690258</v>
      </c>
      <c r="O1441">
        <v>12</v>
      </c>
    </row>
    <row r="1442" spans="1:15" x14ac:dyDescent="0.25">
      <c r="A1442" t="s">
        <v>46</v>
      </c>
      <c r="B1442" t="s">
        <v>15</v>
      </c>
      <c r="C1442" t="s">
        <v>32</v>
      </c>
      <c r="D1442" t="str">
        <f t="shared" si="133"/>
        <v>FAB2_ 100 Low C Arb</v>
      </c>
      <c r="E1442">
        <v>2024</v>
      </c>
      <c r="F1442">
        <v>39</v>
      </c>
      <c r="G1442">
        <f t="shared" si="134"/>
        <v>9</v>
      </c>
      <c r="H1442" s="1">
        <f t="shared" si="135"/>
        <v>45558</v>
      </c>
      <c r="I1442" s="1">
        <f t="shared" si="136"/>
        <v>45536</v>
      </c>
      <c r="J1442">
        <v>169828.39999999997</v>
      </c>
      <c r="K1442">
        <v>6900</v>
      </c>
      <c r="L1442">
        <f t="shared" si="138"/>
        <v>24.612811594202892</v>
      </c>
      <c r="M1442">
        <v>575</v>
      </c>
      <c r="N1442" s="2">
        <f t="shared" si="137"/>
        <v>295.35373913043475</v>
      </c>
      <c r="O1442">
        <v>12</v>
      </c>
    </row>
    <row r="1443" spans="1:15" x14ac:dyDescent="0.25">
      <c r="A1443" t="s">
        <v>46</v>
      </c>
      <c r="B1443" t="s">
        <v>15</v>
      </c>
      <c r="C1443" t="s">
        <v>32</v>
      </c>
      <c r="D1443" t="str">
        <f t="shared" si="133"/>
        <v>FAB2_ 100 Low C Arb</v>
      </c>
      <c r="E1443">
        <v>2024</v>
      </c>
      <c r="F1443">
        <v>40</v>
      </c>
      <c r="G1443">
        <f t="shared" si="134"/>
        <v>10</v>
      </c>
      <c r="H1443" s="1">
        <f t="shared" si="135"/>
        <v>45565</v>
      </c>
      <c r="I1443" s="1">
        <f t="shared" si="136"/>
        <v>45566</v>
      </c>
      <c r="J1443">
        <v>164430.25999999998</v>
      </c>
      <c r="K1443">
        <v>6684</v>
      </c>
      <c r="L1443">
        <f t="shared" si="138"/>
        <v>24.600577498503888</v>
      </c>
      <c r="M1443">
        <v>557</v>
      </c>
      <c r="N1443" s="2">
        <f t="shared" si="137"/>
        <v>295.20692998204663</v>
      </c>
      <c r="O1443">
        <v>12</v>
      </c>
    </row>
    <row r="1444" spans="1:15" x14ac:dyDescent="0.25">
      <c r="A1444" t="s">
        <v>46</v>
      </c>
      <c r="B1444" t="s">
        <v>15</v>
      </c>
      <c r="C1444" t="s">
        <v>32</v>
      </c>
      <c r="D1444" t="str">
        <f t="shared" si="133"/>
        <v>FAB2_ 100 Low C Arb</v>
      </c>
      <c r="E1444">
        <v>2024</v>
      </c>
      <c r="F1444">
        <v>41</v>
      </c>
      <c r="G1444">
        <f t="shared" si="134"/>
        <v>10</v>
      </c>
      <c r="H1444" s="1">
        <f t="shared" si="135"/>
        <v>45572</v>
      </c>
      <c r="I1444" s="1">
        <f t="shared" si="136"/>
        <v>45566</v>
      </c>
      <c r="J1444">
        <v>120197.93999999999</v>
      </c>
      <c r="K1444">
        <v>4884</v>
      </c>
      <c r="L1444">
        <f t="shared" si="138"/>
        <v>24.610552825552823</v>
      </c>
      <c r="M1444">
        <v>407</v>
      </c>
      <c r="N1444" s="2">
        <f t="shared" si="137"/>
        <v>295.3266339066339</v>
      </c>
      <c r="O1444">
        <v>12</v>
      </c>
    </row>
    <row r="1445" spans="1:15" x14ac:dyDescent="0.25">
      <c r="A1445" t="s">
        <v>46</v>
      </c>
      <c r="B1445" t="s">
        <v>15</v>
      </c>
      <c r="C1445" t="s">
        <v>32</v>
      </c>
      <c r="D1445" t="str">
        <f t="shared" si="133"/>
        <v>FAB2_ 100 Low C Arb</v>
      </c>
      <c r="E1445">
        <v>2024</v>
      </c>
      <c r="F1445">
        <v>42</v>
      </c>
      <c r="G1445">
        <f t="shared" si="134"/>
        <v>10</v>
      </c>
      <c r="H1445" s="1">
        <f t="shared" si="135"/>
        <v>45579</v>
      </c>
      <c r="I1445" s="1">
        <f t="shared" si="136"/>
        <v>45566</v>
      </c>
      <c r="J1445">
        <v>120664.43999999997</v>
      </c>
      <c r="K1445">
        <v>4932</v>
      </c>
      <c r="L1445">
        <f t="shared" si="138"/>
        <v>24.465620437956201</v>
      </c>
      <c r="M1445">
        <v>411</v>
      </c>
      <c r="N1445" s="2">
        <f t="shared" si="137"/>
        <v>293.58744525547439</v>
      </c>
      <c r="O1445">
        <v>12</v>
      </c>
    </row>
    <row r="1446" spans="1:15" x14ac:dyDescent="0.25">
      <c r="A1446" t="s">
        <v>46</v>
      </c>
      <c r="B1446" t="s">
        <v>15</v>
      </c>
      <c r="C1446" t="s">
        <v>32</v>
      </c>
      <c r="D1446" t="str">
        <f t="shared" si="133"/>
        <v>FAB2_ 100 Low C Arb</v>
      </c>
      <c r="E1446">
        <v>2024</v>
      </c>
      <c r="F1446">
        <v>43</v>
      </c>
      <c r="G1446">
        <f t="shared" si="134"/>
        <v>10</v>
      </c>
      <c r="H1446" s="1">
        <f t="shared" si="135"/>
        <v>45586</v>
      </c>
      <c r="I1446" s="1">
        <f t="shared" si="136"/>
        <v>45566</v>
      </c>
      <c r="J1446">
        <v>219817.66999999998</v>
      </c>
      <c r="K1446">
        <v>8952</v>
      </c>
      <c r="L1446">
        <f t="shared" si="138"/>
        <v>24.555146336014296</v>
      </c>
      <c r="M1446">
        <v>746</v>
      </c>
      <c r="N1446" s="2">
        <f t="shared" si="137"/>
        <v>294.66175603217158</v>
      </c>
      <c r="O1446">
        <v>12</v>
      </c>
    </row>
    <row r="1447" spans="1:15" x14ac:dyDescent="0.25">
      <c r="A1447" t="s">
        <v>46</v>
      </c>
      <c r="B1447" t="s">
        <v>15</v>
      </c>
      <c r="C1447" t="s">
        <v>32</v>
      </c>
      <c r="D1447" t="str">
        <f t="shared" si="133"/>
        <v>FAB2_ 100 Low C Arb</v>
      </c>
      <c r="E1447">
        <v>2024</v>
      </c>
      <c r="F1447">
        <v>44</v>
      </c>
      <c r="G1447">
        <f t="shared" si="134"/>
        <v>10</v>
      </c>
      <c r="H1447" s="1">
        <f t="shared" si="135"/>
        <v>45593</v>
      </c>
      <c r="I1447" s="1">
        <f t="shared" si="136"/>
        <v>45566</v>
      </c>
      <c r="J1447">
        <v>195184.83999999997</v>
      </c>
      <c r="K1447">
        <v>7932</v>
      </c>
      <c r="L1447">
        <f t="shared" si="138"/>
        <v>24.607266767523949</v>
      </c>
      <c r="M1447">
        <v>661</v>
      </c>
      <c r="N1447" s="2">
        <f t="shared" si="137"/>
        <v>295.28720121028738</v>
      </c>
      <c r="O1447">
        <v>12</v>
      </c>
    </row>
    <row r="1448" spans="1:15" x14ac:dyDescent="0.25">
      <c r="A1448" t="s">
        <v>46</v>
      </c>
      <c r="B1448" t="s">
        <v>15</v>
      </c>
      <c r="C1448" t="s">
        <v>32</v>
      </c>
      <c r="D1448" t="str">
        <f t="shared" si="133"/>
        <v>FAB2_ 100 Low C Arb</v>
      </c>
      <c r="E1448">
        <v>2024</v>
      </c>
      <c r="F1448">
        <v>45</v>
      </c>
      <c r="G1448">
        <f t="shared" si="134"/>
        <v>11</v>
      </c>
      <c r="H1448" s="1">
        <f t="shared" si="135"/>
        <v>45600</v>
      </c>
      <c r="I1448" s="1">
        <f t="shared" si="136"/>
        <v>45597</v>
      </c>
      <c r="J1448">
        <v>218235.51999999996</v>
      </c>
      <c r="K1448">
        <v>8868</v>
      </c>
      <c r="L1448">
        <f t="shared" si="138"/>
        <v>24.609327920613438</v>
      </c>
      <c r="M1448">
        <v>739</v>
      </c>
      <c r="N1448" s="2">
        <f t="shared" si="137"/>
        <v>295.31193504736126</v>
      </c>
      <c r="O1448">
        <v>12</v>
      </c>
    </row>
    <row r="1449" spans="1:15" x14ac:dyDescent="0.25">
      <c r="A1449" t="s">
        <v>46</v>
      </c>
      <c r="B1449" t="s">
        <v>15</v>
      </c>
      <c r="C1449" t="s">
        <v>32</v>
      </c>
      <c r="D1449" t="str">
        <f t="shared" si="133"/>
        <v>FAB2_ 100 Low C Arb</v>
      </c>
      <c r="E1449">
        <v>2024</v>
      </c>
      <c r="F1449">
        <v>46</v>
      </c>
      <c r="G1449">
        <f t="shared" si="134"/>
        <v>11</v>
      </c>
      <c r="H1449" s="1">
        <f t="shared" si="135"/>
        <v>45607</v>
      </c>
      <c r="I1449" s="1">
        <f t="shared" si="136"/>
        <v>45597</v>
      </c>
      <c r="J1449">
        <v>226704.92</v>
      </c>
      <c r="K1449">
        <v>9264</v>
      </c>
      <c r="L1449">
        <f t="shared" si="138"/>
        <v>24.471601899827292</v>
      </c>
      <c r="M1449">
        <v>772</v>
      </c>
      <c r="N1449" s="2">
        <f t="shared" si="137"/>
        <v>293.6592227979275</v>
      </c>
      <c r="O1449">
        <v>12</v>
      </c>
    </row>
    <row r="1450" spans="1:15" x14ac:dyDescent="0.25">
      <c r="A1450" t="s">
        <v>46</v>
      </c>
      <c r="B1450" t="s">
        <v>15</v>
      </c>
      <c r="C1450" t="s">
        <v>32</v>
      </c>
      <c r="D1450" t="str">
        <f t="shared" si="133"/>
        <v>FAB2_ 100 Low C Arb</v>
      </c>
      <c r="E1450">
        <v>2024</v>
      </c>
      <c r="F1450">
        <v>47</v>
      </c>
      <c r="G1450">
        <f t="shared" si="134"/>
        <v>11</v>
      </c>
      <c r="H1450" s="1">
        <f t="shared" si="135"/>
        <v>45614</v>
      </c>
      <c r="I1450" s="1">
        <f t="shared" si="136"/>
        <v>45597</v>
      </c>
      <c r="J1450">
        <v>213152.71999999997</v>
      </c>
      <c r="K1450">
        <v>8664</v>
      </c>
      <c r="L1450">
        <f t="shared" si="138"/>
        <v>24.602114496768234</v>
      </c>
      <c r="M1450">
        <v>722</v>
      </c>
      <c r="N1450" s="2">
        <f t="shared" si="137"/>
        <v>295.22537396121879</v>
      </c>
      <c r="O1450">
        <v>12</v>
      </c>
    </row>
    <row r="1451" spans="1:15" x14ac:dyDescent="0.25">
      <c r="A1451" t="s">
        <v>46</v>
      </c>
      <c r="B1451" t="s">
        <v>15</v>
      </c>
      <c r="C1451" t="s">
        <v>32</v>
      </c>
      <c r="D1451" t="str">
        <f t="shared" si="133"/>
        <v>FAB2_ 100 Low C Arb</v>
      </c>
      <c r="E1451">
        <v>2024</v>
      </c>
      <c r="F1451">
        <v>48</v>
      </c>
      <c r="G1451">
        <f t="shared" si="134"/>
        <v>11</v>
      </c>
      <c r="H1451" s="1">
        <f t="shared" si="135"/>
        <v>45621</v>
      </c>
      <c r="I1451" s="1">
        <f t="shared" si="136"/>
        <v>45597</v>
      </c>
      <c r="J1451">
        <v>120407.45999999999</v>
      </c>
      <c r="K1451">
        <v>4896</v>
      </c>
      <c r="L1451">
        <f t="shared" si="138"/>
        <v>24.593026960784311</v>
      </c>
      <c r="M1451">
        <v>408</v>
      </c>
      <c r="N1451" s="2">
        <f t="shared" si="137"/>
        <v>295.11632352941177</v>
      </c>
      <c r="O1451">
        <v>12</v>
      </c>
    </row>
    <row r="1452" spans="1:15" x14ac:dyDescent="0.25">
      <c r="A1452" t="s">
        <v>46</v>
      </c>
      <c r="B1452" t="s">
        <v>15</v>
      </c>
      <c r="C1452" t="s">
        <v>32</v>
      </c>
      <c r="D1452" t="str">
        <f t="shared" si="133"/>
        <v>FAB2_ 100 Low C Arb</v>
      </c>
      <c r="E1452">
        <v>2024</v>
      </c>
      <c r="F1452">
        <v>49</v>
      </c>
      <c r="G1452">
        <f t="shared" si="134"/>
        <v>12</v>
      </c>
      <c r="H1452" s="1">
        <f t="shared" si="135"/>
        <v>45628</v>
      </c>
      <c r="I1452" s="1">
        <f t="shared" si="136"/>
        <v>45627</v>
      </c>
      <c r="J1452">
        <v>197461.78</v>
      </c>
      <c r="K1452">
        <v>8052</v>
      </c>
      <c r="L1452">
        <f t="shared" si="138"/>
        <v>24.523320914058619</v>
      </c>
      <c r="M1452">
        <v>671</v>
      </c>
      <c r="N1452" s="2">
        <f t="shared" si="137"/>
        <v>294.27985096870344</v>
      </c>
      <c r="O1452">
        <v>12</v>
      </c>
    </row>
    <row r="1453" spans="1:15" x14ac:dyDescent="0.25">
      <c r="A1453" t="s">
        <v>46</v>
      </c>
      <c r="B1453" t="s">
        <v>15</v>
      </c>
      <c r="C1453" t="s">
        <v>32</v>
      </c>
      <c r="D1453" t="str">
        <f t="shared" si="133"/>
        <v>FAB2_ 100 Low C Arb</v>
      </c>
      <c r="E1453">
        <v>2024</v>
      </c>
      <c r="F1453">
        <v>50</v>
      </c>
      <c r="G1453">
        <f t="shared" si="134"/>
        <v>12</v>
      </c>
      <c r="H1453" s="1">
        <f t="shared" si="135"/>
        <v>45635</v>
      </c>
      <c r="I1453" s="1">
        <f t="shared" si="136"/>
        <v>45627</v>
      </c>
      <c r="J1453">
        <v>203780.17999999993</v>
      </c>
      <c r="K1453">
        <v>8568</v>
      </c>
      <c r="L1453">
        <f t="shared" si="138"/>
        <v>23.78386788048552</v>
      </c>
      <c r="M1453">
        <v>714</v>
      </c>
      <c r="N1453" s="2">
        <f t="shared" si="137"/>
        <v>285.40641456582625</v>
      </c>
      <c r="O1453">
        <v>12</v>
      </c>
    </row>
    <row r="1454" spans="1:15" x14ac:dyDescent="0.25">
      <c r="A1454" t="s">
        <v>46</v>
      </c>
      <c r="B1454" t="s">
        <v>15</v>
      </c>
      <c r="C1454" t="s">
        <v>32</v>
      </c>
      <c r="D1454" t="str">
        <f t="shared" si="133"/>
        <v>FAB2_ 100 Low C Arb</v>
      </c>
      <c r="E1454">
        <v>2024</v>
      </c>
      <c r="F1454">
        <v>51</v>
      </c>
      <c r="G1454">
        <f t="shared" si="134"/>
        <v>12</v>
      </c>
      <c r="H1454" s="1">
        <f t="shared" si="135"/>
        <v>45642</v>
      </c>
      <c r="I1454" s="1">
        <f t="shared" si="136"/>
        <v>45627</v>
      </c>
      <c r="J1454">
        <v>262891.55999999994</v>
      </c>
      <c r="K1454">
        <v>11064</v>
      </c>
      <c r="L1454">
        <f t="shared" si="138"/>
        <v>23.760986984815613</v>
      </c>
      <c r="M1454">
        <v>922</v>
      </c>
      <c r="N1454" s="2">
        <f t="shared" si="137"/>
        <v>285.13184381778734</v>
      </c>
      <c r="O1454">
        <v>12</v>
      </c>
    </row>
    <row r="1455" spans="1:15" x14ac:dyDescent="0.25">
      <c r="A1455" t="s">
        <v>46</v>
      </c>
      <c r="B1455" t="s">
        <v>15</v>
      </c>
      <c r="C1455" t="s">
        <v>32</v>
      </c>
      <c r="D1455" t="str">
        <f t="shared" si="133"/>
        <v>FAB2_ 100 Low C Arb</v>
      </c>
      <c r="E1455">
        <v>2024</v>
      </c>
      <c r="F1455">
        <v>52</v>
      </c>
      <c r="G1455">
        <f t="shared" si="134"/>
        <v>12</v>
      </c>
      <c r="H1455" s="1">
        <f t="shared" si="135"/>
        <v>45649</v>
      </c>
      <c r="I1455" s="1">
        <f t="shared" si="136"/>
        <v>45627</v>
      </c>
      <c r="J1455">
        <v>194693.74999999994</v>
      </c>
      <c r="K1455">
        <v>8028</v>
      </c>
      <c r="L1455">
        <f t="shared" si="138"/>
        <v>24.251837319382155</v>
      </c>
      <c r="M1455">
        <v>669</v>
      </c>
      <c r="N1455" s="2">
        <f t="shared" si="137"/>
        <v>291.02204783258588</v>
      </c>
      <c r="O1455">
        <v>12</v>
      </c>
    </row>
    <row r="1456" spans="1:15" x14ac:dyDescent="0.25">
      <c r="A1456" t="s">
        <v>46</v>
      </c>
      <c r="B1456" t="s">
        <v>15</v>
      </c>
      <c r="C1456" t="s">
        <v>32</v>
      </c>
      <c r="D1456" t="str">
        <f t="shared" si="133"/>
        <v>FAB2_ 100 Low C Arb</v>
      </c>
      <c r="E1456">
        <v>2025</v>
      </c>
      <c r="F1456">
        <v>1</v>
      </c>
      <c r="G1456">
        <f t="shared" si="134"/>
        <v>1</v>
      </c>
      <c r="H1456" s="1">
        <f t="shared" si="135"/>
        <v>45656</v>
      </c>
      <c r="I1456" s="1">
        <f t="shared" si="136"/>
        <v>45658</v>
      </c>
      <c r="J1456">
        <v>142544.39999999997</v>
      </c>
      <c r="K1456">
        <v>5100</v>
      </c>
      <c r="L1456">
        <f t="shared" si="138"/>
        <v>27.94988235294117</v>
      </c>
      <c r="M1456">
        <v>425</v>
      </c>
      <c r="N1456" s="2">
        <f t="shared" si="137"/>
        <v>335.39858823529403</v>
      </c>
      <c r="O1456">
        <v>12</v>
      </c>
    </row>
    <row r="1457" spans="1:15" x14ac:dyDescent="0.25">
      <c r="A1457" t="s">
        <v>46</v>
      </c>
      <c r="B1457" t="s">
        <v>15</v>
      </c>
      <c r="C1457" t="s">
        <v>32</v>
      </c>
      <c r="D1457" t="str">
        <f t="shared" si="133"/>
        <v>FAB2_ 100 Low C Arb</v>
      </c>
      <c r="E1457">
        <v>2025</v>
      </c>
      <c r="F1457">
        <v>2</v>
      </c>
      <c r="G1457">
        <f t="shared" si="134"/>
        <v>1</v>
      </c>
      <c r="H1457" s="1">
        <f t="shared" si="135"/>
        <v>45663</v>
      </c>
      <c r="I1457" s="1">
        <f t="shared" si="136"/>
        <v>45658</v>
      </c>
      <c r="J1457">
        <v>178655.06000000003</v>
      </c>
      <c r="K1457">
        <v>6396</v>
      </c>
      <c r="L1457">
        <f t="shared" si="138"/>
        <v>27.932310819262042</v>
      </c>
      <c r="M1457">
        <v>533</v>
      </c>
      <c r="N1457" s="2">
        <f t="shared" si="137"/>
        <v>335.18772983114451</v>
      </c>
      <c r="O1457">
        <v>12</v>
      </c>
    </row>
    <row r="1458" spans="1:15" x14ac:dyDescent="0.25">
      <c r="A1458" t="s">
        <v>46</v>
      </c>
      <c r="B1458" t="s">
        <v>15</v>
      </c>
      <c r="C1458" t="s">
        <v>32</v>
      </c>
      <c r="D1458" t="str">
        <f t="shared" si="133"/>
        <v>FAB2_ 100 Low C Arb</v>
      </c>
      <c r="E1458">
        <v>2025</v>
      </c>
      <c r="F1458">
        <v>3</v>
      </c>
      <c r="G1458">
        <f t="shared" si="134"/>
        <v>1</v>
      </c>
      <c r="H1458" s="1">
        <f t="shared" si="135"/>
        <v>45670</v>
      </c>
      <c r="I1458" s="1">
        <f t="shared" si="136"/>
        <v>45658</v>
      </c>
      <c r="J1458">
        <v>176022.73</v>
      </c>
      <c r="K1458">
        <v>6360</v>
      </c>
      <c r="L1458">
        <f t="shared" si="138"/>
        <v>27.676529874213838</v>
      </c>
      <c r="M1458">
        <v>530</v>
      </c>
      <c r="N1458" s="2">
        <f t="shared" si="137"/>
        <v>332.11835849056604</v>
      </c>
      <c r="O1458">
        <v>12</v>
      </c>
    </row>
    <row r="1459" spans="1:15" x14ac:dyDescent="0.25">
      <c r="A1459" t="s">
        <v>46</v>
      </c>
      <c r="B1459" t="s">
        <v>15</v>
      </c>
      <c r="C1459" t="s">
        <v>32</v>
      </c>
      <c r="D1459" t="str">
        <f t="shared" si="133"/>
        <v>FAB2_ 100 Low C Arb</v>
      </c>
      <c r="E1459">
        <v>2025</v>
      </c>
      <c r="F1459">
        <v>4</v>
      </c>
      <c r="G1459">
        <f t="shared" si="134"/>
        <v>1</v>
      </c>
      <c r="H1459" s="1">
        <f t="shared" si="135"/>
        <v>45677</v>
      </c>
      <c r="I1459" s="1">
        <f t="shared" si="136"/>
        <v>45658</v>
      </c>
      <c r="J1459">
        <v>178732.09999999998</v>
      </c>
      <c r="K1459">
        <v>6396</v>
      </c>
      <c r="L1459">
        <f t="shared" si="138"/>
        <v>27.944355847404623</v>
      </c>
      <c r="M1459">
        <v>533</v>
      </c>
      <c r="N1459" s="2">
        <f t="shared" si="137"/>
        <v>335.33227016885547</v>
      </c>
      <c r="O1459">
        <v>12</v>
      </c>
    </row>
    <row r="1460" spans="1:15" x14ac:dyDescent="0.25">
      <c r="A1460" t="s">
        <v>46</v>
      </c>
      <c r="B1460" t="s">
        <v>15</v>
      </c>
      <c r="C1460" t="s">
        <v>32</v>
      </c>
      <c r="D1460" t="str">
        <f t="shared" si="133"/>
        <v>FAB2_ 100 Low C Arb</v>
      </c>
      <c r="E1460">
        <v>2025</v>
      </c>
      <c r="F1460">
        <v>5</v>
      </c>
      <c r="G1460">
        <f t="shared" si="134"/>
        <v>1</v>
      </c>
      <c r="H1460" s="1">
        <f t="shared" si="135"/>
        <v>45684</v>
      </c>
      <c r="I1460" s="1">
        <f t="shared" si="136"/>
        <v>45658</v>
      </c>
      <c r="J1460">
        <v>205158.60000000006</v>
      </c>
      <c r="K1460">
        <v>7344</v>
      </c>
      <c r="L1460">
        <f t="shared" si="138"/>
        <v>27.935539215686283</v>
      </c>
      <c r="M1460">
        <v>612</v>
      </c>
      <c r="N1460" s="2">
        <f t="shared" si="137"/>
        <v>335.22647058823537</v>
      </c>
      <c r="O1460">
        <v>12</v>
      </c>
    </row>
    <row r="1461" spans="1:15" x14ac:dyDescent="0.25">
      <c r="A1461" t="s">
        <v>46</v>
      </c>
      <c r="B1461" t="s">
        <v>15</v>
      </c>
      <c r="C1461" t="s">
        <v>32</v>
      </c>
      <c r="D1461" t="str">
        <f t="shared" si="133"/>
        <v>FAB2_ 100 Low C Arb</v>
      </c>
      <c r="E1461">
        <v>2025</v>
      </c>
      <c r="F1461">
        <v>6</v>
      </c>
      <c r="G1461">
        <f t="shared" si="134"/>
        <v>2</v>
      </c>
      <c r="H1461" s="1">
        <f t="shared" si="135"/>
        <v>45691</v>
      </c>
      <c r="I1461" s="1">
        <f t="shared" si="136"/>
        <v>45689</v>
      </c>
      <c r="J1461">
        <v>203424.59999999998</v>
      </c>
      <c r="K1461">
        <v>7284</v>
      </c>
      <c r="L1461">
        <f t="shared" si="138"/>
        <v>27.927594728171332</v>
      </c>
      <c r="M1461">
        <v>607</v>
      </c>
      <c r="N1461" s="2">
        <f t="shared" si="137"/>
        <v>335.131136738056</v>
      </c>
      <c r="O1461">
        <v>12</v>
      </c>
    </row>
    <row r="1462" spans="1:15" x14ac:dyDescent="0.25">
      <c r="A1462" t="s">
        <v>46</v>
      </c>
      <c r="B1462" t="s">
        <v>15</v>
      </c>
      <c r="C1462" t="s">
        <v>32</v>
      </c>
      <c r="D1462" t="str">
        <f t="shared" si="133"/>
        <v>FAB2_ 100 Low C Arb</v>
      </c>
      <c r="E1462">
        <v>2025</v>
      </c>
      <c r="F1462">
        <v>7</v>
      </c>
      <c r="G1462">
        <f t="shared" si="134"/>
        <v>2</v>
      </c>
      <c r="H1462" s="1">
        <f t="shared" si="135"/>
        <v>45698</v>
      </c>
      <c r="I1462" s="1">
        <f t="shared" si="136"/>
        <v>45689</v>
      </c>
      <c r="J1462">
        <v>199835.12999999998</v>
      </c>
      <c r="K1462">
        <v>7284</v>
      </c>
      <c r="L1462">
        <f t="shared" si="138"/>
        <v>27.434806425041184</v>
      </c>
      <c r="M1462">
        <v>607</v>
      </c>
      <c r="N1462" s="2">
        <f t="shared" si="137"/>
        <v>329.2176771004942</v>
      </c>
      <c r="O1462">
        <v>12</v>
      </c>
    </row>
    <row r="1463" spans="1:15" x14ac:dyDescent="0.25">
      <c r="A1463" t="s">
        <v>46</v>
      </c>
      <c r="B1463" t="s">
        <v>15</v>
      </c>
      <c r="C1463" t="s">
        <v>32</v>
      </c>
      <c r="D1463" t="str">
        <f t="shared" si="133"/>
        <v>FAB2_ 100 Low C Arb</v>
      </c>
      <c r="E1463">
        <v>2025</v>
      </c>
      <c r="F1463">
        <v>8</v>
      </c>
      <c r="G1463">
        <f t="shared" si="134"/>
        <v>2</v>
      </c>
      <c r="H1463" s="1">
        <f t="shared" si="135"/>
        <v>45705</v>
      </c>
      <c r="I1463" s="1">
        <f t="shared" si="136"/>
        <v>45689</v>
      </c>
      <c r="J1463">
        <v>198878.3</v>
      </c>
      <c r="K1463">
        <v>7116</v>
      </c>
      <c r="L1463">
        <f t="shared" si="138"/>
        <v>27.948046655424395</v>
      </c>
      <c r="M1463">
        <v>593</v>
      </c>
      <c r="N1463" s="2">
        <f t="shared" si="137"/>
        <v>335.3765598650927</v>
      </c>
      <c r="O1463">
        <v>12</v>
      </c>
    </row>
    <row r="1464" spans="1:15" x14ac:dyDescent="0.25">
      <c r="A1464" t="s">
        <v>46</v>
      </c>
      <c r="B1464" t="s">
        <v>15</v>
      </c>
      <c r="C1464" t="s">
        <v>32</v>
      </c>
      <c r="D1464" t="str">
        <f t="shared" si="133"/>
        <v>FAB2_ 100 Low C Arb</v>
      </c>
      <c r="E1464">
        <v>2025</v>
      </c>
      <c r="F1464">
        <v>9</v>
      </c>
      <c r="G1464">
        <f t="shared" si="134"/>
        <v>2</v>
      </c>
      <c r="H1464" s="1">
        <f t="shared" si="135"/>
        <v>45712</v>
      </c>
      <c r="I1464" s="1">
        <f t="shared" si="136"/>
        <v>45689</v>
      </c>
      <c r="J1464">
        <v>174591.5</v>
      </c>
      <c r="K1464">
        <v>6252</v>
      </c>
      <c r="L1464">
        <f t="shared" si="138"/>
        <v>27.925703774792066</v>
      </c>
      <c r="M1464">
        <v>521</v>
      </c>
      <c r="N1464" s="2">
        <f t="shared" si="137"/>
        <v>335.10844529750477</v>
      </c>
      <c r="O1464">
        <v>12</v>
      </c>
    </row>
    <row r="1465" spans="1:15" x14ac:dyDescent="0.25">
      <c r="A1465" t="s">
        <v>46</v>
      </c>
      <c r="B1465" t="s">
        <v>15</v>
      </c>
      <c r="C1465" t="s">
        <v>32</v>
      </c>
      <c r="D1465" t="str">
        <f t="shared" si="133"/>
        <v>FAB2_ 100 Low C Arb</v>
      </c>
      <c r="E1465">
        <v>2025</v>
      </c>
      <c r="F1465">
        <v>10</v>
      </c>
      <c r="G1465">
        <f t="shared" si="134"/>
        <v>3</v>
      </c>
      <c r="H1465" s="1">
        <f t="shared" si="135"/>
        <v>45719</v>
      </c>
      <c r="I1465" s="1">
        <f t="shared" si="136"/>
        <v>45717</v>
      </c>
      <c r="J1465">
        <v>208539.40000000002</v>
      </c>
      <c r="K1465">
        <v>7464</v>
      </c>
      <c r="L1465">
        <f t="shared" si="138"/>
        <v>27.939362272240089</v>
      </c>
      <c r="M1465">
        <v>622</v>
      </c>
      <c r="N1465" s="2">
        <f t="shared" si="137"/>
        <v>335.27234726688107</v>
      </c>
      <c r="O1465">
        <v>12</v>
      </c>
    </row>
    <row r="1466" spans="1:15" x14ac:dyDescent="0.25">
      <c r="A1466" t="s">
        <v>46</v>
      </c>
      <c r="B1466" t="s">
        <v>15</v>
      </c>
      <c r="C1466" t="s">
        <v>32</v>
      </c>
      <c r="D1466" t="str">
        <f t="shared" si="133"/>
        <v>FAB2_ 100 Low C Arb</v>
      </c>
      <c r="E1466">
        <v>2025</v>
      </c>
      <c r="F1466">
        <v>11</v>
      </c>
      <c r="G1466">
        <f t="shared" si="134"/>
        <v>3</v>
      </c>
      <c r="H1466" s="1">
        <f t="shared" si="135"/>
        <v>45726</v>
      </c>
      <c r="I1466" s="1">
        <f t="shared" si="136"/>
        <v>45717</v>
      </c>
      <c r="J1466">
        <v>157338.29999999996</v>
      </c>
      <c r="K1466">
        <v>5628</v>
      </c>
      <c r="L1466">
        <f t="shared" si="138"/>
        <v>27.956343283582083</v>
      </c>
      <c r="M1466">
        <v>469</v>
      </c>
      <c r="N1466" s="2">
        <f t="shared" si="137"/>
        <v>335.47611940298498</v>
      </c>
      <c r="O1466">
        <v>12</v>
      </c>
    </row>
    <row r="1467" spans="1:15" x14ac:dyDescent="0.25">
      <c r="A1467" t="s">
        <v>46</v>
      </c>
      <c r="B1467" t="s">
        <v>15</v>
      </c>
      <c r="C1467" t="s">
        <v>32</v>
      </c>
      <c r="D1467" t="str">
        <f t="shared" si="133"/>
        <v>FAB2_ 100 Low C Arb</v>
      </c>
      <c r="E1467">
        <v>2025</v>
      </c>
      <c r="F1467">
        <v>12</v>
      </c>
      <c r="G1467">
        <f t="shared" si="134"/>
        <v>3</v>
      </c>
      <c r="H1467" s="1">
        <f t="shared" si="135"/>
        <v>45733</v>
      </c>
      <c r="I1467" s="1">
        <f t="shared" si="136"/>
        <v>45717</v>
      </c>
      <c r="J1467">
        <v>196312.33999999997</v>
      </c>
      <c r="K1467">
        <v>7092</v>
      </c>
      <c r="L1467">
        <f t="shared" si="138"/>
        <v>27.680815002820076</v>
      </c>
      <c r="M1467">
        <v>591</v>
      </c>
      <c r="N1467" s="2">
        <f t="shared" si="137"/>
        <v>332.16978003384088</v>
      </c>
      <c r="O1467">
        <v>12</v>
      </c>
    </row>
    <row r="1468" spans="1:15" x14ac:dyDescent="0.25">
      <c r="A1468" t="s">
        <v>46</v>
      </c>
      <c r="B1468" t="s">
        <v>15</v>
      </c>
      <c r="C1468" t="s">
        <v>32</v>
      </c>
      <c r="D1468" t="str">
        <f t="shared" si="133"/>
        <v>FAB2_ 100 Low C Arb</v>
      </c>
      <c r="E1468">
        <v>2025</v>
      </c>
      <c r="F1468">
        <v>13</v>
      </c>
      <c r="G1468">
        <f t="shared" si="134"/>
        <v>3</v>
      </c>
      <c r="H1468" s="1">
        <f t="shared" si="135"/>
        <v>45740</v>
      </c>
      <c r="I1468" s="1">
        <f t="shared" si="136"/>
        <v>45717</v>
      </c>
      <c r="J1468">
        <v>172998.59999999998</v>
      </c>
      <c r="K1468">
        <v>6192</v>
      </c>
      <c r="L1468">
        <f t="shared" si="138"/>
        <v>27.939050387596897</v>
      </c>
      <c r="M1468">
        <v>516</v>
      </c>
      <c r="N1468" s="2">
        <f t="shared" si="137"/>
        <v>335.26860465116272</v>
      </c>
      <c r="O1468">
        <v>12</v>
      </c>
    </row>
    <row r="1469" spans="1:15" x14ac:dyDescent="0.25">
      <c r="A1469" t="s">
        <v>46</v>
      </c>
      <c r="B1469" t="s">
        <v>15</v>
      </c>
      <c r="C1469" t="s">
        <v>32</v>
      </c>
      <c r="D1469" t="str">
        <f t="shared" si="133"/>
        <v>FAB2_ 100 Low C Arb</v>
      </c>
      <c r="E1469">
        <v>2025</v>
      </c>
      <c r="F1469">
        <v>14</v>
      </c>
      <c r="G1469">
        <f t="shared" si="134"/>
        <v>4</v>
      </c>
      <c r="H1469" s="1">
        <f t="shared" si="135"/>
        <v>45747</v>
      </c>
      <c r="I1469" s="1">
        <f t="shared" si="136"/>
        <v>45748</v>
      </c>
      <c r="J1469">
        <v>231677.5</v>
      </c>
      <c r="K1469">
        <v>8292</v>
      </c>
      <c r="L1469">
        <f t="shared" si="138"/>
        <v>27.939881813796429</v>
      </c>
      <c r="M1469">
        <v>691</v>
      </c>
      <c r="N1469" s="2">
        <f t="shared" si="137"/>
        <v>335.27858176555719</v>
      </c>
      <c r="O1469">
        <v>12</v>
      </c>
    </row>
    <row r="1470" spans="1:15" x14ac:dyDescent="0.25">
      <c r="A1470" t="s">
        <v>46</v>
      </c>
      <c r="B1470" t="s">
        <v>15</v>
      </c>
      <c r="C1470" t="s">
        <v>32</v>
      </c>
      <c r="D1470" t="str">
        <f t="shared" si="133"/>
        <v>FAB2_ 100 Low C Arb</v>
      </c>
      <c r="E1470">
        <v>2025</v>
      </c>
      <c r="F1470">
        <v>15</v>
      </c>
      <c r="G1470">
        <f t="shared" si="134"/>
        <v>4</v>
      </c>
      <c r="H1470" s="1">
        <f t="shared" si="135"/>
        <v>45754</v>
      </c>
      <c r="I1470" s="1">
        <f t="shared" si="136"/>
        <v>45748</v>
      </c>
      <c r="J1470">
        <v>162621.29999999993</v>
      </c>
      <c r="K1470">
        <v>5820</v>
      </c>
      <c r="L1470">
        <f t="shared" si="138"/>
        <v>27.941804123711329</v>
      </c>
      <c r="M1470">
        <v>485</v>
      </c>
      <c r="N1470" s="2">
        <f t="shared" si="137"/>
        <v>335.30164948453591</v>
      </c>
      <c r="O1470">
        <v>12</v>
      </c>
    </row>
    <row r="1471" spans="1:15" x14ac:dyDescent="0.25">
      <c r="A1471" t="s">
        <v>46</v>
      </c>
      <c r="B1471" t="s">
        <v>15</v>
      </c>
      <c r="C1471" t="s">
        <v>32</v>
      </c>
      <c r="D1471" t="str">
        <f t="shared" si="133"/>
        <v>FAB2_ 100 Low C Arb</v>
      </c>
      <c r="E1471">
        <v>2025</v>
      </c>
      <c r="F1471">
        <v>16</v>
      </c>
      <c r="G1471">
        <f t="shared" si="134"/>
        <v>4</v>
      </c>
      <c r="H1471" s="1">
        <f t="shared" si="135"/>
        <v>45761</v>
      </c>
      <c r="I1471" s="1">
        <f t="shared" si="136"/>
        <v>45748</v>
      </c>
      <c r="J1471">
        <v>210198.99999999997</v>
      </c>
      <c r="K1471">
        <v>7524</v>
      </c>
      <c r="L1471">
        <f t="shared" si="138"/>
        <v>27.937134502923971</v>
      </c>
      <c r="M1471">
        <v>627</v>
      </c>
      <c r="N1471" s="2">
        <f t="shared" si="137"/>
        <v>335.24561403508767</v>
      </c>
      <c r="O1471">
        <v>12</v>
      </c>
    </row>
    <row r="1472" spans="1:15" x14ac:dyDescent="0.25">
      <c r="A1472" t="s">
        <v>46</v>
      </c>
      <c r="B1472" t="s">
        <v>15</v>
      </c>
      <c r="C1472" t="s">
        <v>32</v>
      </c>
      <c r="D1472" t="str">
        <f t="shared" si="133"/>
        <v>FAB2_ 100 Low C Arb</v>
      </c>
      <c r="E1472">
        <v>2025</v>
      </c>
      <c r="F1472">
        <v>17</v>
      </c>
      <c r="G1472">
        <f t="shared" si="134"/>
        <v>4</v>
      </c>
      <c r="H1472" s="1">
        <f t="shared" si="135"/>
        <v>45768</v>
      </c>
      <c r="I1472" s="1">
        <f t="shared" si="136"/>
        <v>45748</v>
      </c>
      <c r="J1472">
        <v>178980.25000000003</v>
      </c>
      <c r="K1472">
        <v>6420</v>
      </c>
      <c r="L1472">
        <f t="shared" si="138"/>
        <v>27.878543613707169</v>
      </c>
      <c r="M1472">
        <v>535</v>
      </c>
      <c r="N1472" s="2">
        <f t="shared" si="137"/>
        <v>334.54252336448604</v>
      </c>
      <c r="O1472">
        <v>12</v>
      </c>
    </row>
    <row r="1473" spans="1:15" x14ac:dyDescent="0.25">
      <c r="A1473" t="s">
        <v>46</v>
      </c>
      <c r="B1473" t="s">
        <v>15</v>
      </c>
      <c r="C1473" t="s">
        <v>32</v>
      </c>
      <c r="D1473" t="str">
        <f t="shared" si="133"/>
        <v>FAB2_ 100 Low C Arb</v>
      </c>
      <c r="E1473">
        <v>2025</v>
      </c>
      <c r="F1473">
        <v>18</v>
      </c>
      <c r="G1473">
        <f t="shared" si="134"/>
        <v>5</v>
      </c>
      <c r="H1473" s="1">
        <f t="shared" si="135"/>
        <v>45775</v>
      </c>
      <c r="I1473" s="1">
        <f t="shared" si="136"/>
        <v>45778</v>
      </c>
      <c r="J1473">
        <v>224561.16</v>
      </c>
      <c r="K1473">
        <v>8160</v>
      </c>
      <c r="L1473">
        <f t="shared" si="138"/>
        <v>27.519750000000002</v>
      </c>
      <c r="M1473">
        <v>680</v>
      </c>
      <c r="N1473" s="2">
        <f t="shared" si="137"/>
        <v>330.23700000000002</v>
      </c>
      <c r="O1473">
        <v>12</v>
      </c>
    </row>
    <row r="1474" spans="1:15" x14ac:dyDescent="0.25">
      <c r="A1474" t="s">
        <v>46</v>
      </c>
      <c r="B1474" t="s">
        <v>15</v>
      </c>
      <c r="C1474" t="s">
        <v>32</v>
      </c>
      <c r="D1474" t="str">
        <f t="shared" si="133"/>
        <v>FAB2_ 100 Low C Arb</v>
      </c>
      <c r="E1474">
        <v>2025</v>
      </c>
      <c r="F1474">
        <v>19</v>
      </c>
      <c r="G1474">
        <f t="shared" si="134"/>
        <v>5</v>
      </c>
      <c r="H1474" s="1">
        <f t="shared" si="135"/>
        <v>45782</v>
      </c>
      <c r="I1474" s="1">
        <f t="shared" si="136"/>
        <v>45778</v>
      </c>
      <c r="J1474">
        <v>193242.40000000005</v>
      </c>
      <c r="K1474">
        <v>6912</v>
      </c>
      <c r="L1474">
        <f t="shared" si="138"/>
        <v>27.957523148148155</v>
      </c>
      <c r="M1474">
        <v>576</v>
      </c>
      <c r="N1474" s="2">
        <f t="shared" si="137"/>
        <v>335.49027777777786</v>
      </c>
      <c r="O1474">
        <v>12</v>
      </c>
    </row>
    <row r="1475" spans="1:15" x14ac:dyDescent="0.25">
      <c r="A1475" t="s">
        <v>46</v>
      </c>
      <c r="B1475" t="s">
        <v>15</v>
      </c>
      <c r="C1475" t="s">
        <v>32</v>
      </c>
      <c r="D1475" t="str">
        <f t="shared" ref="D1475:D1538" si="139">B1475&amp;"_"&amp;C1475</f>
        <v>FAB2_ 100 Low C Arb</v>
      </c>
      <c r="E1475">
        <v>2025</v>
      </c>
      <c r="F1475">
        <v>20</v>
      </c>
      <c r="G1475">
        <f t="shared" ref="G1475:G1538" si="140">MONTH(DATE(E1475,1,4)+(F1475-1)*7-WEEKDAY(DATE(E1475,1,4),2)+4)</f>
        <v>5</v>
      </c>
      <c r="H1475" s="1">
        <f t="shared" ref="H1475:H1538" si="141">DATE(E1475,1,-2)-WEEKDAY(DATE(E1475,1,3))+F1475*7</f>
        <v>45789</v>
      </c>
      <c r="I1475" s="1">
        <f t="shared" ref="I1475:I1538" si="142">DATE(E1475,G1475,1)</f>
        <v>45778</v>
      </c>
      <c r="J1475">
        <v>193899.5</v>
      </c>
      <c r="K1475">
        <v>6936</v>
      </c>
      <c r="L1475">
        <f t="shared" si="138"/>
        <v>27.955521914648212</v>
      </c>
      <c r="M1475">
        <v>578</v>
      </c>
      <c r="N1475" s="2">
        <f t="shared" ref="N1475:N1538" si="143">J1475/M1475</f>
        <v>335.46626297577853</v>
      </c>
      <c r="O1475">
        <v>12</v>
      </c>
    </row>
    <row r="1476" spans="1:15" x14ac:dyDescent="0.25">
      <c r="A1476" t="s">
        <v>46</v>
      </c>
      <c r="B1476" t="s">
        <v>15</v>
      </c>
      <c r="C1476" t="s">
        <v>32</v>
      </c>
      <c r="D1476" t="str">
        <f t="shared" si="139"/>
        <v>FAB2_ 100 Low C Arb</v>
      </c>
      <c r="E1476">
        <v>2025</v>
      </c>
      <c r="F1476">
        <v>21</v>
      </c>
      <c r="G1476">
        <f t="shared" si="140"/>
        <v>5</v>
      </c>
      <c r="H1476" s="1">
        <f t="shared" si="141"/>
        <v>45796</v>
      </c>
      <c r="I1476" s="1">
        <f t="shared" si="142"/>
        <v>45778</v>
      </c>
      <c r="J1476">
        <v>183076.00000000003</v>
      </c>
      <c r="K1476">
        <v>6552</v>
      </c>
      <c r="L1476">
        <f t="shared" si="138"/>
        <v>27.942002442002448</v>
      </c>
      <c r="M1476">
        <v>546</v>
      </c>
      <c r="N1476" s="2">
        <f t="shared" si="143"/>
        <v>335.30402930402937</v>
      </c>
      <c r="O1476">
        <v>12</v>
      </c>
    </row>
    <row r="1477" spans="1:15" x14ac:dyDescent="0.25">
      <c r="A1477" t="s">
        <v>46</v>
      </c>
      <c r="B1477" t="s">
        <v>15</v>
      </c>
      <c r="C1477" t="s">
        <v>32</v>
      </c>
      <c r="D1477" t="str">
        <f t="shared" si="139"/>
        <v>FAB2_ 100 Low C Arb</v>
      </c>
      <c r="E1477">
        <v>2025</v>
      </c>
      <c r="F1477">
        <v>22</v>
      </c>
      <c r="G1477">
        <f t="shared" si="140"/>
        <v>5</v>
      </c>
      <c r="H1477" s="1">
        <f t="shared" si="141"/>
        <v>45803</v>
      </c>
      <c r="I1477" s="1">
        <f t="shared" si="142"/>
        <v>45778</v>
      </c>
      <c r="J1477">
        <v>180311.3</v>
      </c>
      <c r="K1477">
        <v>6456</v>
      </c>
      <c r="L1477">
        <f t="shared" si="138"/>
        <v>27.929259603469639</v>
      </c>
      <c r="M1477">
        <v>538</v>
      </c>
      <c r="N1477" s="2">
        <f t="shared" si="143"/>
        <v>335.15111524163569</v>
      </c>
      <c r="O1477">
        <v>12</v>
      </c>
    </row>
    <row r="1478" spans="1:15" x14ac:dyDescent="0.25">
      <c r="A1478" t="s">
        <v>46</v>
      </c>
      <c r="B1478" t="s">
        <v>15</v>
      </c>
      <c r="C1478" t="s">
        <v>32</v>
      </c>
      <c r="D1478" t="str">
        <f t="shared" si="139"/>
        <v>FAB2_ 100 Low C Arb</v>
      </c>
      <c r="E1478">
        <v>2025</v>
      </c>
      <c r="F1478">
        <v>23</v>
      </c>
      <c r="G1478">
        <f t="shared" si="140"/>
        <v>6</v>
      </c>
      <c r="H1478" s="1">
        <f t="shared" si="141"/>
        <v>45810</v>
      </c>
      <c r="I1478" s="1">
        <f t="shared" si="142"/>
        <v>45809</v>
      </c>
      <c r="J1478">
        <v>202524.79000000004</v>
      </c>
      <c r="K1478">
        <v>7248</v>
      </c>
      <c r="L1478">
        <f t="shared" si="138"/>
        <v>27.942161975717443</v>
      </c>
      <c r="M1478">
        <v>604</v>
      </c>
      <c r="N1478" s="2">
        <f t="shared" si="143"/>
        <v>335.30594370860933</v>
      </c>
      <c r="O1478">
        <v>12</v>
      </c>
    </row>
    <row r="1479" spans="1:15" x14ac:dyDescent="0.25">
      <c r="A1479" t="s">
        <v>46</v>
      </c>
      <c r="B1479" t="s">
        <v>15</v>
      </c>
      <c r="C1479" t="s">
        <v>32</v>
      </c>
      <c r="D1479" t="str">
        <f t="shared" si="139"/>
        <v>FAB2_ 100 Low C Arb</v>
      </c>
      <c r="E1479">
        <v>2025</v>
      </c>
      <c r="F1479">
        <v>24</v>
      </c>
      <c r="G1479">
        <f t="shared" si="140"/>
        <v>6</v>
      </c>
      <c r="H1479" s="1">
        <f t="shared" si="141"/>
        <v>45817</v>
      </c>
      <c r="I1479" s="1">
        <f t="shared" si="142"/>
        <v>45809</v>
      </c>
      <c r="J1479">
        <v>201616.88</v>
      </c>
      <c r="K1479">
        <v>7296</v>
      </c>
      <c r="L1479">
        <f t="shared" si="138"/>
        <v>27.633892543859648</v>
      </c>
      <c r="M1479">
        <v>608</v>
      </c>
      <c r="N1479" s="2">
        <f t="shared" si="143"/>
        <v>331.60671052631579</v>
      </c>
      <c r="O1479">
        <v>12</v>
      </c>
    </row>
    <row r="1480" spans="1:15" x14ac:dyDescent="0.25">
      <c r="A1480" t="s">
        <v>46</v>
      </c>
      <c r="B1480" t="s">
        <v>15</v>
      </c>
      <c r="C1480" t="s">
        <v>32</v>
      </c>
      <c r="D1480" t="str">
        <f t="shared" si="139"/>
        <v>FAB2_ 100 Low C Arb</v>
      </c>
      <c r="E1480">
        <v>2025</v>
      </c>
      <c r="F1480">
        <v>25</v>
      </c>
      <c r="G1480">
        <f t="shared" si="140"/>
        <v>6</v>
      </c>
      <c r="H1480" s="1">
        <f t="shared" si="141"/>
        <v>45824</v>
      </c>
      <c r="I1480" s="1">
        <f t="shared" si="142"/>
        <v>45809</v>
      </c>
      <c r="J1480">
        <v>193595.30000000005</v>
      </c>
      <c r="K1480">
        <v>6924</v>
      </c>
      <c r="L1480">
        <f t="shared" si="138"/>
        <v>27.960037550548822</v>
      </c>
      <c r="M1480">
        <v>577</v>
      </c>
      <c r="N1480" s="2">
        <f t="shared" si="143"/>
        <v>335.52045060658588</v>
      </c>
      <c r="O1480">
        <v>12</v>
      </c>
    </row>
    <row r="1481" spans="1:15" x14ac:dyDescent="0.25">
      <c r="A1481" t="s">
        <v>46</v>
      </c>
      <c r="B1481" t="s">
        <v>15</v>
      </c>
      <c r="C1481" t="s">
        <v>32</v>
      </c>
      <c r="D1481" t="str">
        <f t="shared" si="139"/>
        <v>FAB2_ 100 Low C Arb</v>
      </c>
      <c r="E1481">
        <v>2025</v>
      </c>
      <c r="F1481">
        <v>26</v>
      </c>
      <c r="G1481">
        <f t="shared" si="140"/>
        <v>6</v>
      </c>
      <c r="H1481" s="1">
        <f t="shared" si="141"/>
        <v>45831</v>
      </c>
      <c r="I1481" s="1">
        <f t="shared" si="142"/>
        <v>45809</v>
      </c>
      <c r="J1481">
        <v>179167.2</v>
      </c>
      <c r="K1481">
        <v>6408</v>
      </c>
      <c r="L1481">
        <f t="shared" si="138"/>
        <v>27.959925093632961</v>
      </c>
      <c r="M1481">
        <v>534</v>
      </c>
      <c r="N1481" s="2">
        <f t="shared" si="143"/>
        <v>335.51910112359553</v>
      </c>
      <c r="O1481">
        <v>12</v>
      </c>
    </row>
    <row r="1482" spans="1:15" x14ac:dyDescent="0.25">
      <c r="A1482" t="s">
        <v>46</v>
      </c>
      <c r="B1482" t="s">
        <v>15</v>
      </c>
      <c r="C1482" t="s">
        <v>32</v>
      </c>
      <c r="D1482" t="str">
        <f t="shared" si="139"/>
        <v>FAB2_ 100 Low C Arb</v>
      </c>
      <c r="E1482">
        <v>2025</v>
      </c>
      <c r="F1482">
        <v>27</v>
      </c>
      <c r="G1482">
        <f t="shared" si="140"/>
        <v>7</v>
      </c>
      <c r="H1482" s="1">
        <f t="shared" si="141"/>
        <v>45838</v>
      </c>
      <c r="I1482" s="1">
        <f t="shared" si="142"/>
        <v>45839</v>
      </c>
      <c r="J1482">
        <v>215513.60000000001</v>
      </c>
      <c r="K1482">
        <v>7716</v>
      </c>
      <c r="L1482">
        <f t="shared" si="138"/>
        <v>27.930741316744427</v>
      </c>
      <c r="M1482">
        <v>643</v>
      </c>
      <c r="N1482" s="2">
        <f t="shared" si="143"/>
        <v>335.16889580093311</v>
      </c>
      <c r="O1482">
        <v>12</v>
      </c>
    </row>
    <row r="1483" spans="1:15" x14ac:dyDescent="0.25">
      <c r="A1483" t="s">
        <v>46</v>
      </c>
      <c r="B1483" t="s">
        <v>15</v>
      </c>
      <c r="C1483" t="s">
        <v>32</v>
      </c>
      <c r="D1483" t="str">
        <f t="shared" si="139"/>
        <v>FAB2_ 100 Low C Arb</v>
      </c>
      <c r="E1483">
        <v>2025</v>
      </c>
      <c r="F1483">
        <v>28</v>
      </c>
      <c r="G1483">
        <f t="shared" si="140"/>
        <v>7</v>
      </c>
      <c r="H1483" s="1">
        <f t="shared" si="141"/>
        <v>45845</v>
      </c>
      <c r="I1483" s="1">
        <f t="shared" si="142"/>
        <v>45839</v>
      </c>
      <c r="J1483">
        <v>169474.2</v>
      </c>
      <c r="K1483">
        <v>6072</v>
      </c>
      <c r="L1483">
        <f t="shared" si="138"/>
        <v>27.910770750988146</v>
      </c>
      <c r="M1483">
        <v>506</v>
      </c>
      <c r="N1483" s="2">
        <f t="shared" si="143"/>
        <v>334.92924901185773</v>
      </c>
      <c r="O1483">
        <v>12</v>
      </c>
    </row>
    <row r="1484" spans="1:15" x14ac:dyDescent="0.25">
      <c r="A1484" t="s">
        <v>46</v>
      </c>
      <c r="B1484" t="s">
        <v>15</v>
      </c>
      <c r="C1484" t="s">
        <v>32</v>
      </c>
      <c r="D1484" t="str">
        <f t="shared" si="139"/>
        <v>FAB2_ 100 Low C Arb</v>
      </c>
      <c r="E1484">
        <v>2025</v>
      </c>
      <c r="F1484">
        <v>29</v>
      </c>
      <c r="G1484">
        <f t="shared" si="140"/>
        <v>7</v>
      </c>
      <c r="H1484" s="1">
        <f t="shared" si="141"/>
        <v>45852</v>
      </c>
      <c r="I1484" s="1">
        <f t="shared" si="142"/>
        <v>45839</v>
      </c>
      <c r="J1484">
        <v>198230.69999999998</v>
      </c>
      <c r="K1484">
        <v>7104</v>
      </c>
      <c r="L1484">
        <f t="shared" si="138"/>
        <v>27.90409628378378</v>
      </c>
      <c r="M1484">
        <v>592</v>
      </c>
      <c r="N1484" s="2">
        <f t="shared" si="143"/>
        <v>334.84915540540538</v>
      </c>
      <c r="O1484">
        <v>12</v>
      </c>
    </row>
    <row r="1485" spans="1:15" x14ac:dyDescent="0.25">
      <c r="A1485" t="s">
        <v>46</v>
      </c>
      <c r="B1485" t="s">
        <v>15</v>
      </c>
      <c r="C1485" t="s">
        <v>32</v>
      </c>
      <c r="D1485" t="str">
        <f t="shared" si="139"/>
        <v>FAB2_ 100 Low C Arb</v>
      </c>
      <c r="E1485">
        <v>2025</v>
      </c>
      <c r="F1485">
        <v>30</v>
      </c>
      <c r="G1485">
        <f t="shared" si="140"/>
        <v>7</v>
      </c>
      <c r="H1485" s="1">
        <f t="shared" si="141"/>
        <v>45859</v>
      </c>
      <c r="I1485" s="1">
        <f t="shared" si="142"/>
        <v>45839</v>
      </c>
      <c r="J1485">
        <v>165980.94</v>
      </c>
      <c r="K1485">
        <v>6000</v>
      </c>
      <c r="L1485">
        <f t="shared" si="138"/>
        <v>27.663489999999999</v>
      </c>
      <c r="M1485">
        <v>500</v>
      </c>
      <c r="N1485" s="2">
        <f t="shared" si="143"/>
        <v>331.96188000000001</v>
      </c>
      <c r="O1485">
        <v>12</v>
      </c>
    </row>
    <row r="1486" spans="1:15" x14ac:dyDescent="0.25">
      <c r="A1486" t="s">
        <v>46</v>
      </c>
      <c r="B1486" t="s">
        <v>15</v>
      </c>
      <c r="C1486" t="s">
        <v>32</v>
      </c>
      <c r="D1486" t="str">
        <f t="shared" si="139"/>
        <v>FAB2_ 100 Low C Arb</v>
      </c>
      <c r="E1486">
        <v>2025</v>
      </c>
      <c r="F1486">
        <v>31</v>
      </c>
      <c r="G1486">
        <f t="shared" si="140"/>
        <v>7</v>
      </c>
      <c r="H1486" s="1">
        <f t="shared" si="141"/>
        <v>45866</v>
      </c>
      <c r="I1486" s="1">
        <f t="shared" si="142"/>
        <v>45839</v>
      </c>
      <c r="J1486">
        <v>180150.5</v>
      </c>
      <c r="K1486">
        <v>6456</v>
      </c>
      <c r="L1486">
        <f t="shared" si="138"/>
        <v>27.904352540272615</v>
      </c>
      <c r="M1486">
        <v>538</v>
      </c>
      <c r="N1486" s="2">
        <f t="shared" si="143"/>
        <v>334.8522304832714</v>
      </c>
      <c r="O1486">
        <v>12</v>
      </c>
    </row>
    <row r="1487" spans="1:15" x14ac:dyDescent="0.25">
      <c r="A1487" t="s">
        <v>46</v>
      </c>
      <c r="B1487" t="s">
        <v>15</v>
      </c>
      <c r="C1487" t="s">
        <v>33</v>
      </c>
      <c r="D1487" t="str">
        <f t="shared" si="139"/>
        <v>FAB2_ Des Light Deslactosada Light 1L</v>
      </c>
      <c r="E1487">
        <v>2022</v>
      </c>
      <c r="F1487">
        <v>1</v>
      </c>
      <c r="G1487">
        <f t="shared" si="140"/>
        <v>1</v>
      </c>
      <c r="H1487" s="1">
        <f t="shared" si="141"/>
        <v>44564</v>
      </c>
      <c r="I1487" s="1">
        <f t="shared" si="142"/>
        <v>44562</v>
      </c>
      <c r="J1487">
        <v>185281</v>
      </c>
      <c r="K1487">
        <v>10164</v>
      </c>
      <c r="L1487">
        <f t="shared" si="138"/>
        <v>18.229142070051161</v>
      </c>
      <c r="M1487">
        <v>847</v>
      </c>
      <c r="N1487" s="2">
        <f t="shared" si="143"/>
        <v>218.74970484061393</v>
      </c>
      <c r="O1487">
        <v>12</v>
      </c>
    </row>
    <row r="1488" spans="1:15" x14ac:dyDescent="0.25">
      <c r="A1488" t="s">
        <v>46</v>
      </c>
      <c r="B1488" t="s">
        <v>15</v>
      </c>
      <c r="C1488" t="s">
        <v>33</v>
      </c>
      <c r="D1488" t="str">
        <f t="shared" si="139"/>
        <v>FAB2_ Des Light Deslactosada Light 1L</v>
      </c>
      <c r="E1488">
        <v>2022</v>
      </c>
      <c r="F1488">
        <v>2</v>
      </c>
      <c r="G1488">
        <f t="shared" si="140"/>
        <v>1</v>
      </c>
      <c r="H1488" s="1">
        <f t="shared" si="141"/>
        <v>44571</v>
      </c>
      <c r="I1488" s="1">
        <f t="shared" si="142"/>
        <v>44562</v>
      </c>
      <c r="J1488">
        <v>161734.81999999998</v>
      </c>
      <c r="K1488">
        <v>9300</v>
      </c>
      <c r="L1488">
        <f t="shared" si="138"/>
        <v>17.39084086021505</v>
      </c>
      <c r="M1488">
        <v>775</v>
      </c>
      <c r="N1488" s="2">
        <f t="shared" si="143"/>
        <v>208.69009032258063</v>
      </c>
      <c r="O1488">
        <v>12</v>
      </c>
    </row>
    <row r="1489" spans="1:15" x14ac:dyDescent="0.25">
      <c r="A1489" t="s">
        <v>46</v>
      </c>
      <c r="B1489" t="s">
        <v>15</v>
      </c>
      <c r="C1489" t="s">
        <v>33</v>
      </c>
      <c r="D1489" t="str">
        <f t="shared" si="139"/>
        <v>FAB2_ Des Light Deslactosada Light 1L</v>
      </c>
      <c r="E1489">
        <v>2022</v>
      </c>
      <c r="F1489">
        <v>3</v>
      </c>
      <c r="G1489">
        <f t="shared" si="140"/>
        <v>1</v>
      </c>
      <c r="H1489" s="1">
        <f t="shared" si="141"/>
        <v>44578</v>
      </c>
      <c r="I1489" s="1">
        <f t="shared" si="142"/>
        <v>44562</v>
      </c>
      <c r="J1489">
        <v>168639.68</v>
      </c>
      <c r="K1489">
        <v>9660</v>
      </c>
      <c r="L1489">
        <f t="shared" si="138"/>
        <v>17.45752380952381</v>
      </c>
      <c r="M1489">
        <v>805</v>
      </c>
      <c r="N1489" s="2">
        <f t="shared" si="143"/>
        <v>209.4902857142857</v>
      </c>
      <c r="O1489">
        <v>12</v>
      </c>
    </row>
    <row r="1490" spans="1:15" x14ac:dyDescent="0.25">
      <c r="A1490" t="s">
        <v>46</v>
      </c>
      <c r="B1490" t="s">
        <v>15</v>
      </c>
      <c r="C1490" t="s">
        <v>33</v>
      </c>
      <c r="D1490" t="str">
        <f t="shared" si="139"/>
        <v>FAB2_ Des Light Deslactosada Light 1L</v>
      </c>
      <c r="E1490">
        <v>2022</v>
      </c>
      <c r="F1490">
        <v>4</v>
      </c>
      <c r="G1490">
        <f t="shared" si="140"/>
        <v>1</v>
      </c>
      <c r="H1490" s="1">
        <f t="shared" si="141"/>
        <v>44585</v>
      </c>
      <c r="I1490" s="1">
        <f t="shared" si="142"/>
        <v>44562</v>
      </c>
      <c r="J1490">
        <v>191114.49</v>
      </c>
      <c r="K1490">
        <v>10920</v>
      </c>
      <c r="L1490">
        <f t="shared" si="138"/>
        <v>17.501326923076924</v>
      </c>
      <c r="M1490">
        <v>910</v>
      </c>
      <c r="N1490" s="2">
        <f t="shared" si="143"/>
        <v>210.01592307692306</v>
      </c>
      <c r="O1490">
        <v>12</v>
      </c>
    </row>
    <row r="1491" spans="1:15" x14ac:dyDescent="0.25">
      <c r="A1491" t="s">
        <v>46</v>
      </c>
      <c r="B1491" t="s">
        <v>15</v>
      </c>
      <c r="C1491" t="s">
        <v>33</v>
      </c>
      <c r="D1491" t="str">
        <f t="shared" si="139"/>
        <v>FAB2_ Des Light Deslactosada Light 1L</v>
      </c>
      <c r="E1491">
        <v>2022</v>
      </c>
      <c r="F1491">
        <v>5</v>
      </c>
      <c r="G1491">
        <f t="shared" si="140"/>
        <v>2</v>
      </c>
      <c r="H1491" s="1">
        <f t="shared" si="141"/>
        <v>44592</v>
      </c>
      <c r="I1491" s="1">
        <f t="shared" si="142"/>
        <v>44593</v>
      </c>
      <c r="J1491">
        <v>225134.49</v>
      </c>
      <c r="K1491">
        <v>12864</v>
      </c>
      <c r="L1491">
        <f t="shared" si="138"/>
        <v>17.501126399253732</v>
      </c>
      <c r="M1491">
        <v>1072</v>
      </c>
      <c r="N1491" s="2">
        <f t="shared" si="143"/>
        <v>210.01351679104476</v>
      </c>
      <c r="O1491">
        <v>12</v>
      </c>
    </row>
    <row r="1492" spans="1:15" x14ac:dyDescent="0.25">
      <c r="A1492" t="s">
        <v>46</v>
      </c>
      <c r="B1492" t="s">
        <v>15</v>
      </c>
      <c r="C1492" t="s">
        <v>33</v>
      </c>
      <c r="D1492" t="str">
        <f t="shared" si="139"/>
        <v>FAB2_ Des Light Deslactosada Light 1L</v>
      </c>
      <c r="E1492">
        <v>2022</v>
      </c>
      <c r="F1492">
        <v>6</v>
      </c>
      <c r="G1492">
        <f t="shared" si="140"/>
        <v>2</v>
      </c>
      <c r="H1492" s="1">
        <f t="shared" si="141"/>
        <v>44599</v>
      </c>
      <c r="I1492" s="1">
        <f t="shared" si="142"/>
        <v>44593</v>
      </c>
      <c r="J1492">
        <v>219676.37999999998</v>
      </c>
      <c r="K1492">
        <v>12576</v>
      </c>
      <c r="L1492">
        <f t="shared" si="138"/>
        <v>17.467905534351143</v>
      </c>
      <c r="M1492">
        <v>1048</v>
      </c>
      <c r="N1492" s="2">
        <f t="shared" si="143"/>
        <v>209.61486641221373</v>
      </c>
      <c r="O1492">
        <v>12</v>
      </c>
    </row>
    <row r="1493" spans="1:15" x14ac:dyDescent="0.25">
      <c r="A1493" t="s">
        <v>46</v>
      </c>
      <c r="B1493" t="s">
        <v>15</v>
      </c>
      <c r="C1493" t="s">
        <v>33</v>
      </c>
      <c r="D1493" t="str">
        <f t="shared" si="139"/>
        <v>FAB2_ Des Light Deslactosada Light 1L</v>
      </c>
      <c r="E1493">
        <v>2022</v>
      </c>
      <c r="F1493">
        <v>7</v>
      </c>
      <c r="G1493">
        <f t="shared" si="140"/>
        <v>2</v>
      </c>
      <c r="H1493" s="1">
        <f t="shared" si="141"/>
        <v>44606</v>
      </c>
      <c r="I1493" s="1">
        <f t="shared" si="142"/>
        <v>44593</v>
      </c>
      <c r="J1493">
        <v>393376.88999999996</v>
      </c>
      <c r="K1493">
        <v>22476</v>
      </c>
      <c r="L1493">
        <f t="shared" si="138"/>
        <v>17.502086225306993</v>
      </c>
      <c r="M1493">
        <v>1873</v>
      </c>
      <c r="N1493" s="2">
        <f t="shared" si="143"/>
        <v>210.0250347036839</v>
      </c>
      <c r="O1493">
        <v>12</v>
      </c>
    </row>
    <row r="1494" spans="1:15" x14ac:dyDescent="0.25">
      <c r="A1494" t="s">
        <v>46</v>
      </c>
      <c r="B1494" t="s">
        <v>15</v>
      </c>
      <c r="C1494" t="s">
        <v>33</v>
      </c>
      <c r="D1494" t="str">
        <f t="shared" si="139"/>
        <v>FAB2_ Des Light Deslactosada Light 1L</v>
      </c>
      <c r="E1494">
        <v>2022</v>
      </c>
      <c r="F1494">
        <v>8</v>
      </c>
      <c r="G1494">
        <f t="shared" si="140"/>
        <v>2</v>
      </c>
      <c r="H1494" s="1">
        <f t="shared" si="141"/>
        <v>44613</v>
      </c>
      <c r="I1494" s="1">
        <f t="shared" si="142"/>
        <v>44593</v>
      </c>
      <c r="J1494">
        <v>261943.4</v>
      </c>
      <c r="K1494">
        <v>15108</v>
      </c>
      <c r="L1494">
        <f t="shared" si="138"/>
        <v>17.338059306327771</v>
      </c>
      <c r="M1494">
        <v>1259</v>
      </c>
      <c r="N1494" s="2">
        <f t="shared" si="143"/>
        <v>208.05671167593329</v>
      </c>
      <c r="O1494">
        <v>12</v>
      </c>
    </row>
    <row r="1495" spans="1:15" x14ac:dyDescent="0.25">
      <c r="A1495" t="s">
        <v>46</v>
      </c>
      <c r="B1495" t="s">
        <v>15</v>
      </c>
      <c r="C1495" t="s">
        <v>33</v>
      </c>
      <c r="D1495" t="str">
        <f t="shared" si="139"/>
        <v>FAB2_ Des Light Deslactosada Light 1L</v>
      </c>
      <c r="E1495">
        <v>2022</v>
      </c>
      <c r="F1495">
        <v>9</v>
      </c>
      <c r="G1495">
        <f t="shared" si="140"/>
        <v>3</v>
      </c>
      <c r="H1495" s="1">
        <f t="shared" si="141"/>
        <v>44620</v>
      </c>
      <c r="I1495" s="1">
        <f t="shared" si="142"/>
        <v>44621</v>
      </c>
      <c r="J1495">
        <v>365099.0500000001</v>
      </c>
      <c r="K1495">
        <v>21420</v>
      </c>
      <c r="L1495">
        <f t="shared" si="138"/>
        <v>17.044773576097111</v>
      </c>
      <c r="M1495">
        <v>1785</v>
      </c>
      <c r="N1495" s="2">
        <f t="shared" si="143"/>
        <v>204.53728291316531</v>
      </c>
      <c r="O1495">
        <v>12</v>
      </c>
    </row>
    <row r="1496" spans="1:15" x14ac:dyDescent="0.25">
      <c r="A1496" t="s">
        <v>46</v>
      </c>
      <c r="B1496" t="s">
        <v>15</v>
      </c>
      <c r="C1496" t="s">
        <v>33</v>
      </c>
      <c r="D1496" t="str">
        <f t="shared" si="139"/>
        <v>FAB2_ Des Light Deslactosada Light 1L</v>
      </c>
      <c r="E1496">
        <v>2022</v>
      </c>
      <c r="F1496">
        <v>10</v>
      </c>
      <c r="G1496">
        <f t="shared" si="140"/>
        <v>3</v>
      </c>
      <c r="H1496" s="1">
        <f t="shared" si="141"/>
        <v>44627</v>
      </c>
      <c r="I1496" s="1">
        <f t="shared" si="142"/>
        <v>44621</v>
      </c>
      <c r="J1496">
        <v>239130.22999999992</v>
      </c>
      <c r="K1496">
        <v>13884</v>
      </c>
      <c r="L1496">
        <f t="shared" si="138"/>
        <v>17.223439210602127</v>
      </c>
      <c r="M1496">
        <v>1157</v>
      </c>
      <c r="N1496" s="2">
        <f t="shared" si="143"/>
        <v>206.68127052722551</v>
      </c>
      <c r="O1496">
        <v>12</v>
      </c>
    </row>
    <row r="1497" spans="1:15" x14ac:dyDescent="0.25">
      <c r="A1497" t="s">
        <v>46</v>
      </c>
      <c r="B1497" t="s">
        <v>15</v>
      </c>
      <c r="C1497" t="s">
        <v>33</v>
      </c>
      <c r="D1497" t="str">
        <f t="shared" si="139"/>
        <v>FAB2_ Des Light Deslactosada Light 1L</v>
      </c>
      <c r="E1497">
        <v>2022</v>
      </c>
      <c r="F1497">
        <v>11</v>
      </c>
      <c r="G1497">
        <f t="shared" si="140"/>
        <v>3</v>
      </c>
      <c r="H1497" s="1">
        <f t="shared" si="141"/>
        <v>44634</v>
      </c>
      <c r="I1497" s="1">
        <f t="shared" si="142"/>
        <v>44621</v>
      </c>
      <c r="J1497">
        <v>283641.29999999993</v>
      </c>
      <c r="K1497">
        <v>16284</v>
      </c>
      <c r="L1497">
        <f t="shared" si="138"/>
        <v>17.418404568901984</v>
      </c>
      <c r="M1497">
        <v>1357</v>
      </c>
      <c r="N1497" s="2">
        <f t="shared" si="143"/>
        <v>209.02085482682384</v>
      </c>
      <c r="O1497">
        <v>12</v>
      </c>
    </row>
    <row r="1498" spans="1:15" x14ac:dyDescent="0.25">
      <c r="A1498" t="s">
        <v>46</v>
      </c>
      <c r="B1498" t="s">
        <v>15</v>
      </c>
      <c r="C1498" t="s">
        <v>33</v>
      </c>
      <c r="D1498" t="str">
        <f t="shared" si="139"/>
        <v>FAB2_ Des Light Deslactosada Light 1L</v>
      </c>
      <c r="E1498">
        <v>2022</v>
      </c>
      <c r="F1498">
        <v>12</v>
      </c>
      <c r="G1498">
        <f t="shared" si="140"/>
        <v>3</v>
      </c>
      <c r="H1498" s="1">
        <f t="shared" si="141"/>
        <v>44641</v>
      </c>
      <c r="I1498" s="1">
        <f t="shared" si="142"/>
        <v>44621</v>
      </c>
      <c r="J1498">
        <v>264524.06999999995</v>
      </c>
      <c r="K1498">
        <v>15048</v>
      </c>
      <c r="L1498">
        <f t="shared" si="138"/>
        <v>17.578686204146727</v>
      </c>
      <c r="M1498">
        <v>1254</v>
      </c>
      <c r="N1498" s="2">
        <f t="shared" si="143"/>
        <v>210.94423444976073</v>
      </c>
      <c r="O1498">
        <v>12</v>
      </c>
    </row>
    <row r="1499" spans="1:15" x14ac:dyDescent="0.25">
      <c r="A1499" t="s">
        <v>46</v>
      </c>
      <c r="B1499" t="s">
        <v>15</v>
      </c>
      <c r="C1499" t="s">
        <v>33</v>
      </c>
      <c r="D1499" t="str">
        <f t="shared" si="139"/>
        <v>FAB2_ Des Light Deslactosada Light 1L</v>
      </c>
      <c r="E1499">
        <v>2022</v>
      </c>
      <c r="F1499">
        <v>13</v>
      </c>
      <c r="G1499">
        <f t="shared" si="140"/>
        <v>3</v>
      </c>
      <c r="H1499" s="1">
        <f t="shared" si="141"/>
        <v>44648</v>
      </c>
      <c r="I1499" s="1">
        <f t="shared" si="142"/>
        <v>44621</v>
      </c>
      <c r="J1499">
        <v>258449.56999999992</v>
      </c>
      <c r="K1499">
        <v>14616</v>
      </c>
      <c r="L1499">
        <f t="shared" si="138"/>
        <v>17.682647099069506</v>
      </c>
      <c r="M1499">
        <v>1218</v>
      </c>
      <c r="N1499" s="2">
        <f t="shared" si="143"/>
        <v>212.1917651888341</v>
      </c>
      <c r="O1499">
        <v>12</v>
      </c>
    </row>
    <row r="1500" spans="1:15" x14ac:dyDescent="0.25">
      <c r="A1500" t="s">
        <v>46</v>
      </c>
      <c r="B1500" t="s">
        <v>15</v>
      </c>
      <c r="C1500" t="s">
        <v>33</v>
      </c>
      <c r="D1500" t="str">
        <f t="shared" si="139"/>
        <v>FAB2_ Des Light Deslactosada Light 1L</v>
      </c>
      <c r="E1500">
        <v>2022</v>
      </c>
      <c r="F1500">
        <v>14</v>
      </c>
      <c r="G1500">
        <f t="shared" si="140"/>
        <v>4</v>
      </c>
      <c r="H1500" s="1">
        <f t="shared" si="141"/>
        <v>44655</v>
      </c>
      <c r="I1500" s="1">
        <f t="shared" si="142"/>
        <v>44652</v>
      </c>
      <c r="J1500">
        <v>241969.05</v>
      </c>
      <c r="K1500">
        <v>13320</v>
      </c>
      <c r="L1500">
        <f t="shared" si="138"/>
        <v>18.165844594594592</v>
      </c>
      <c r="M1500">
        <v>1110</v>
      </c>
      <c r="N1500" s="2">
        <f t="shared" si="143"/>
        <v>217.99013513513512</v>
      </c>
      <c r="O1500">
        <v>12</v>
      </c>
    </row>
    <row r="1501" spans="1:15" x14ac:dyDescent="0.25">
      <c r="A1501" t="s">
        <v>46</v>
      </c>
      <c r="B1501" t="s">
        <v>15</v>
      </c>
      <c r="C1501" t="s">
        <v>33</v>
      </c>
      <c r="D1501" t="str">
        <f t="shared" si="139"/>
        <v>FAB2_ Des Light Deslactosada Light 1L</v>
      </c>
      <c r="E1501">
        <v>2022</v>
      </c>
      <c r="F1501">
        <v>15</v>
      </c>
      <c r="G1501">
        <f t="shared" si="140"/>
        <v>4</v>
      </c>
      <c r="H1501" s="1">
        <f t="shared" si="141"/>
        <v>44662</v>
      </c>
      <c r="I1501" s="1">
        <f t="shared" si="142"/>
        <v>44652</v>
      </c>
      <c r="J1501">
        <v>231273.97999999998</v>
      </c>
      <c r="K1501">
        <v>13056</v>
      </c>
      <c r="L1501">
        <f t="shared" si="138"/>
        <v>17.71399969362745</v>
      </c>
      <c r="M1501">
        <v>1088</v>
      </c>
      <c r="N1501" s="2">
        <f t="shared" si="143"/>
        <v>212.5679963235294</v>
      </c>
      <c r="O1501">
        <v>12</v>
      </c>
    </row>
    <row r="1502" spans="1:15" x14ac:dyDescent="0.25">
      <c r="A1502" t="s">
        <v>46</v>
      </c>
      <c r="B1502" t="s">
        <v>15</v>
      </c>
      <c r="C1502" t="s">
        <v>33</v>
      </c>
      <c r="D1502" t="str">
        <f t="shared" si="139"/>
        <v>FAB2_ Des Light Deslactosada Light 1L</v>
      </c>
      <c r="E1502">
        <v>2022</v>
      </c>
      <c r="F1502">
        <v>16</v>
      </c>
      <c r="G1502">
        <f t="shared" si="140"/>
        <v>4</v>
      </c>
      <c r="H1502" s="1">
        <f t="shared" si="141"/>
        <v>44669</v>
      </c>
      <c r="I1502" s="1">
        <f t="shared" si="142"/>
        <v>44652</v>
      </c>
      <c r="J1502">
        <v>277244.85000000009</v>
      </c>
      <c r="K1502">
        <v>15408</v>
      </c>
      <c r="L1502">
        <f t="shared" si="138"/>
        <v>17.993565031152652</v>
      </c>
      <c r="M1502">
        <v>1284</v>
      </c>
      <c r="N1502" s="2">
        <f t="shared" si="143"/>
        <v>215.92278037383184</v>
      </c>
      <c r="O1502">
        <v>12</v>
      </c>
    </row>
    <row r="1503" spans="1:15" x14ac:dyDescent="0.25">
      <c r="A1503" t="s">
        <v>46</v>
      </c>
      <c r="B1503" t="s">
        <v>15</v>
      </c>
      <c r="C1503" t="s">
        <v>33</v>
      </c>
      <c r="D1503" t="str">
        <f t="shared" si="139"/>
        <v>FAB2_ Des Light Deslactosada Light 1L</v>
      </c>
      <c r="E1503">
        <v>2022</v>
      </c>
      <c r="F1503">
        <v>17</v>
      </c>
      <c r="G1503">
        <f t="shared" si="140"/>
        <v>4</v>
      </c>
      <c r="H1503" s="1">
        <f t="shared" si="141"/>
        <v>44676</v>
      </c>
      <c r="I1503" s="1">
        <f t="shared" si="142"/>
        <v>44652</v>
      </c>
      <c r="J1503">
        <v>354933.02000000008</v>
      </c>
      <c r="K1503">
        <v>20868</v>
      </c>
      <c r="L1503">
        <f t="shared" si="138"/>
        <v>17.008482844546677</v>
      </c>
      <c r="M1503">
        <v>1739</v>
      </c>
      <c r="N1503" s="2">
        <f t="shared" si="143"/>
        <v>204.10179413456012</v>
      </c>
      <c r="O1503">
        <v>12</v>
      </c>
    </row>
    <row r="1504" spans="1:15" x14ac:dyDescent="0.25">
      <c r="A1504" t="s">
        <v>46</v>
      </c>
      <c r="B1504" t="s">
        <v>15</v>
      </c>
      <c r="C1504" t="s">
        <v>33</v>
      </c>
      <c r="D1504" t="str">
        <f t="shared" si="139"/>
        <v>FAB2_ Des Light Deslactosada Light 1L</v>
      </c>
      <c r="E1504">
        <v>2022</v>
      </c>
      <c r="F1504">
        <v>18</v>
      </c>
      <c r="G1504">
        <f t="shared" si="140"/>
        <v>5</v>
      </c>
      <c r="H1504" s="1">
        <f t="shared" si="141"/>
        <v>44683</v>
      </c>
      <c r="I1504" s="1">
        <f t="shared" si="142"/>
        <v>44682</v>
      </c>
      <c r="J1504">
        <v>328311.95</v>
      </c>
      <c r="K1504">
        <v>18516</v>
      </c>
      <c r="L1504">
        <f t="shared" ref="L1504:L1567" si="144">J1504/(M1504*O1504)</f>
        <v>17.731256750918124</v>
      </c>
      <c r="M1504">
        <v>1543</v>
      </c>
      <c r="N1504" s="2">
        <f t="shared" si="143"/>
        <v>212.77508101101751</v>
      </c>
      <c r="O1504">
        <v>12</v>
      </c>
    </row>
    <row r="1505" spans="1:15" x14ac:dyDescent="0.25">
      <c r="A1505" t="s">
        <v>46</v>
      </c>
      <c r="B1505" t="s">
        <v>15</v>
      </c>
      <c r="C1505" t="s">
        <v>33</v>
      </c>
      <c r="D1505" t="str">
        <f t="shared" si="139"/>
        <v>FAB2_ Des Light Deslactosada Light 1L</v>
      </c>
      <c r="E1505">
        <v>2022</v>
      </c>
      <c r="F1505">
        <v>19</v>
      </c>
      <c r="G1505">
        <f t="shared" si="140"/>
        <v>5</v>
      </c>
      <c r="H1505" s="1">
        <f t="shared" si="141"/>
        <v>44690</v>
      </c>
      <c r="I1505" s="1">
        <f t="shared" si="142"/>
        <v>44682</v>
      </c>
      <c r="J1505">
        <v>237315.30000000005</v>
      </c>
      <c r="K1505">
        <v>12984</v>
      </c>
      <c r="L1505">
        <f t="shared" si="144"/>
        <v>18.277518484288358</v>
      </c>
      <c r="M1505">
        <v>1082</v>
      </c>
      <c r="N1505" s="2">
        <f t="shared" si="143"/>
        <v>219.33022181146029</v>
      </c>
      <c r="O1505">
        <v>12</v>
      </c>
    </row>
    <row r="1506" spans="1:15" x14ac:dyDescent="0.25">
      <c r="A1506" t="s">
        <v>46</v>
      </c>
      <c r="B1506" t="s">
        <v>15</v>
      </c>
      <c r="C1506" t="s">
        <v>33</v>
      </c>
      <c r="D1506" t="str">
        <f t="shared" si="139"/>
        <v>FAB2_ Des Light Deslactosada Light 1L</v>
      </c>
      <c r="E1506">
        <v>2022</v>
      </c>
      <c r="F1506">
        <v>20</v>
      </c>
      <c r="G1506">
        <f t="shared" si="140"/>
        <v>5</v>
      </c>
      <c r="H1506" s="1">
        <f t="shared" si="141"/>
        <v>44697</v>
      </c>
      <c r="I1506" s="1">
        <f t="shared" si="142"/>
        <v>44682</v>
      </c>
      <c r="J1506">
        <v>288231.72000000009</v>
      </c>
      <c r="K1506">
        <v>16044</v>
      </c>
      <c r="L1506">
        <f t="shared" si="144"/>
        <v>17.96507853403142</v>
      </c>
      <c r="M1506">
        <v>1337</v>
      </c>
      <c r="N1506" s="2">
        <f t="shared" si="143"/>
        <v>215.58094240837704</v>
      </c>
      <c r="O1506">
        <v>12</v>
      </c>
    </row>
    <row r="1507" spans="1:15" x14ac:dyDescent="0.25">
      <c r="A1507" t="s">
        <v>46</v>
      </c>
      <c r="B1507" t="s">
        <v>15</v>
      </c>
      <c r="C1507" t="s">
        <v>33</v>
      </c>
      <c r="D1507" t="str">
        <f t="shared" si="139"/>
        <v>FAB2_ Des Light Deslactosada Light 1L</v>
      </c>
      <c r="E1507">
        <v>2022</v>
      </c>
      <c r="F1507">
        <v>21</v>
      </c>
      <c r="G1507">
        <f t="shared" si="140"/>
        <v>5</v>
      </c>
      <c r="H1507" s="1">
        <f t="shared" si="141"/>
        <v>44704</v>
      </c>
      <c r="I1507" s="1">
        <f t="shared" si="142"/>
        <v>44682</v>
      </c>
      <c r="J1507">
        <v>240589.52</v>
      </c>
      <c r="K1507">
        <v>13392</v>
      </c>
      <c r="L1507">
        <f t="shared" si="144"/>
        <v>17.965167264038232</v>
      </c>
      <c r="M1507">
        <v>1116</v>
      </c>
      <c r="N1507" s="2">
        <f t="shared" si="143"/>
        <v>215.58200716845877</v>
      </c>
      <c r="O1507">
        <v>12</v>
      </c>
    </row>
    <row r="1508" spans="1:15" x14ac:dyDescent="0.25">
      <c r="A1508" t="s">
        <v>46</v>
      </c>
      <c r="B1508" t="s">
        <v>15</v>
      </c>
      <c r="C1508" t="s">
        <v>33</v>
      </c>
      <c r="D1508" t="str">
        <f t="shared" si="139"/>
        <v>FAB2_ Des Light Deslactosada Light 1L</v>
      </c>
      <c r="E1508">
        <v>2022</v>
      </c>
      <c r="F1508">
        <v>22</v>
      </c>
      <c r="G1508">
        <f t="shared" si="140"/>
        <v>6</v>
      </c>
      <c r="H1508" s="1">
        <f t="shared" si="141"/>
        <v>44711</v>
      </c>
      <c r="I1508" s="1">
        <f t="shared" si="142"/>
        <v>44713</v>
      </c>
      <c r="J1508">
        <v>328799.91000000003</v>
      </c>
      <c r="K1508">
        <v>18672</v>
      </c>
      <c r="L1508">
        <f t="shared" si="144"/>
        <v>17.60924967866324</v>
      </c>
      <c r="M1508">
        <v>1556</v>
      </c>
      <c r="N1508" s="2">
        <f t="shared" si="143"/>
        <v>211.3109961439589</v>
      </c>
      <c r="O1508">
        <v>12</v>
      </c>
    </row>
    <row r="1509" spans="1:15" x14ac:dyDescent="0.25">
      <c r="A1509" t="s">
        <v>46</v>
      </c>
      <c r="B1509" t="s">
        <v>15</v>
      </c>
      <c r="C1509" t="s">
        <v>33</v>
      </c>
      <c r="D1509" t="str">
        <f t="shared" si="139"/>
        <v>FAB2_ Des Light Deslactosada Light 1L</v>
      </c>
      <c r="E1509">
        <v>2022</v>
      </c>
      <c r="F1509">
        <v>23</v>
      </c>
      <c r="G1509">
        <f t="shared" si="140"/>
        <v>6</v>
      </c>
      <c r="H1509" s="1">
        <f t="shared" si="141"/>
        <v>44718</v>
      </c>
      <c r="I1509" s="1">
        <f t="shared" si="142"/>
        <v>44713</v>
      </c>
      <c r="J1509">
        <v>306529.49000000005</v>
      </c>
      <c r="K1509">
        <v>18300</v>
      </c>
      <c r="L1509">
        <f t="shared" si="144"/>
        <v>16.750245355191261</v>
      </c>
      <c r="M1509">
        <v>1525</v>
      </c>
      <c r="N1509" s="2">
        <f t="shared" si="143"/>
        <v>201.0029442622951</v>
      </c>
      <c r="O1509">
        <v>12</v>
      </c>
    </row>
    <row r="1510" spans="1:15" x14ac:dyDescent="0.25">
      <c r="A1510" t="s">
        <v>46</v>
      </c>
      <c r="B1510" t="s">
        <v>15</v>
      </c>
      <c r="C1510" t="s">
        <v>33</v>
      </c>
      <c r="D1510" t="str">
        <f t="shared" si="139"/>
        <v>FAB2_ Des Light Deslactosada Light 1L</v>
      </c>
      <c r="E1510">
        <v>2022</v>
      </c>
      <c r="F1510">
        <v>24</v>
      </c>
      <c r="G1510">
        <f t="shared" si="140"/>
        <v>6</v>
      </c>
      <c r="H1510" s="1">
        <f t="shared" si="141"/>
        <v>44725</v>
      </c>
      <c r="I1510" s="1">
        <f t="shared" si="142"/>
        <v>44713</v>
      </c>
      <c r="J1510">
        <v>329138.15999999997</v>
      </c>
      <c r="K1510">
        <v>19596</v>
      </c>
      <c r="L1510">
        <f t="shared" si="144"/>
        <v>16.796191059399877</v>
      </c>
      <c r="M1510">
        <v>1633</v>
      </c>
      <c r="N1510" s="2">
        <f t="shared" si="143"/>
        <v>201.55429271279851</v>
      </c>
      <c r="O1510">
        <v>12</v>
      </c>
    </row>
    <row r="1511" spans="1:15" x14ac:dyDescent="0.25">
      <c r="A1511" t="s">
        <v>46</v>
      </c>
      <c r="B1511" t="s">
        <v>15</v>
      </c>
      <c r="C1511" t="s">
        <v>33</v>
      </c>
      <c r="D1511" t="str">
        <f t="shared" si="139"/>
        <v>FAB2_ Des Light Deslactosada Light 1L</v>
      </c>
      <c r="E1511">
        <v>2022</v>
      </c>
      <c r="F1511">
        <v>25</v>
      </c>
      <c r="G1511">
        <f t="shared" si="140"/>
        <v>6</v>
      </c>
      <c r="H1511" s="1">
        <f t="shared" si="141"/>
        <v>44732</v>
      </c>
      <c r="I1511" s="1">
        <f t="shared" si="142"/>
        <v>44713</v>
      </c>
      <c r="J1511">
        <v>299379.14000000007</v>
      </c>
      <c r="K1511">
        <v>17784</v>
      </c>
      <c r="L1511">
        <f t="shared" si="144"/>
        <v>16.834184660368877</v>
      </c>
      <c r="M1511">
        <v>1482</v>
      </c>
      <c r="N1511" s="2">
        <f t="shared" si="143"/>
        <v>202.01021592442649</v>
      </c>
      <c r="O1511">
        <v>12</v>
      </c>
    </row>
    <row r="1512" spans="1:15" x14ac:dyDescent="0.25">
      <c r="A1512" t="s">
        <v>46</v>
      </c>
      <c r="B1512" t="s">
        <v>15</v>
      </c>
      <c r="C1512" t="s">
        <v>33</v>
      </c>
      <c r="D1512" t="str">
        <f t="shared" si="139"/>
        <v>FAB2_ Des Light Deslactosada Light 1L</v>
      </c>
      <c r="E1512">
        <v>2022</v>
      </c>
      <c r="F1512">
        <v>26</v>
      </c>
      <c r="G1512">
        <f t="shared" si="140"/>
        <v>6</v>
      </c>
      <c r="H1512" s="1">
        <f t="shared" si="141"/>
        <v>44739</v>
      </c>
      <c r="I1512" s="1">
        <f t="shared" si="142"/>
        <v>44713</v>
      </c>
      <c r="J1512">
        <v>306330.57999999996</v>
      </c>
      <c r="K1512">
        <v>18252</v>
      </c>
      <c r="L1512">
        <f t="shared" si="144"/>
        <v>16.783397983782596</v>
      </c>
      <c r="M1512">
        <v>1521</v>
      </c>
      <c r="N1512" s="2">
        <f t="shared" si="143"/>
        <v>201.40077580539116</v>
      </c>
      <c r="O1512">
        <v>12</v>
      </c>
    </row>
    <row r="1513" spans="1:15" x14ac:dyDescent="0.25">
      <c r="A1513" t="s">
        <v>46</v>
      </c>
      <c r="B1513" t="s">
        <v>15</v>
      </c>
      <c r="C1513" t="s">
        <v>33</v>
      </c>
      <c r="D1513" t="str">
        <f t="shared" si="139"/>
        <v>FAB2_ Des Light Deslactosada Light 1L</v>
      </c>
      <c r="E1513">
        <v>2022</v>
      </c>
      <c r="F1513">
        <v>27</v>
      </c>
      <c r="G1513">
        <f t="shared" si="140"/>
        <v>7</v>
      </c>
      <c r="H1513" s="1">
        <f t="shared" si="141"/>
        <v>44746</v>
      </c>
      <c r="I1513" s="1">
        <f t="shared" si="142"/>
        <v>44743</v>
      </c>
      <c r="J1513">
        <v>364595.14999999997</v>
      </c>
      <c r="K1513">
        <v>21996</v>
      </c>
      <c r="L1513">
        <f t="shared" si="144"/>
        <v>16.57552054919076</v>
      </c>
      <c r="M1513">
        <v>1833</v>
      </c>
      <c r="N1513" s="2">
        <f t="shared" si="143"/>
        <v>198.90624659028913</v>
      </c>
      <c r="O1513">
        <v>12</v>
      </c>
    </row>
    <row r="1514" spans="1:15" x14ac:dyDescent="0.25">
      <c r="A1514" t="s">
        <v>46</v>
      </c>
      <c r="B1514" t="s">
        <v>15</v>
      </c>
      <c r="C1514" t="s">
        <v>33</v>
      </c>
      <c r="D1514" t="str">
        <f t="shared" si="139"/>
        <v>FAB2_ Des Light Deslactosada Light 1L</v>
      </c>
      <c r="E1514">
        <v>2022</v>
      </c>
      <c r="F1514">
        <v>28</v>
      </c>
      <c r="G1514">
        <f t="shared" si="140"/>
        <v>7</v>
      </c>
      <c r="H1514" s="1">
        <f t="shared" si="141"/>
        <v>44753</v>
      </c>
      <c r="I1514" s="1">
        <f t="shared" si="142"/>
        <v>44743</v>
      </c>
      <c r="J1514">
        <v>273989.03999999998</v>
      </c>
      <c r="K1514">
        <v>16332</v>
      </c>
      <c r="L1514">
        <f t="shared" si="144"/>
        <v>16.776208670095517</v>
      </c>
      <c r="M1514">
        <v>1361</v>
      </c>
      <c r="N1514" s="2">
        <f t="shared" si="143"/>
        <v>201.31450404114619</v>
      </c>
      <c r="O1514">
        <v>12</v>
      </c>
    </row>
    <row r="1515" spans="1:15" x14ac:dyDescent="0.25">
      <c r="A1515" t="s">
        <v>46</v>
      </c>
      <c r="B1515" t="s">
        <v>15</v>
      </c>
      <c r="C1515" t="s">
        <v>33</v>
      </c>
      <c r="D1515" t="str">
        <f t="shared" si="139"/>
        <v>FAB2_ Des Light Deslactosada Light 1L</v>
      </c>
      <c r="E1515">
        <v>2022</v>
      </c>
      <c r="F1515">
        <v>29</v>
      </c>
      <c r="G1515">
        <f t="shared" si="140"/>
        <v>7</v>
      </c>
      <c r="H1515" s="1">
        <f t="shared" si="141"/>
        <v>44760</v>
      </c>
      <c r="I1515" s="1">
        <f t="shared" si="142"/>
        <v>44743</v>
      </c>
      <c r="J1515">
        <v>257924.21000000008</v>
      </c>
      <c r="K1515">
        <v>14364</v>
      </c>
      <c r="L1515">
        <f t="shared" si="144"/>
        <v>17.956294207741582</v>
      </c>
      <c r="M1515">
        <v>1197</v>
      </c>
      <c r="N1515" s="2">
        <f t="shared" si="143"/>
        <v>215.47553049289897</v>
      </c>
      <c r="O1515">
        <v>12</v>
      </c>
    </row>
    <row r="1516" spans="1:15" x14ac:dyDescent="0.25">
      <c r="A1516" t="s">
        <v>46</v>
      </c>
      <c r="B1516" t="s">
        <v>15</v>
      </c>
      <c r="C1516" t="s">
        <v>33</v>
      </c>
      <c r="D1516" t="str">
        <f t="shared" si="139"/>
        <v>FAB2_ Des Light Deslactosada Light 1L</v>
      </c>
      <c r="E1516">
        <v>2022</v>
      </c>
      <c r="F1516">
        <v>30</v>
      </c>
      <c r="G1516">
        <f t="shared" si="140"/>
        <v>7</v>
      </c>
      <c r="H1516" s="1">
        <f t="shared" si="141"/>
        <v>44767</v>
      </c>
      <c r="I1516" s="1">
        <f t="shared" si="142"/>
        <v>44743</v>
      </c>
      <c r="J1516">
        <v>243547.44000000003</v>
      </c>
      <c r="K1516">
        <v>13560</v>
      </c>
      <c r="L1516">
        <f t="shared" si="144"/>
        <v>17.960725663716815</v>
      </c>
      <c r="M1516">
        <v>1130</v>
      </c>
      <c r="N1516" s="2">
        <f t="shared" si="143"/>
        <v>215.52870796460181</v>
      </c>
      <c r="O1516">
        <v>12</v>
      </c>
    </row>
    <row r="1517" spans="1:15" x14ac:dyDescent="0.25">
      <c r="A1517" t="s">
        <v>46</v>
      </c>
      <c r="B1517" t="s">
        <v>15</v>
      </c>
      <c r="C1517" t="s">
        <v>33</v>
      </c>
      <c r="D1517" t="str">
        <f t="shared" si="139"/>
        <v>FAB2_ Des Light Deslactosada Light 1L</v>
      </c>
      <c r="E1517">
        <v>2022</v>
      </c>
      <c r="F1517">
        <v>31</v>
      </c>
      <c r="G1517">
        <f t="shared" si="140"/>
        <v>8</v>
      </c>
      <c r="H1517" s="1">
        <f t="shared" si="141"/>
        <v>44774</v>
      </c>
      <c r="I1517" s="1">
        <f t="shared" si="142"/>
        <v>44774</v>
      </c>
      <c r="J1517">
        <v>322058.89999999997</v>
      </c>
      <c r="K1517">
        <v>17916</v>
      </c>
      <c r="L1517">
        <f t="shared" si="144"/>
        <v>17.976049341370839</v>
      </c>
      <c r="M1517">
        <v>1493</v>
      </c>
      <c r="N1517" s="2">
        <f t="shared" si="143"/>
        <v>215.71259209645007</v>
      </c>
      <c r="O1517">
        <v>12</v>
      </c>
    </row>
    <row r="1518" spans="1:15" x14ac:dyDescent="0.25">
      <c r="A1518" t="s">
        <v>46</v>
      </c>
      <c r="B1518" t="s">
        <v>15</v>
      </c>
      <c r="C1518" t="s">
        <v>33</v>
      </c>
      <c r="D1518" t="str">
        <f t="shared" si="139"/>
        <v>FAB2_ Des Light Deslactosada Light 1L</v>
      </c>
      <c r="E1518">
        <v>2022</v>
      </c>
      <c r="F1518">
        <v>32</v>
      </c>
      <c r="G1518">
        <f t="shared" si="140"/>
        <v>8</v>
      </c>
      <c r="H1518" s="1">
        <f t="shared" si="141"/>
        <v>44781</v>
      </c>
      <c r="I1518" s="1">
        <f t="shared" si="142"/>
        <v>44774</v>
      </c>
      <c r="J1518">
        <v>239275.70000000007</v>
      </c>
      <c r="K1518">
        <v>13260</v>
      </c>
      <c r="L1518">
        <f t="shared" si="144"/>
        <v>18.044924585218709</v>
      </c>
      <c r="M1518">
        <v>1105</v>
      </c>
      <c r="N1518" s="2">
        <f t="shared" si="143"/>
        <v>216.53909502262451</v>
      </c>
      <c r="O1518">
        <v>12</v>
      </c>
    </row>
    <row r="1519" spans="1:15" x14ac:dyDescent="0.25">
      <c r="A1519" t="s">
        <v>46</v>
      </c>
      <c r="B1519" t="s">
        <v>15</v>
      </c>
      <c r="C1519" t="s">
        <v>33</v>
      </c>
      <c r="D1519" t="str">
        <f t="shared" si="139"/>
        <v>FAB2_ Des Light Deslactosada Light 1L</v>
      </c>
      <c r="E1519">
        <v>2022</v>
      </c>
      <c r="F1519">
        <v>33</v>
      </c>
      <c r="G1519">
        <f t="shared" si="140"/>
        <v>8</v>
      </c>
      <c r="H1519" s="1">
        <f t="shared" si="141"/>
        <v>44788</v>
      </c>
      <c r="I1519" s="1">
        <f t="shared" si="142"/>
        <v>44774</v>
      </c>
      <c r="J1519">
        <v>243501.6700000001</v>
      </c>
      <c r="K1519">
        <v>13524</v>
      </c>
      <c r="L1519">
        <f t="shared" si="144"/>
        <v>18.005151582372086</v>
      </c>
      <c r="M1519">
        <v>1127</v>
      </c>
      <c r="N1519" s="2">
        <f t="shared" si="143"/>
        <v>216.06181898846503</v>
      </c>
      <c r="O1519">
        <v>12</v>
      </c>
    </row>
    <row r="1520" spans="1:15" x14ac:dyDescent="0.25">
      <c r="A1520" t="s">
        <v>46</v>
      </c>
      <c r="B1520" t="s">
        <v>15</v>
      </c>
      <c r="C1520" t="s">
        <v>33</v>
      </c>
      <c r="D1520" t="str">
        <f t="shared" si="139"/>
        <v>FAB2_ Des Light Deslactosada Light 1L</v>
      </c>
      <c r="E1520">
        <v>2022</v>
      </c>
      <c r="F1520">
        <v>34</v>
      </c>
      <c r="G1520">
        <f t="shared" si="140"/>
        <v>8</v>
      </c>
      <c r="H1520" s="1">
        <f t="shared" si="141"/>
        <v>44795</v>
      </c>
      <c r="I1520" s="1">
        <f t="shared" si="142"/>
        <v>44774</v>
      </c>
      <c r="J1520">
        <v>201672.35</v>
      </c>
      <c r="K1520">
        <v>10464</v>
      </c>
      <c r="L1520">
        <f t="shared" si="144"/>
        <v>19.272969227828746</v>
      </c>
      <c r="M1520">
        <v>872</v>
      </c>
      <c r="N1520" s="2">
        <f t="shared" si="143"/>
        <v>231.27563073394495</v>
      </c>
      <c r="O1520">
        <v>12</v>
      </c>
    </row>
    <row r="1521" spans="1:15" x14ac:dyDescent="0.25">
      <c r="A1521" t="s">
        <v>46</v>
      </c>
      <c r="B1521" t="s">
        <v>15</v>
      </c>
      <c r="C1521" t="s">
        <v>33</v>
      </c>
      <c r="D1521" t="str">
        <f t="shared" si="139"/>
        <v>FAB2_ Des Light Deslactosada Light 1L</v>
      </c>
      <c r="E1521">
        <v>2022</v>
      </c>
      <c r="F1521">
        <v>35</v>
      </c>
      <c r="G1521">
        <f t="shared" si="140"/>
        <v>9</v>
      </c>
      <c r="H1521" s="1">
        <f t="shared" si="141"/>
        <v>44802</v>
      </c>
      <c r="I1521" s="1">
        <f t="shared" si="142"/>
        <v>44805</v>
      </c>
      <c r="J1521">
        <v>311879.09000000003</v>
      </c>
      <c r="K1521">
        <v>16272</v>
      </c>
      <c r="L1521">
        <f t="shared" si="144"/>
        <v>19.16661074237955</v>
      </c>
      <c r="M1521">
        <v>1356</v>
      </c>
      <c r="N1521" s="2">
        <f t="shared" si="143"/>
        <v>229.99932890855459</v>
      </c>
      <c r="O1521">
        <v>12</v>
      </c>
    </row>
    <row r="1522" spans="1:15" x14ac:dyDescent="0.25">
      <c r="A1522" t="s">
        <v>46</v>
      </c>
      <c r="B1522" t="s">
        <v>15</v>
      </c>
      <c r="C1522" t="s">
        <v>33</v>
      </c>
      <c r="D1522" t="str">
        <f t="shared" si="139"/>
        <v>FAB2_ Des Light Deslactosada Light 1L</v>
      </c>
      <c r="E1522">
        <v>2022</v>
      </c>
      <c r="F1522">
        <v>36</v>
      </c>
      <c r="G1522">
        <f t="shared" si="140"/>
        <v>9</v>
      </c>
      <c r="H1522" s="1">
        <f t="shared" si="141"/>
        <v>44809</v>
      </c>
      <c r="I1522" s="1">
        <f t="shared" si="142"/>
        <v>44805</v>
      </c>
      <c r="J1522">
        <v>275839.08000000007</v>
      </c>
      <c r="K1522">
        <v>14352</v>
      </c>
      <c r="L1522">
        <f t="shared" si="144"/>
        <v>19.219556856187296</v>
      </c>
      <c r="M1522">
        <v>1196</v>
      </c>
      <c r="N1522" s="2">
        <f t="shared" si="143"/>
        <v>230.63468227424755</v>
      </c>
      <c r="O1522">
        <v>12</v>
      </c>
    </row>
    <row r="1523" spans="1:15" x14ac:dyDescent="0.25">
      <c r="A1523" t="s">
        <v>46</v>
      </c>
      <c r="B1523" t="s">
        <v>15</v>
      </c>
      <c r="C1523" t="s">
        <v>33</v>
      </c>
      <c r="D1523" t="str">
        <f t="shared" si="139"/>
        <v>FAB2_ Des Light Deslactosada Light 1L</v>
      </c>
      <c r="E1523">
        <v>2022</v>
      </c>
      <c r="F1523">
        <v>37</v>
      </c>
      <c r="G1523">
        <f t="shared" si="140"/>
        <v>9</v>
      </c>
      <c r="H1523" s="1">
        <f t="shared" si="141"/>
        <v>44816</v>
      </c>
      <c r="I1523" s="1">
        <f t="shared" si="142"/>
        <v>44805</v>
      </c>
      <c r="J1523">
        <v>271999.81</v>
      </c>
      <c r="K1523">
        <v>14580</v>
      </c>
      <c r="L1523">
        <f t="shared" si="144"/>
        <v>18.655679698216733</v>
      </c>
      <c r="M1523">
        <v>1215</v>
      </c>
      <c r="N1523" s="2">
        <f t="shared" si="143"/>
        <v>223.86815637860082</v>
      </c>
      <c r="O1523">
        <v>12</v>
      </c>
    </row>
    <row r="1524" spans="1:15" x14ac:dyDescent="0.25">
      <c r="A1524" t="s">
        <v>46</v>
      </c>
      <c r="B1524" t="s">
        <v>15</v>
      </c>
      <c r="C1524" t="s">
        <v>33</v>
      </c>
      <c r="D1524" t="str">
        <f t="shared" si="139"/>
        <v>FAB2_ Des Light Deslactosada Light 1L</v>
      </c>
      <c r="E1524">
        <v>2022</v>
      </c>
      <c r="F1524">
        <v>38</v>
      </c>
      <c r="G1524">
        <f t="shared" si="140"/>
        <v>9</v>
      </c>
      <c r="H1524" s="1">
        <f t="shared" si="141"/>
        <v>44823</v>
      </c>
      <c r="I1524" s="1">
        <f t="shared" si="142"/>
        <v>44805</v>
      </c>
      <c r="J1524">
        <v>348972.14</v>
      </c>
      <c r="K1524">
        <v>19320</v>
      </c>
      <c r="L1524">
        <f t="shared" si="144"/>
        <v>18.062740165631471</v>
      </c>
      <c r="M1524">
        <v>1610</v>
      </c>
      <c r="N1524" s="2">
        <f t="shared" si="143"/>
        <v>216.75288198757764</v>
      </c>
      <c r="O1524">
        <v>12</v>
      </c>
    </row>
    <row r="1525" spans="1:15" x14ac:dyDescent="0.25">
      <c r="A1525" t="s">
        <v>46</v>
      </c>
      <c r="B1525" t="s">
        <v>15</v>
      </c>
      <c r="C1525" t="s">
        <v>33</v>
      </c>
      <c r="D1525" t="str">
        <f t="shared" si="139"/>
        <v>FAB2_ Des Light Deslactosada Light 1L</v>
      </c>
      <c r="E1525">
        <v>2022</v>
      </c>
      <c r="F1525">
        <v>39</v>
      </c>
      <c r="G1525">
        <f t="shared" si="140"/>
        <v>9</v>
      </c>
      <c r="H1525" s="1">
        <f t="shared" si="141"/>
        <v>44830</v>
      </c>
      <c r="I1525" s="1">
        <f t="shared" si="142"/>
        <v>44805</v>
      </c>
      <c r="J1525">
        <v>250663.87000000011</v>
      </c>
      <c r="K1525">
        <v>12984</v>
      </c>
      <c r="L1525">
        <f t="shared" si="144"/>
        <v>19.305596888478135</v>
      </c>
      <c r="M1525">
        <v>1082</v>
      </c>
      <c r="N1525" s="2">
        <f t="shared" si="143"/>
        <v>231.66716266173762</v>
      </c>
      <c r="O1525">
        <v>12</v>
      </c>
    </row>
    <row r="1526" spans="1:15" x14ac:dyDescent="0.25">
      <c r="A1526" t="s">
        <v>46</v>
      </c>
      <c r="B1526" t="s">
        <v>15</v>
      </c>
      <c r="C1526" t="s">
        <v>33</v>
      </c>
      <c r="D1526" t="str">
        <f t="shared" si="139"/>
        <v>FAB2_ Des Light Deslactosada Light 1L</v>
      </c>
      <c r="E1526">
        <v>2022</v>
      </c>
      <c r="F1526">
        <v>40</v>
      </c>
      <c r="G1526">
        <f t="shared" si="140"/>
        <v>10</v>
      </c>
      <c r="H1526" s="1">
        <f t="shared" si="141"/>
        <v>44837</v>
      </c>
      <c r="I1526" s="1">
        <f t="shared" si="142"/>
        <v>44835</v>
      </c>
      <c r="J1526">
        <v>335541.87000000011</v>
      </c>
      <c r="K1526">
        <v>17988</v>
      </c>
      <c r="L1526">
        <f t="shared" si="144"/>
        <v>18.653650767178124</v>
      </c>
      <c r="M1526">
        <v>1499</v>
      </c>
      <c r="N1526" s="2">
        <f t="shared" si="143"/>
        <v>223.84380920613751</v>
      </c>
      <c r="O1526">
        <v>12</v>
      </c>
    </row>
    <row r="1527" spans="1:15" x14ac:dyDescent="0.25">
      <c r="A1527" t="s">
        <v>46</v>
      </c>
      <c r="B1527" t="s">
        <v>15</v>
      </c>
      <c r="C1527" t="s">
        <v>33</v>
      </c>
      <c r="D1527" t="str">
        <f t="shared" si="139"/>
        <v>FAB2_ Des Light Deslactosada Light 1L</v>
      </c>
      <c r="E1527">
        <v>2022</v>
      </c>
      <c r="F1527">
        <v>41</v>
      </c>
      <c r="G1527">
        <f t="shared" si="140"/>
        <v>10</v>
      </c>
      <c r="H1527" s="1">
        <f t="shared" si="141"/>
        <v>44844</v>
      </c>
      <c r="I1527" s="1">
        <f t="shared" si="142"/>
        <v>44835</v>
      </c>
      <c r="J1527">
        <v>384525.89</v>
      </c>
      <c r="K1527">
        <v>21816</v>
      </c>
      <c r="L1527">
        <f t="shared" si="144"/>
        <v>17.625865878254494</v>
      </c>
      <c r="M1527">
        <v>1818</v>
      </c>
      <c r="N1527" s="2">
        <f t="shared" si="143"/>
        <v>211.5103905390539</v>
      </c>
      <c r="O1527">
        <v>12</v>
      </c>
    </row>
    <row r="1528" spans="1:15" x14ac:dyDescent="0.25">
      <c r="A1528" t="s">
        <v>46</v>
      </c>
      <c r="B1528" t="s">
        <v>15</v>
      </c>
      <c r="C1528" t="s">
        <v>33</v>
      </c>
      <c r="D1528" t="str">
        <f t="shared" si="139"/>
        <v>FAB2_ Des Light Deslactosada Light 1L</v>
      </c>
      <c r="E1528">
        <v>2022</v>
      </c>
      <c r="F1528">
        <v>42</v>
      </c>
      <c r="G1528">
        <f t="shared" si="140"/>
        <v>10</v>
      </c>
      <c r="H1528" s="1">
        <f t="shared" si="141"/>
        <v>44851</v>
      </c>
      <c r="I1528" s="1">
        <f t="shared" si="142"/>
        <v>44835</v>
      </c>
      <c r="J1528">
        <v>353532.95000000019</v>
      </c>
      <c r="K1528">
        <v>19404</v>
      </c>
      <c r="L1528">
        <f t="shared" si="144"/>
        <v>18.219591321377045</v>
      </c>
      <c r="M1528">
        <v>1617</v>
      </c>
      <c r="N1528" s="2">
        <f t="shared" si="143"/>
        <v>218.63509585652454</v>
      </c>
      <c r="O1528">
        <v>12</v>
      </c>
    </row>
    <row r="1529" spans="1:15" x14ac:dyDescent="0.25">
      <c r="A1529" t="s">
        <v>46</v>
      </c>
      <c r="B1529" t="s">
        <v>15</v>
      </c>
      <c r="C1529" t="s">
        <v>33</v>
      </c>
      <c r="D1529" t="str">
        <f t="shared" si="139"/>
        <v>FAB2_ Des Light Deslactosada Light 1L</v>
      </c>
      <c r="E1529">
        <v>2022</v>
      </c>
      <c r="F1529">
        <v>43</v>
      </c>
      <c r="G1529">
        <f t="shared" si="140"/>
        <v>10</v>
      </c>
      <c r="H1529" s="1">
        <f t="shared" si="141"/>
        <v>44858</v>
      </c>
      <c r="I1529" s="1">
        <f t="shared" si="142"/>
        <v>44835</v>
      </c>
      <c r="J1529">
        <v>233083.34000000008</v>
      </c>
      <c r="K1529">
        <v>12084</v>
      </c>
      <c r="L1529">
        <f t="shared" si="144"/>
        <v>19.288591525984781</v>
      </c>
      <c r="M1529">
        <v>1007</v>
      </c>
      <c r="N1529" s="2">
        <f t="shared" si="143"/>
        <v>231.46309831181736</v>
      </c>
      <c r="O1529">
        <v>12</v>
      </c>
    </row>
    <row r="1530" spans="1:15" x14ac:dyDescent="0.25">
      <c r="A1530" t="s">
        <v>46</v>
      </c>
      <c r="B1530" t="s">
        <v>15</v>
      </c>
      <c r="C1530" t="s">
        <v>33</v>
      </c>
      <c r="D1530" t="str">
        <f t="shared" si="139"/>
        <v>FAB2_ Des Light Deslactosada Light 1L</v>
      </c>
      <c r="E1530">
        <v>2022</v>
      </c>
      <c r="F1530">
        <v>44</v>
      </c>
      <c r="G1530">
        <f t="shared" si="140"/>
        <v>11</v>
      </c>
      <c r="H1530" s="1">
        <f t="shared" si="141"/>
        <v>44865</v>
      </c>
      <c r="I1530" s="1">
        <f t="shared" si="142"/>
        <v>44866</v>
      </c>
      <c r="J1530">
        <v>291436.1100000001</v>
      </c>
      <c r="K1530">
        <v>15624</v>
      </c>
      <c r="L1530">
        <f t="shared" si="144"/>
        <v>18.653104838709684</v>
      </c>
      <c r="M1530">
        <v>1302</v>
      </c>
      <c r="N1530" s="2">
        <f t="shared" si="143"/>
        <v>223.83725806451622</v>
      </c>
      <c r="O1530">
        <v>12</v>
      </c>
    </row>
    <row r="1531" spans="1:15" x14ac:dyDescent="0.25">
      <c r="A1531" t="s">
        <v>46</v>
      </c>
      <c r="B1531" t="s">
        <v>15</v>
      </c>
      <c r="C1531" t="s">
        <v>33</v>
      </c>
      <c r="D1531" t="str">
        <f t="shared" si="139"/>
        <v>FAB2_ Des Light Deslactosada Light 1L</v>
      </c>
      <c r="E1531">
        <v>2022</v>
      </c>
      <c r="F1531">
        <v>45</v>
      </c>
      <c r="G1531">
        <f t="shared" si="140"/>
        <v>11</v>
      </c>
      <c r="H1531" s="1">
        <f t="shared" si="141"/>
        <v>44872</v>
      </c>
      <c r="I1531" s="1">
        <f t="shared" si="142"/>
        <v>44866</v>
      </c>
      <c r="J1531">
        <v>256125.37000000011</v>
      </c>
      <c r="K1531">
        <v>14304</v>
      </c>
      <c r="L1531">
        <f t="shared" si="144"/>
        <v>17.905856403803138</v>
      </c>
      <c r="M1531">
        <v>1192</v>
      </c>
      <c r="N1531" s="2">
        <f t="shared" si="143"/>
        <v>214.87027684563768</v>
      </c>
      <c r="O1531">
        <v>12</v>
      </c>
    </row>
    <row r="1532" spans="1:15" x14ac:dyDescent="0.25">
      <c r="A1532" t="s">
        <v>46</v>
      </c>
      <c r="B1532" t="s">
        <v>15</v>
      </c>
      <c r="C1532" t="s">
        <v>33</v>
      </c>
      <c r="D1532" t="str">
        <f t="shared" si="139"/>
        <v>FAB2_ Des Light Deslactosada Light 1L</v>
      </c>
      <c r="E1532">
        <v>2022</v>
      </c>
      <c r="F1532">
        <v>46</v>
      </c>
      <c r="G1532">
        <f t="shared" si="140"/>
        <v>11</v>
      </c>
      <c r="H1532" s="1">
        <f t="shared" si="141"/>
        <v>44879</v>
      </c>
      <c r="I1532" s="1">
        <f t="shared" si="142"/>
        <v>44866</v>
      </c>
      <c r="J1532">
        <v>327669.05</v>
      </c>
      <c r="K1532">
        <v>17904</v>
      </c>
      <c r="L1532">
        <f t="shared" si="144"/>
        <v>18.301443811438784</v>
      </c>
      <c r="M1532">
        <v>1492</v>
      </c>
      <c r="N1532" s="2">
        <f t="shared" si="143"/>
        <v>219.61732573726542</v>
      </c>
      <c r="O1532">
        <v>12</v>
      </c>
    </row>
    <row r="1533" spans="1:15" x14ac:dyDescent="0.25">
      <c r="A1533" t="s">
        <v>46</v>
      </c>
      <c r="B1533" t="s">
        <v>15</v>
      </c>
      <c r="C1533" t="s">
        <v>33</v>
      </c>
      <c r="D1533" t="str">
        <f t="shared" si="139"/>
        <v>FAB2_ Des Light Deslactosada Light 1L</v>
      </c>
      <c r="E1533">
        <v>2022</v>
      </c>
      <c r="F1533">
        <v>47</v>
      </c>
      <c r="G1533">
        <f t="shared" si="140"/>
        <v>11</v>
      </c>
      <c r="H1533" s="1">
        <f t="shared" si="141"/>
        <v>44886</v>
      </c>
      <c r="I1533" s="1">
        <f t="shared" si="142"/>
        <v>44866</v>
      </c>
      <c r="J1533">
        <v>311159.33999999997</v>
      </c>
      <c r="K1533">
        <v>16788</v>
      </c>
      <c r="L1533">
        <f t="shared" si="144"/>
        <v>18.534628305932806</v>
      </c>
      <c r="M1533">
        <v>1399</v>
      </c>
      <c r="N1533" s="2">
        <f t="shared" si="143"/>
        <v>222.4155396711937</v>
      </c>
      <c r="O1533">
        <v>12</v>
      </c>
    </row>
    <row r="1534" spans="1:15" x14ac:dyDescent="0.25">
      <c r="A1534" t="s">
        <v>46</v>
      </c>
      <c r="B1534" t="s">
        <v>15</v>
      </c>
      <c r="C1534" t="s">
        <v>33</v>
      </c>
      <c r="D1534" t="str">
        <f t="shared" si="139"/>
        <v>FAB2_ Des Light Deslactosada Light 1L</v>
      </c>
      <c r="E1534">
        <v>2022</v>
      </c>
      <c r="F1534">
        <v>48</v>
      </c>
      <c r="G1534">
        <f t="shared" si="140"/>
        <v>12</v>
      </c>
      <c r="H1534" s="1">
        <f t="shared" si="141"/>
        <v>44893</v>
      </c>
      <c r="I1534" s="1">
        <f t="shared" si="142"/>
        <v>44896</v>
      </c>
      <c r="J1534">
        <v>236754.43999999997</v>
      </c>
      <c r="K1534">
        <v>12768</v>
      </c>
      <c r="L1534">
        <f t="shared" si="144"/>
        <v>18.542797619047619</v>
      </c>
      <c r="M1534">
        <v>1064</v>
      </c>
      <c r="N1534" s="2">
        <f t="shared" si="143"/>
        <v>222.5135714285714</v>
      </c>
      <c r="O1534">
        <v>12</v>
      </c>
    </row>
    <row r="1535" spans="1:15" x14ac:dyDescent="0.25">
      <c r="A1535" t="s">
        <v>46</v>
      </c>
      <c r="B1535" t="s">
        <v>15</v>
      </c>
      <c r="C1535" t="s">
        <v>33</v>
      </c>
      <c r="D1535" t="str">
        <f t="shared" si="139"/>
        <v>FAB2_ Des Light Deslactosada Light 1L</v>
      </c>
      <c r="E1535">
        <v>2022</v>
      </c>
      <c r="F1535">
        <v>49</v>
      </c>
      <c r="G1535">
        <f t="shared" si="140"/>
        <v>12</v>
      </c>
      <c r="H1535" s="1">
        <f t="shared" si="141"/>
        <v>44900</v>
      </c>
      <c r="I1535" s="1">
        <f t="shared" si="142"/>
        <v>44896</v>
      </c>
      <c r="J1535">
        <v>280330.32999999996</v>
      </c>
      <c r="K1535">
        <v>15036</v>
      </c>
      <c r="L1535">
        <f t="shared" si="144"/>
        <v>18.643943202979514</v>
      </c>
      <c r="M1535">
        <v>1253</v>
      </c>
      <c r="N1535" s="2">
        <f t="shared" si="143"/>
        <v>223.72731843575414</v>
      </c>
      <c r="O1535">
        <v>12</v>
      </c>
    </row>
    <row r="1536" spans="1:15" x14ac:dyDescent="0.25">
      <c r="A1536" t="s">
        <v>46</v>
      </c>
      <c r="B1536" t="s">
        <v>15</v>
      </c>
      <c r="C1536" t="s">
        <v>33</v>
      </c>
      <c r="D1536" t="str">
        <f t="shared" si="139"/>
        <v>FAB2_ Des Light Deslactosada Light 1L</v>
      </c>
      <c r="E1536">
        <v>2022</v>
      </c>
      <c r="F1536">
        <v>50</v>
      </c>
      <c r="G1536">
        <f t="shared" si="140"/>
        <v>12</v>
      </c>
      <c r="H1536" s="1">
        <f t="shared" si="141"/>
        <v>44907</v>
      </c>
      <c r="I1536" s="1">
        <f t="shared" si="142"/>
        <v>44896</v>
      </c>
      <c r="J1536">
        <v>326899</v>
      </c>
      <c r="K1536">
        <v>18096</v>
      </c>
      <c r="L1536">
        <f t="shared" si="144"/>
        <v>18.064710433244915</v>
      </c>
      <c r="M1536">
        <v>1508</v>
      </c>
      <c r="N1536" s="2">
        <f t="shared" si="143"/>
        <v>216.776525198939</v>
      </c>
      <c r="O1536">
        <v>12</v>
      </c>
    </row>
    <row r="1537" spans="1:15" x14ac:dyDescent="0.25">
      <c r="A1537" t="s">
        <v>46</v>
      </c>
      <c r="B1537" t="s">
        <v>15</v>
      </c>
      <c r="C1537" t="s">
        <v>33</v>
      </c>
      <c r="D1537" t="str">
        <f t="shared" si="139"/>
        <v>FAB2_ Des Light Deslactosada Light 1L</v>
      </c>
      <c r="E1537">
        <v>2022</v>
      </c>
      <c r="F1537">
        <v>51</v>
      </c>
      <c r="G1537">
        <f t="shared" si="140"/>
        <v>12</v>
      </c>
      <c r="H1537" s="1">
        <f t="shared" si="141"/>
        <v>44914</v>
      </c>
      <c r="I1537" s="1">
        <f t="shared" si="142"/>
        <v>44896</v>
      </c>
      <c r="J1537">
        <v>348247.68000000005</v>
      </c>
      <c r="K1537">
        <v>19248</v>
      </c>
      <c r="L1537">
        <f t="shared" si="144"/>
        <v>18.092668329177059</v>
      </c>
      <c r="M1537">
        <v>1604</v>
      </c>
      <c r="N1537" s="2">
        <f t="shared" si="143"/>
        <v>217.11201995012473</v>
      </c>
      <c r="O1537">
        <v>12</v>
      </c>
    </row>
    <row r="1538" spans="1:15" x14ac:dyDescent="0.25">
      <c r="A1538" t="s">
        <v>46</v>
      </c>
      <c r="B1538" t="s">
        <v>15</v>
      </c>
      <c r="C1538" t="s">
        <v>33</v>
      </c>
      <c r="D1538" t="str">
        <f t="shared" si="139"/>
        <v>FAB2_ Des Light Deslactosada Light 1L</v>
      </c>
      <c r="E1538">
        <v>2022</v>
      </c>
      <c r="F1538">
        <v>52</v>
      </c>
      <c r="G1538">
        <f t="shared" si="140"/>
        <v>12</v>
      </c>
      <c r="H1538" s="1">
        <f t="shared" si="141"/>
        <v>44921</v>
      </c>
      <c r="I1538" s="1">
        <f t="shared" si="142"/>
        <v>44896</v>
      </c>
      <c r="J1538">
        <v>296313.39</v>
      </c>
      <c r="K1538">
        <v>16200</v>
      </c>
      <c r="L1538">
        <f t="shared" si="144"/>
        <v>18.290950000000002</v>
      </c>
      <c r="M1538">
        <v>1350</v>
      </c>
      <c r="N1538" s="2">
        <f t="shared" si="143"/>
        <v>219.4914</v>
      </c>
      <c r="O1538">
        <v>12</v>
      </c>
    </row>
    <row r="1539" spans="1:15" x14ac:dyDescent="0.25">
      <c r="A1539" t="s">
        <v>46</v>
      </c>
      <c r="B1539" t="s">
        <v>15</v>
      </c>
      <c r="C1539" t="s">
        <v>33</v>
      </c>
      <c r="D1539" t="str">
        <f t="shared" ref="D1539:D1602" si="145">B1539&amp;"_"&amp;C1539</f>
        <v>FAB2_ Des Light Deslactosada Light 1L</v>
      </c>
      <c r="E1539">
        <v>2023</v>
      </c>
      <c r="F1539">
        <v>1</v>
      </c>
      <c r="G1539">
        <f t="shared" ref="G1539:G1602" si="146">MONTH(DATE(E1539,1,4)+(F1539-1)*7-WEEKDAY(DATE(E1539,1,4),2)+4)</f>
        <v>1</v>
      </c>
      <c r="H1539" s="1">
        <f t="shared" ref="H1539:H1602" si="147">DATE(E1539,1,-2)-WEEKDAY(DATE(E1539,1,3))+F1539*7</f>
        <v>44928</v>
      </c>
      <c r="I1539" s="1">
        <f t="shared" ref="I1539:I1602" si="148">DATE(E1539,G1539,1)</f>
        <v>44927</v>
      </c>
      <c r="J1539">
        <v>305674.15000000002</v>
      </c>
      <c r="K1539">
        <v>16356</v>
      </c>
      <c r="L1539">
        <f t="shared" si="144"/>
        <v>18.688808388359014</v>
      </c>
      <c r="M1539">
        <v>1363</v>
      </c>
      <c r="N1539" s="2">
        <f t="shared" ref="N1539:N1602" si="149">J1539/M1539</f>
        <v>224.26570066030817</v>
      </c>
      <c r="O1539">
        <v>12</v>
      </c>
    </row>
    <row r="1540" spans="1:15" x14ac:dyDescent="0.25">
      <c r="A1540" t="s">
        <v>46</v>
      </c>
      <c r="B1540" t="s">
        <v>15</v>
      </c>
      <c r="C1540" t="s">
        <v>33</v>
      </c>
      <c r="D1540" t="str">
        <f t="shared" si="145"/>
        <v>FAB2_ Des Light Deslactosada Light 1L</v>
      </c>
      <c r="E1540">
        <v>2023</v>
      </c>
      <c r="F1540">
        <v>2</v>
      </c>
      <c r="G1540">
        <f t="shared" si="146"/>
        <v>1</v>
      </c>
      <c r="H1540" s="1">
        <f t="shared" si="147"/>
        <v>44935</v>
      </c>
      <c r="I1540" s="1">
        <f t="shared" si="148"/>
        <v>44927</v>
      </c>
      <c r="J1540">
        <v>296632.42</v>
      </c>
      <c r="K1540">
        <v>16464</v>
      </c>
      <c r="L1540">
        <f t="shared" si="144"/>
        <v>18.017032312925171</v>
      </c>
      <c r="M1540">
        <v>1372</v>
      </c>
      <c r="N1540" s="2">
        <f t="shared" si="149"/>
        <v>216.20438775510203</v>
      </c>
      <c r="O1540">
        <v>12</v>
      </c>
    </row>
    <row r="1541" spans="1:15" x14ac:dyDescent="0.25">
      <c r="A1541" t="s">
        <v>46</v>
      </c>
      <c r="B1541" t="s">
        <v>15</v>
      </c>
      <c r="C1541" t="s">
        <v>33</v>
      </c>
      <c r="D1541" t="str">
        <f t="shared" si="145"/>
        <v>FAB2_ Des Light Deslactosada Light 1L</v>
      </c>
      <c r="E1541">
        <v>2023</v>
      </c>
      <c r="F1541">
        <v>3</v>
      </c>
      <c r="G1541">
        <f t="shared" si="146"/>
        <v>1</v>
      </c>
      <c r="H1541" s="1">
        <f t="shared" si="147"/>
        <v>44942</v>
      </c>
      <c r="I1541" s="1">
        <f t="shared" si="148"/>
        <v>44927</v>
      </c>
      <c r="J1541">
        <v>299052.87</v>
      </c>
      <c r="K1541">
        <v>16620</v>
      </c>
      <c r="L1541">
        <f t="shared" si="144"/>
        <v>17.993554151624547</v>
      </c>
      <c r="M1541">
        <v>1385</v>
      </c>
      <c r="N1541" s="2">
        <f t="shared" si="149"/>
        <v>215.92264981949458</v>
      </c>
      <c r="O1541">
        <v>12</v>
      </c>
    </row>
    <row r="1542" spans="1:15" x14ac:dyDescent="0.25">
      <c r="A1542" t="s">
        <v>46</v>
      </c>
      <c r="B1542" t="s">
        <v>15</v>
      </c>
      <c r="C1542" t="s">
        <v>33</v>
      </c>
      <c r="D1542" t="str">
        <f t="shared" si="145"/>
        <v>FAB2_ Des Light Deslactosada Light 1L</v>
      </c>
      <c r="E1542">
        <v>2023</v>
      </c>
      <c r="F1542">
        <v>4</v>
      </c>
      <c r="G1542">
        <f t="shared" si="146"/>
        <v>1</v>
      </c>
      <c r="H1542" s="1">
        <f t="shared" si="147"/>
        <v>44949</v>
      </c>
      <c r="I1542" s="1">
        <f t="shared" si="148"/>
        <v>44927</v>
      </c>
      <c r="J1542">
        <v>286697.46999999997</v>
      </c>
      <c r="K1542">
        <v>15912</v>
      </c>
      <c r="L1542">
        <f t="shared" si="144"/>
        <v>18.017689165409752</v>
      </c>
      <c r="M1542">
        <v>1326</v>
      </c>
      <c r="N1542" s="2">
        <f t="shared" si="149"/>
        <v>216.21226998491701</v>
      </c>
      <c r="O1542">
        <v>12</v>
      </c>
    </row>
    <row r="1543" spans="1:15" x14ac:dyDescent="0.25">
      <c r="A1543" t="s">
        <v>46</v>
      </c>
      <c r="B1543" t="s">
        <v>15</v>
      </c>
      <c r="C1543" t="s">
        <v>33</v>
      </c>
      <c r="D1543" t="str">
        <f t="shared" si="145"/>
        <v>FAB2_ Des Light Deslactosada Light 1L</v>
      </c>
      <c r="E1543">
        <v>2023</v>
      </c>
      <c r="F1543">
        <v>5</v>
      </c>
      <c r="G1543">
        <f t="shared" si="146"/>
        <v>2</v>
      </c>
      <c r="H1543" s="1">
        <f t="shared" si="147"/>
        <v>44956</v>
      </c>
      <c r="I1543" s="1">
        <f t="shared" si="148"/>
        <v>44958</v>
      </c>
      <c r="J1543">
        <v>331910.7099999999</v>
      </c>
      <c r="K1543">
        <v>17880</v>
      </c>
      <c r="L1543">
        <f t="shared" si="144"/>
        <v>18.563238814317668</v>
      </c>
      <c r="M1543">
        <v>1490</v>
      </c>
      <c r="N1543" s="2">
        <f t="shared" si="149"/>
        <v>222.75886577181203</v>
      </c>
      <c r="O1543">
        <v>12</v>
      </c>
    </row>
    <row r="1544" spans="1:15" x14ac:dyDescent="0.25">
      <c r="A1544" t="s">
        <v>46</v>
      </c>
      <c r="B1544" t="s">
        <v>15</v>
      </c>
      <c r="C1544" t="s">
        <v>33</v>
      </c>
      <c r="D1544" t="str">
        <f t="shared" si="145"/>
        <v>FAB2_ Des Light Deslactosada Light 1L</v>
      </c>
      <c r="E1544">
        <v>2023</v>
      </c>
      <c r="F1544">
        <v>6</v>
      </c>
      <c r="G1544">
        <f t="shared" si="146"/>
        <v>2</v>
      </c>
      <c r="H1544" s="1">
        <f t="shared" si="147"/>
        <v>44963</v>
      </c>
      <c r="I1544" s="1">
        <f t="shared" si="148"/>
        <v>44958</v>
      </c>
      <c r="J1544">
        <v>283783.00999999995</v>
      </c>
      <c r="K1544">
        <v>15192</v>
      </c>
      <c r="L1544">
        <f t="shared" si="144"/>
        <v>18.679766324381252</v>
      </c>
      <c r="M1544">
        <v>1266</v>
      </c>
      <c r="N1544" s="2">
        <f t="shared" si="149"/>
        <v>224.157195892575</v>
      </c>
      <c r="O1544">
        <v>12</v>
      </c>
    </row>
    <row r="1545" spans="1:15" x14ac:dyDescent="0.25">
      <c r="A1545" t="s">
        <v>46</v>
      </c>
      <c r="B1545" t="s">
        <v>15</v>
      </c>
      <c r="C1545" t="s">
        <v>33</v>
      </c>
      <c r="D1545" t="str">
        <f t="shared" si="145"/>
        <v>FAB2_ Des Light Deslactosada Light 1L</v>
      </c>
      <c r="E1545">
        <v>2023</v>
      </c>
      <c r="F1545">
        <v>7</v>
      </c>
      <c r="G1545">
        <f t="shared" si="146"/>
        <v>2</v>
      </c>
      <c r="H1545" s="1">
        <f t="shared" si="147"/>
        <v>44970</v>
      </c>
      <c r="I1545" s="1">
        <f t="shared" si="148"/>
        <v>44958</v>
      </c>
      <c r="J1545">
        <v>441358.91000000009</v>
      </c>
      <c r="K1545">
        <v>24768</v>
      </c>
      <c r="L1545">
        <f t="shared" si="144"/>
        <v>17.819723433462535</v>
      </c>
      <c r="M1545">
        <v>2064</v>
      </c>
      <c r="N1545" s="2">
        <f t="shared" si="149"/>
        <v>213.83668120155042</v>
      </c>
      <c r="O1545">
        <v>12</v>
      </c>
    </row>
    <row r="1546" spans="1:15" x14ac:dyDescent="0.25">
      <c r="A1546" t="s">
        <v>46</v>
      </c>
      <c r="B1546" t="s">
        <v>15</v>
      </c>
      <c r="C1546" t="s">
        <v>33</v>
      </c>
      <c r="D1546" t="str">
        <f t="shared" si="145"/>
        <v>FAB2_ Des Light Deslactosada Light 1L</v>
      </c>
      <c r="E1546">
        <v>2023</v>
      </c>
      <c r="F1546">
        <v>8</v>
      </c>
      <c r="G1546">
        <f t="shared" si="146"/>
        <v>2</v>
      </c>
      <c r="H1546" s="1">
        <f t="shared" si="147"/>
        <v>44977</v>
      </c>
      <c r="I1546" s="1">
        <f t="shared" si="148"/>
        <v>44958</v>
      </c>
      <c r="J1546">
        <v>237421.45000000007</v>
      </c>
      <c r="K1546">
        <v>12420</v>
      </c>
      <c r="L1546">
        <f t="shared" si="144"/>
        <v>19.116058776167478</v>
      </c>
      <c r="M1546">
        <v>1035</v>
      </c>
      <c r="N1546" s="2">
        <f t="shared" si="149"/>
        <v>229.39270531400973</v>
      </c>
      <c r="O1546">
        <v>12</v>
      </c>
    </row>
    <row r="1547" spans="1:15" x14ac:dyDescent="0.25">
      <c r="A1547" t="s">
        <v>46</v>
      </c>
      <c r="B1547" t="s">
        <v>15</v>
      </c>
      <c r="C1547" t="s">
        <v>33</v>
      </c>
      <c r="D1547" t="str">
        <f t="shared" si="145"/>
        <v>FAB2_ Des Light Deslactosada Light 1L</v>
      </c>
      <c r="E1547">
        <v>2023</v>
      </c>
      <c r="F1547">
        <v>9</v>
      </c>
      <c r="G1547">
        <f t="shared" si="146"/>
        <v>3</v>
      </c>
      <c r="H1547" s="1">
        <f t="shared" si="147"/>
        <v>44984</v>
      </c>
      <c r="I1547" s="1">
        <f t="shared" si="148"/>
        <v>44986</v>
      </c>
      <c r="J1547">
        <v>316559.03000000003</v>
      </c>
      <c r="K1547">
        <v>16692</v>
      </c>
      <c r="L1547">
        <f t="shared" si="144"/>
        <v>18.964715432542537</v>
      </c>
      <c r="M1547">
        <v>1391</v>
      </c>
      <c r="N1547" s="2">
        <f t="shared" si="149"/>
        <v>227.57658519051046</v>
      </c>
      <c r="O1547">
        <v>12</v>
      </c>
    </row>
    <row r="1548" spans="1:15" x14ac:dyDescent="0.25">
      <c r="A1548" t="s">
        <v>46</v>
      </c>
      <c r="B1548" t="s">
        <v>15</v>
      </c>
      <c r="C1548" t="s">
        <v>33</v>
      </c>
      <c r="D1548" t="str">
        <f t="shared" si="145"/>
        <v>FAB2_ Des Light Deslactosada Light 1L</v>
      </c>
      <c r="E1548">
        <v>2023</v>
      </c>
      <c r="F1548">
        <v>10</v>
      </c>
      <c r="G1548">
        <f t="shared" si="146"/>
        <v>3</v>
      </c>
      <c r="H1548" s="1">
        <f t="shared" si="147"/>
        <v>44991</v>
      </c>
      <c r="I1548" s="1">
        <f t="shared" si="148"/>
        <v>44986</v>
      </c>
      <c r="J1548">
        <v>263785.06</v>
      </c>
      <c r="K1548">
        <v>14004</v>
      </c>
      <c r="L1548">
        <f t="shared" si="144"/>
        <v>18.836408169094543</v>
      </c>
      <c r="M1548">
        <v>1167</v>
      </c>
      <c r="N1548" s="2">
        <f t="shared" si="149"/>
        <v>226.03689802913453</v>
      </c>
      <c r="O1548">
        <v>12</v>
      </c>
    </row>
    <row r="1549" spans="1:15" x14ac:dyDescent="0.25">
      <c r="A1549" t="s">
        <v>46</v>
      </c>
      <c r="B1549" t="s">
        <v>15</v>
      </c>
      <c r="C1549" t="s">
        <v>33</v>
      </c>
      <c r="D1549" t="str">
        <f t="shared" si="145"/>
        <v>FAB2_ Des Light Deslactosada Light 1L</v>
      </c>
      <c r="E1549">
        <v>2023</v>
      </c>
      <c r="F1549">
        <v>11</v>
      </c>
      <c r="G1549">
        <f t="shared" si="146"/>
        <v>3</v>
      </c>
      <c r="H1549" s="1">
        <f t="shared" si="147"/>
        <v>44998</v>
      </c>
      <c r="I1549" s="1">
        <f t="shared" si="148"/>
        <v>44986</v>
      </c>
      <c r="J1549">
        <v>336111.58999999997</v>
      </c>
      <c r="K1549">
        <v>17820</v>
      </c>
      <c r="L1549">
        <f t="shared" si="144"/>
        <v>18.861480920314253</v>
      </c>
      <c r="M1549">
        <v>1485</v>
      </c>
      <c r="N1549" s="2">
        <f t="shared" si="149"/>
        <v>226.33777104377103</v>
      </c>
      <c r="O1549">
        <v>12</v>
      </c>
    </row>
    <row r="1550" spans="1:15" x14ac:dyDescent="0.25">
      <c r="A1550" t="s">
        <v>46</v>
      </c>
      <c r="B1550" t="s">
        <v>15</v>
      </c>
      <c r="C1550" t="s">
        <v>33</v>
      </c>
      <c r="D1550" t="str">
        <f t="shared" si="145"/>
        <v>FAB2_ Des Light Deslactosada Light 1L</v>
      </c>
      <c r="E1550">
        <v>2023</v>
      </c>
      <c r="F1550">
        <v>12</v>
      </c>
      <c r="G1550">
        <f t="shared" si="146"/>
        <v>3</v>
      </c>
      <c r="H1550" s="1">
        <f t="shared" si="147"/>
        <v>45005</v>
      </c>
      <c r="I1550" s="1">
        <f t="shared" si="148"/>
        <v>44986</v>
      </c>
      <c r="J1550">
        <v>339520.38999999996</v>
      </c>
      <c r="K1550">
        <v>18060</v>
      </c>
      <c r="L1550">
        <f t="shared" si="144"/>
        <v>18.799578626799555</v>
      </c>
      <c r="M1550">
        <v>1505</v>
      </c>
      <c r="N1550" s="2">
        <f t="shared" si="149"/>
        <v>225.59494352159464</v>
      </c>
      <c r="O1550">
        <v>12</v>
      </c>
    </row>
    <row r="1551" spans="1:15" x14ac:dyDescent="0.25">
      <c r="A1551" t="s">
        <v>46</v>
      </c>
      <c r="B1551" t="s">
        <v>15</v>
      </c>
      <c r="C1551" t="s">
        <v>33</v>
      </c>
      <c r="D1551" t="str">
        <f t="shared" si="145"/>
        <v>FAB2_ Des Light Deslactosada Light 1L</v>
      </c>
      <c r="E1551">
        <v>2023</v>
      </c>
      <c r="F1551">
        <v>13</v>
      </c>
      <c r="G1551">
        <f t="shared" si="146"/>
        <v>3</v>
      </c>
      <c r="H1551" s="1">
        <f t="shared" si="147"/>
        <v>45012</v>
      </c>
      <c r="I1551" s="1">
        <f t="shared" si="148"/>
        <v>44986</v>
      </c>
      <c r="J1551">
        <v>306056.91999999993</v>
      </c>
      <c r="K1551">
        <v>16356</v>
      </c>
      <c r="L1551">
        <f t="shared" si="144"/>
        <v>18.71221080948887</v>
      </c>
      <c r="M1551">
        <v>1363</v>
      </c>
      <c r="N1551" s="2">
        <f t="shared" si="149"/>
        <v>224.54652971386642</v>
      </c>
      <c r="O1551">
        <v>12</v>
      </c>
    </row>
    <row r="1552" spans="1:15" x14ac:dyDescent="0.25">
      <c r="A1552" t="s">
        <v>46</v>
      </c>
      <c r="B1552" t="s">
        <v>15</v>
      </c>
      <c r="C1552" t="s">
        <v>33</v>
      </c>
      <c r="D1552" t="str">
        <f t="shared" si="145"/>
        <v>FAB2_ Des Light Deslactosada Light 1L</v>
      </c>
      <c r="E1552">
        <v>2023</v>
      </c>
      <c r="F1552">
        <v>14</v>
      </c>
      <c r="G1552">
        <f t="shared" si="146"/>
        <v>4</v>
      </c>
      <c r="H1552" s="1">
        <f t="shared" si="147"/>
        <v>45019</v>
      </c>
      <c r="I1552" s="1">
        <f t="shared" si="148"/>
        <v>45017</v>
      </c>
      <c r="J1552">
        <v>350316.18000000011</v>
      </c>
      <c r="K1552">
        <v>19368</v>
      </c>
      <c r="L1552">
        <f t="shared" si="144"/>
        <v>18.087369888475841</v>
      </c>
      <c r="M1552">
        <v>1614</v>
      </c>
      <c r="N1552" s="2">
        <f t="shared" si="149"/>
        <v>217.04843866171009</v>
      </c>
      <c r="O1552">
        <v>12</v>
      </c>
    </row>
    <row r="1553" spans="1:15" x14ac:dyDescent="0.25">
      <c r="A1553" t="s">
        <v>46</v>
      </c>
      <c r="B1553" t="s">
        <v>15</v>
      </c>
      <c r="C1553" t="s">
        <v>33</v>
      </c>
      <c r="D1553" t="str">
        <f t="shared" si="145"/>
        <v>FAB2_ Des Light Deslactosada Light 1L</v>
      </c>
      <c r="E1553">
        <v>2023</v>
      </c>
      <c r="F1553">
        <v>15</v>
      </c>
      <c r="G1553">
        <f t="shared" si="146"/>
        <v>4</v>
      </c>
      <c r="H1553" s="1">
        <f t="shared" si="147"/>
        <v>45026</v>
      </c>
      <c r="I1553" s="1">
        <f t="shared" si="148"/>
        <v>45017</v>
      </c>
      <c r="J1553">
        <v>257499.66999999995</v>
      </c>
      <c r="K1553">
        <v>13848</v>
      </c>
      <c r="L1553">
        <f t="shared" si="144"/>
        <v>18.594719093009818</v>
      </c>
      <c r="M1553">
        <v>1154</v>
      </c>
      <c r="N1553" s="2">
        <f t="shared" si="149"/>
        <v>223.1366291161178</v>
      </c>
      <c r="O1553">
        <v>12</v>
      </c>
    </row>
    <row r="1554" spans="1:15" x14ac:dyDescent="0.25">
      <c r="A1554" t="s">
        <v>46</v>
      </c>
      <c r="B1554" t="s">
        <v>15</v>
      </c>
      <c r="C1554" t="s">
        <v>33</v>
      </c>
      <c r="D1554" t="str">
        <f t="shared" si="145"/>
        <v>FAB2_ Des Light Deslactosada Light 1L</v>
      </c>
      <c r="E1554">
        <v>2023</v>
      </c>
      <c r="F1554">
        <v>16</v>
      </c>
      <c r="G1554">
        <f t="shared" si="146"/>
        <v>4</v>
      </c>
      <c r="H1554" s="1">
        <f t="shared" si="147"/>
        <v>45033</v>
      </c>
      <c r="I1554" s="1">
        <f t="shared" si="148"/>
        <v>45017</v>
      </c>
      <c r="J1554">
        <v>327160.53999999998</v>
      </c>
      <c r="K1554">
        <v>17892</v>
      </c>
      <c r="L1554">
        <f t="shared" si="144"/>
        <v>18.285297339593114</v>
      </c>
      <c r="M1554">
        <v>1491</v>
      </c>
      <c r="N1554" s="2">
        <f t="shared" si="149"/>
        <v>219.42356807511734</v>
      </c>
      <c r="O1554">
        <v>12</v>
      </c>
    </row>
    <row r="1555" spans="1:15" x14ac:dyDescent="0.25">
      <c r="A1555" t="s">
        <v>46</v>
      </c>
      <c r="B1555" t="s">
        <v>15</v>
      </c>
      <c r="C1555" t="s">
        <v>33</v>
      </c>
      <c r="D1555" t="str">
        <f t="shared" si="145"/>
        <v>FAB2_ Des Light Deslactosada Light 1L</v>
      </c>
      <c r="E1555">
        <v>2023</v>
      </c>
      <c r="F1555">
        <v>17</v>
      </c>
      <c r="G1555">
        <f t="shared" si="146"/>
        <v>4</v>
      </c>
      <c r="H1555" s="1">
        <f t="shared" si="147"/>
        <v>45040</v>
      </c>
      <c r="I1555" s="1">
        <f t="shared" si="148"/>
        <v>45017</v>
      </c>
      <c r="J1555">
        <v>385115.17000000004</v>
      </c>
      <c r="K1555">
        <v>22740</v>
      </c>
      <c r="L1555">
        <f t="shared" si="144"/>
        <v>16.935583553210204</v>
      </c>
      <c r="M1555">
        <v>1895</v>
      </c>
      <c r="N1555" s="2">
        <f t="shared" si="149"/>
        <v>203.22700263852244</v>
      </c>
      <c r="O1555">
        <v>12</v>
      </c>
    </row>
    <row r="1556" spans="1:15" x14ac:dyDescent="0.25">
      <c r="A1556" t="s">
        <v>46</v>
      </c>
      <c r="B1556" t="s">
        <v>15</v>
      </c>
      <c r="C1556" t="s">
        <v>33</v>
      </c>
      <c r="D1556" t="str">
        <f t="shared" si="145"/>
        <v>FAB2_ Des Light Deslactosada Light 1L</v>
      </c>
      <c r="E1556">
        <v>2023</v>
      </c>
      <c r="F1556">
        <v>18</v>
      </c>
      <c r="G1556">
        <f t="shared" si="146"/>
        <v>5</v>
      </c>
      <c r="H1556" s="1">
        <f t="shared" si="147"/>
        <v>45047</v>
      </c>
      <c r="I1556" s="1">
        <f t="shared" si="148"/>
        <v>45047</v>
      </c>
      <c r="J1556">
        <v>372697.25000000029</v>
      </c>
      <c r="K1556">
        <v>21276</v>
      </c>
      <c r="L1556">
        <f t="shared" si="144"/>
        <v>17.517261233314546</v>
      </c>
      <c r="M1556">
        <v>1773</v>
      </c>
      <c r="N1556" s="2">
        <f t="shared" si="149"/>
        <v>210.20713479977456</v>
      </c>
      <c r="O1556">
        <v>12</v>
      </c>
    </row>
    <row r="1557" spans="1:15" x14ac:dyDescent="0.25">
      <c r="A1557" t="s">
        <v>46</v>
      </c>
      <c r="B1557" t="s">
        <v>15</v>
      </c>
      <c r="C1557" t="s">
        <v>33</v>
      </c>
      <c r="D1557" t="str">
        <f t="shared" si="145"/>
        <v>FAB2_ Des Light Deslactosada Light 1L</v>
      </c>
      <c r="E1557">
        <v>2023</v>
      </c>
      <c r="F1557">
        <v>19</v>
      </c>
      <c r="G1557">
        <f t="shared" si="146"/>
        <v>5</v>
      </c>
      <c r="H1557" s="1">
        <f t="shared" si="147"/>
        <v>45054</v>
      </c>
      <c r="I1557" s="1">
        <f t="shared" si="148"/>
        <v>45047</v>
      </c>
      <c r="J1557">
        <v>239526.50999999998</v>
      </c>
      <c r="K1557">
        <v>13680</v>
      </c>
      <c r="L1557">
        <f t="shared" si="144"/>
        <v>17.509247807017541</v>
      </c>
      <c r="M1557">
        <v>1140</v>
      </c>
      <c r="N1557" s="2">
        <f t="shared" si="149"/>
        <v>210.11097368421051</v>
      </c>
      <c r="O1557">
        <v>12</v>
      </c>
    </row>
    <row r="1558" spans="1:15" x14ac:dyDescent="0.25">
      <c r="A1558" t="s">
        <v>46</v>
      </c>
      <c r="B1558" t="s">
        <v>15</v>
      </c>
      <c r="C1558" t="s">
        <v>33</v>
      </c>
      <c r="D1558" t="str">
        <f t="shared" si="145"/>
        <v>FAB2_ Des Light Deslactosada Light 1L</v>
      </c>
      <c r="E1558">
        <v>2023</v>
      </c>
      <c r="F1558">
        <v>20</v>
      </c>
      <c r="G1558">
        <f t="shared" si="146"/>
        <v>5</v>
      </c>
      <c r="H1558" s="1">
        <f t="shared" si="147"/>
        <v>45061</v>
      </c>
      <c r="I1558" s="1">
        <f t="shared" si="148"/>
        <v>45047</v>
      </c>
      <c r="J1558">
        <v>285913.75000000012</v>
      </c>
      <c r="K1558">
        <v>16428</v>
      </c>
      <c r="L1558">
        <f t="shared" si="144"/>
        <v>17.404051010469935</v>
      </c>
      <c r="M1558">
        <v>1369</v>
      </c>
      <c r="N1558" s="2">
        <f t="shared" si="149"/>
        <v>208.84861212563925</v>
      </c>
      <c r="O1558">
        <v>12</v>
      </c>
    </row>
    <row r="1559" spans="1:15" x14ac:dyDescent="0.25">
      <c r="A1559" t="s">
        <v>46</v>
      </c>
      <c r="B1559" t="s">
        <v>15</v>
      </c>
      <c r="C1559" t="s">
        <v>33</v>
      </c>
      <c r="D1559" t="str">
        <f t="shared" si="145"/>
        <v>FAB2_ Des Light Deslactosada Light 1L</v>
      </c>
      <c r="E1559">
        <v>2023</v>
      </c>
      <c r="F1559">
        <v>21</v>
      </c>
      <c r="G1559">
        <f t="shared" si="146"/>
        <v>5</v>
      </c>
      <c r="H1559" s="1">
        <f t="shared" si="147"/>
        <v>45068</v>
      </c>
      <c r="I1559" s="1">
        <f t="shared" si="148"/>
        <v>45047</v>
      </c>
      <c r="J1559">
        <v>250164.38999999998</v>
      </c>
      <c r="K1559">
        <v>14004</v>
      </c>
      <c r="L1559">
        <f t="shared" si="144"/>
        <v>17.863781062553556</v>
      </c>
      <c r="M1559">
        <v>1167</v>
      </c>
      <c r="N1559" s="2">
        <f t="shared" si="149"/>
        <v>214.36537275064265</v>
      </c>
      <c r="O1559">
        <v>12</v>
      </c>
    </row>
    <row r="1560" spans="1:15" x14ac:dyDescent="0.25">
      <c r="A1560" t="s">
        <v>46</v>
      </c>
      <c r="B1560" t="s">
        <v>15</v>
      </c>
      <c r="C1560" t="s">
        <v>33</v>
      </c>
      <c r="D1560" t="str">
        <f t="shared" si="145"/>
        <v>FAB2_ Des Light Deslactosada Light 1L</v>
      </c>
      <c r="E1560">
        <v>2023</v>
      </c>
      <c r="F1560">
        <v>22</v>
      </c>
      <c r="G1560">
        <f t="shared" si="146"/>
        <v>6</v>
      </c>
      <c r="H1560" s="1">
        <f t="shared" si="147"/>
        <v>45075</v>
      </c>
      <c r="I1560" s="1">
        <f t="shared" si="148"/>
        <v>45078</v>
      </c>
      <c r="J1560">
        <v>329439.2</v>
      </c>
      <c r="K1560">
        <v>17400</v>
      </c>
      <c r="L1560">
        <f t="shared" si="144"/>
        <v>18.933287356321841</v>
      </c>
      <c r="M1560">
        <v>1450</v>
      </c>
      <c r="N1560" s="2">
        <f t="shared" si="149"/>
        <v>227.19944827586207</v>
      </c>
      <c r="O1560">
        <v>12</v>
      </c>
    </row>
    <row r="1561" spans="1:15" x14ac:dyDescent="0.25">
      <c r="A1561" t="s">
        <v>46</v>
      </c>
      <c r="B1561" t="s">
        <v>15</v>
      </c>
      <c r="C1561" t="s">
        <v>33</v>
      </c>
      <c r="D1561" t="str">
        <f t="shared" si="145"/>
        <v>FAB2_ Des Light Deslactosada Light 1L</v>
      </c>
      <c r="E1561">
        <v>2023</v>
      </c>
      <c r="F1561">
        <v>23</v>
      </c>
      <c r="G1561">
        <f t="shared" si="146"/>
        <v>6</v>
      </c>
      <c r="H1561" s="1">
        <f t="shared" si="147"/>
        <v>45082</v>
      </c>
      <c r="I1561" s="1">
        <f t="shared" si="148"/>
        <v>45078</v>
      </c>
      <c r="J1561">
        <v>315595.84999999992</v>
      </c>
      <c r="K1561">
        <v>16740</v>
      </c>
      <c r="L1561">
        <f t="shared" si="144"/>
        <v>18.852798685782552</v>
      </c>
      <c r="M1561">
        <v>1395</v>
      </c>
      <c r="N1561" s="2">
        <f t="shared" si="149"/>
        <v>226.23358422939063</v>
      </c>
      <c r="O1561">
        <v>12</v>
      </c>
    </row>
    <row r="1562" spans="1:15" x14ac:dyDescent="0.25">
      <c r="A1562" t="s">
        <v>46</v>
      </c>
      <c r="B1562" t="s">
        <v>15</v>
      </c>
      <c r="C1562" t="s">
        <v>33</v>
      </c>
      <c r="D1562" t="str">
        <f t="shared" si="145"/>
        <v>FAB2_ Des Light Deslactosada Light 1L</v>
      </c>
      <c r="E1562">
        <v>2023</v>
      </c>
      <c r="F1562">
        <v>24</v>
      </c>
      <c r="G1562">
        <f t="shared" si="146"/>
        <v>6</v>
      </c>
      <c r="H1562" s="1">
        <f t="shared" si="147"/>
        <v>45089</v>
      </c>
      <c r="I1562" s="1">
        <f t="shared" si="148"/>
        <v>45078</v>
      </c>
      <c r="J1562">
        <v>280728.41000000003</v>
      </c>
      <c r="K1562">
        <v>15636</v>
      </c>
      <c r="L1562">
        <f t="shared" si="144"/>
        <v>17.95397863903812</v>
      </c>
      <c r="M1562">
        <v>1303</v>
      </c>
      <c r="N1562" s="2">
        <f t="shared" si="149"/>
        <v>215.44774366845743</v>
      </c>
      <c r="O1562">
        <v>12</v>
      </c>
    </row>
    <row r="1563" spans="1:15" x14ac:dyDescent="0.25">
      <c r="A1563" t="s">
        <v>46</v>
      </c>
      <c r="B1563" t="s">
        <v>15</v>
      </c>
      <c r="C1563" t="s">
        <v>33</v>
      </c>
      <c r="D1563" t="str">
        <f t="shared" si="145"/>
        <v>FAB2_ Des Light Deslactosada Light 1L</v>
      </c>
      <c r="E1563">
        <v>2023</v>
      </c>
      <c r="F1563">
        <v>25</v>
      </c>
      <c r="G1563">
        <f t="shared" si="146"/>
        <v>6</v>
      </c>
      <c r="H1563" s="1">
        <f t="shared" si="147"/>
        <v>45096</v>
      </c>
      <c r="I1563" s="1">
        <f t="shared" si="148"/>
        <v>45078</v>
      </c>
      <c r="J1563">
        <v>285199.77999999997</v>
      </c>
      <c r="K1563">
        <v>16272</v>
      </c>
      <c r="L1563">
        <f t="shared" si="144"/>
        <v>17.527026794493608</v>
      </c>
      <c r="M1563">
        <v>1356</v>
      </c>
      <c r="N1563" s="2">
        <f t="shared" si="149"/>
        <v>210.32432153392327</v>
      </c>
      <c r="O1563">
        <v>12</v>
      </c>
    </row>
    <row r="1564" spans="1:15" x14ac:dyDescent="0.25">
      <c r="A1564" t="s">
        <v>46</v>
      </c>
      <c r="B1564" t="s">
        <v>15</v>
      </c>
      <c r="C1564" t="s">
        <v>33</v>
      </c>
      <c r="D1564" t="str">
        <f t="shared" si="145"/>
        <v>FAB2_ Des Light Deslactosada Light 1L</v>
      </c>
      <c r="E1564">
        <v>2023</v>
      </c>
      <c r="F1564">
        <v>26</v>
      </c>
      <c r="G1564">
        <f t="shared" si="146"/>
        <v>6</v>
      </c>
      <c r="H1564" s="1">
        <f t="shared" si="147"/>
        <v>45103</v>
      </c>
      <c r="I1564" s="1">
        <f t="shared" si="148"/>
        <v>45078</v>
      </c>
      <c r="J1564">
        <v>243624.78</v>
      </c>
      <c r="K1564">
        <v>13896</v>
      </c>
      <c r="L1564">
        <f t="shared" si="144"/>
        <v>17.532007772020727</v>
      </c>
      <c r="M1564">
        <v>1158</v>
      </c>
      <c r="N1564" s="2">
        <f t="shared" si="149"/>
        <v>210.38409326424869</v>
      </c>
      <c r="O1564">
        <v>12</v>
      </c>
    </row>
    <row r="1565" spans="1:15" x14ac:dyDescent="0.25">
      <c r="A1565" t="s">
        <v>46</v>
      </c>
      <c r="B1565" t="s">
        <v>15</v>
      </c>
      <c r="C1565" t="s">
        <v>33</v>
      </c>
      <c r="D1565" t="str">
        <f t="shared" si="145"/>
        <v>FAB2_ Des Light Deslactosada Light 1L</v>
      </c>
      <c r="E1565">
        <v>2023</v>
      </c>
      <c r="F1565">
        <v>27</v>
      </c>
      <c r="G1565">
        <f t="shared" si="146"/>
        <v>7</v>
      </c>
      <c r="H1565" s="1">
        <f t="shared" si="147"/>
        <v>45110</v>
      </c>
      <c r="I1565" s="1">
        <f t="shared" si="148"/>
        <v>45108</v>
      </c>
      <c r="J1565">
        <v>319702.02</v>
      </c>
      <c r="K1565">
        <v>17940</v>
      </c>
      <c r="L1565">
        <f t="shared" si="144"/>
        <v>17.820625418060203</v>
      </c>
      <c r="M1565">
        <v>1495</v>
      </c>
      <c r="N1565" s="2">
        <f t="shared" si="149"/>
        <v>213.84750501672241</v>
      </c>
      <c r="O1565">
        <v>12</v>
      </c>
    </row>
    <row r="1566" spans="1:15" x14ac:dyDescent="0.25">
      <c r="A1566" t="s">
        <v>46</v>
      </c>
      <c r="B1566" t="s">
        <v>15</v>
      </c>
      <c r="C1566" t="s">
        <v>33</v>
      </c>
      <c r="D1566" t="str">
        <f t="shared" si="145"/>
        <v>FAB2_ Des Light Deslactosada Light 1L</v>
      </c>
      <c r="E1566">
        <v>2023</v>
      </c>
      <c r="F1566">
        <v>28</v>
      </c>
      <c r="G1566">
        <f t="shared" si="146"/>
        <v>7</v>
      </c>
      <c r="H1566" s="1">
        <f t="shared" si="147"/>
        <v>45117</v>
      </c>
      <c r="I1566" s="1">
        <f t="shared" si="148"/>
        <v>45108</v>
      </c>
      <c r="J1566">
        <v>247149.53</v>
      </c>
      <c r="K1566">
        <v>12888</v>
      </c>
      <c r="L1566">
        <f t="shared" si="144"/>
        <v>19.176717101179392</v>
      </c>
      <c r="M1566">
        <v>1074</v>
      </c>
      <c r="N1566" s="2">
        <f t="shared" si="149"/>
        <v>230.1206052141527</v>
      </c>
      <c r="O1566">
        <v>12</v>
      </c>
    </row>
    <row r="1567" spans="1:15" x14ac:dyDescent="0.25">
      <c r="A1567" t="s">
        <v>46</v>
      </c>
      <c r="B1567" t="s">
        <v>15</v>
      </c>
      <c r="C1567" t="s">
        <v>33</v>
      </c>
      <c r="D1567" t="str">
        <f t="shared" si="145"/>
        <v>FAB2_ Des Light Deslactosada Light 1L</v>
      </c>
      <c r="E1567">
        <v>2023</v>
      </c>
      <c r="F1567">
        <v>29</v>
      </c>
      <c r="G1567">
        <f t="shared" si="146"/>
        <v>7</v>
      </c>
      <c r="H1567" s="1">
        <f t="shared" si="147"/>
        <v>45124</v>
      </c>
      <c r="I1567" s="1">
        <f t="shared" si="148"/>
        <v>45108</v>
      </c>
      <c r="J1567">
        <v>290153.56999999995</v>
      </c>
      <c r="K1567">
        <v>15636</v>
      </c>
      <c r="L1567">
        <f t="shared" si="144"/>
        <v>18.556764517779481</v>
      </c>
      <c r="M1567">
        <v>1303</v>
      </c>
      <c r="N1567" s="2">
        <f t="shared" si="149"/>
        <v>222.68117421335376</v>
      </c>
      <c r="O1567">
        <v>12</v>
      </c>
    </row>
    <row r="1568" spans="1:15" x14ac:dyDescent="0.25">
      <c r="A1568" t="s">
        <v>46</v>
      </c>
      <c r="B1568" t="s">
        <v>15</v>
      </c>
      <c r="C1568" t="s">
        <v>33</v>
      </c>
      <c r="D1568" t="str">
        <f t="shared" si="145"/>
        <v>FAB2_ Des Light Deslactosada Light 1L</v>
      </c>
      <c r="E1568">
        <v>2023</v>
      </c>
      <c r="F1568">
        <v>30</v>
      </c>
      <c r="G1568">
        <f t="shared" si="146"/>
        <v>7</v>
      </c>
      <c r="H1568" s="1">
        <f t="shared" si="147"/>
        <v>45131</v>
      </c>
      <c r="I1568" s="1">
        <f t="shared" si="148"/>
        <v>45108</v>
      </c>
      <c r="J1568">
        <v>229587.16999999998</v>
      </c>
      <c r="K1568">
        <v>11964</v>
      </c>
      <c r="L1568">
        <f t="shared" ref="L1568:L1631" si="150">J1568/(M1568*O1568)</f>
        <v>19.189833667669674</v>
      </c>
      <c r="M1568">
        <v>997</v>
      </c>
      <c r="N1568" s="2">
        <f t="shared" si="149"/>
        <v>230.27800401203609</v>
      </c>
      <c r="O1568">
        <v>12</v>
      </c>
    </row>
    <row r="1569" spans="1:15" x14ac:dyDescent="0.25">
      <c r="A1569" t="s">
        <v>46</v>
      </c>
      <c r="B1569" t="s">
        <v>15</v>
      </c>
      <c r="C1569" t="s">
        <v>33</v>
      </c>
      <c r="D1569" t="str">
        <f t="shared" si="145"/>
        <v>FAB2_ Des Light Deslactosada Light 1L</v>
      </c>
      <c r="E1569">
        <v>2023</v>
      </c>
      <c r="F1569">
        <v>31</v>
      </c>
      <c r="G1569">
        <f t="shared" si="146"/>
        <v>8</v>
      </c>
      <c r="H1569" s="1">
        <f t="shared" si="147"/>
        <v>45138</v>
      </c>
      <c r="I1569" s="1">
        <f t="shared" si="148"/>
        <v>45139</v>
      </c>
      <c r="J1569">
        <v>310399.12999999989</v>
      </c>
      <c r="K1569">
        <v>15732</v>
      </c>
      <c r="L1569">
        <f t="shared" si="150"/>
        <v>19.730430333079067</v>
      </c>
      <c r="M1569">
        <v>1311</v>
      </c>
      <c r="N1569" s="2">
        <f t="shared" si="149"/>
        <v>236.76516399694881</v>
      </c>
      <c r="O1569">
        <v>12</v>
      </c>
    </row>
    <row r="1570" spans="1:15" x14ac:dyDescent="0.25">
      <c r="A1570" t="s">
        <v>46</v>
      </c>
      <c r="B1570" t="s">
        <v>15</v>
      </c>
      <c r="C1570" t="s">
        <v>33</v>
      </c>
      <c r="D1570" t="str">
        <f t="shared" si="145"/>
        <v>FAB2_ Des Light Deslactosada Light 1L</v>
      </c>
      <c r="E1570">
        <v>2023</v>
      </c>
      <c r="F1570">
        <v>32</v>
      </c>
      <c r="G1570">
        <f t="shared" si="146"/>
        <v>8</v>
      </c>
      <c r="H1570" s="1">
        <f t="shared" si="147"/>
        <v>45145</v>
      </c>
      <c r="I1570" s="1">
        <f t="shared" si="148"/>
        <v>45139</v>
      </c>
      <c r="J1570">
        <v>238583.74999999997</v>
      </c>
      <c r="K1570">
        <v>11484</v>
      </c>
      <c r="L1570">
        <f t="shared" si="150"/>
        <v>20.775317833507486</v>
      </c>
      <c r="M1570">
        <v>957</v>
      </c>
      <c r="N1570" s="2">
        <f t="shared" si="149"/>
        <v>249.30381400208984</v>
      </c>
      <c r="O1570">
        <v>12</v>
      </c>
    </row>
    <row r="1571" spans="1:15" x14ac:dyDescent="0.25">
      <c r="A1571" t="s">
        <v>46</v>
      </c>
      <c r="B1571" t="s">
        <v>15</v>
      </c>
      <c r="C1571" t="s">
        <v>33</v>
      </c>
      <c r="D1571" t="str">
        <f t="shared" si="145"/>
        <v>FAB2_ Des Light Deslactosada Light 1L</v>
      </c>
      <c r="E1571">
        <v>2023</v>
      </c>
      <c r="F1571">
        <v>33</v>
      </c>
      <c r="G1571">
        <f t="shared" si="146"/>
        <v>8</v>
      </c>
      <c r="H1571" s="1">
        <f t="shared" si="147"/>
        <v>45152</v>
      </c>
      <c r="I1571" s="1">
        <f t="shared" si="148"/>
        <v>45139</v>
      </c>
      <c r="J1571">
        <v>279216.15999999986</v>
      </c>
      <c r="K1571">
        <v>14016</v>
      </c>
      <c r="L1571">
        <f t="shared" si="150"/>
        <v>19.921244292237432</v>
      </c>
      <c r="M1571">
        <v>1168</v>
      </c>
      <c r="N1571" s="2">
        <f t="shared" si="149"/>
        <v>239.05493150684919</v>
      </c>
      <c r="O1571">
        <v>12</v>
      </c>
    </row>
    <row r="1572" spans="1:15" x14ac:dyDescent="0.25">
      <c r="A1572" t="s">
        <v>46</v>
      </c>
      <c r="B1572" t="s">
        <v>15</v>
      </c>
      <c r="C1572" t="s">
        <v>33</v>
      </c>
      <c r="D1572" t="str">
        <f t="shared" si="145"/>
        <v>FAB2_ Des Light Deslactosada Light 1L</v>
      </c>
      <c r="E1572">
        <v>2023</v>
      </c>
      <c r="F1572">
        <v>34</v>
      </c>
      <c r="G1572">
        <f t="shared" si="146"/>
        <v>8</v>
      </c>
      <c r="H1572" s="1">
        <f t="shared" si="147"/>
        <v>45159</v>
      </c>
      <c r="I1572" s="1">
        <f t="shared" si="148"/>
        <v>45139</v>
      </c>
      <c r="J1572">
        <v>275474.96999999991</v>
      </c>
      <c r="K1572">
        <v>13908</v>
      </c>
      <c r="L1572">
        <f t="shared" si="150"/>
        <v>19.806943485763583</v>
      </c>
      <c r="M1572">
        <v>1159</v>
      </c>
      <c r="N1572" s="2">
        <f t="shared" si="149"/>
        <v>237.68332182916299</v>
      </c>
      <c r="O1572">
        <v>12</v>
      </c>
    </row>
    <row r="1573" spans="1:15" x14ac:dyDescent="0.25">
      <c r="A1573" t="s">
        <v>46</v>
      </c>
      <c r="B1573" t="s">
        <v>15</v>
      </c>
      <c r="C1573" t="s">
        <v>33</v>
      </c>
      <c r="D1573" t="str">
        <f t="shared" si="145"/>
        <v>FAB2_ Des Light Deslactosada Light 1L</v>
      </c>
      <c r="E1573">
        <v>2023</v>
      </c>
      <c r="F1573">
        <v>35</v>
      </c>
      <c r="G1573">
        <f t="shared" si="146"/>
        <v>8</v>
      </c>
      <c r="H1573" s="1">
        <f t="shared" si="147"/>
        <v>45166</v>
      </c>
      <c r="I1573" s="1">
        <f t="shared" si="148"/>
        <v>45139</v>
      </c>
      <c r="J1573">
        <v>235266.35000000003</v>
      </c>
      <c r="K1573">
        <v>11496</v>
      </c>
      <c r="L1573">
        <f t="shared" si="150"/>
        <v>20.465061760612389</v>
      </c>
      <c r="M1573">
        <v>958</v>
      </c>
      <c r="N1573" s="2">
        <f t="shared" si="149"/>
        <v>245.58074112734869</v>
      </c>
      <c r="O1573">
        <v>12</v>
      </c>
    </row>
    <row r="1574" spans="1:15" x14ac:dyDescent="0.25">
      <c r="A1574" t="s">
        <v>46</v>
      </c>
      <c r="B1574" t="s">
        <v>15</v>
      </c>
      <c r="C1574" t="s">
        <v>33</v>
      </c>
      <c r="D1574" t="str">
        <f t="shared" si="145"/>
        <v>FAB2_ Des Light Deslactosada Light 1L</v>
      </c>
      <c r="E1574">
        <v>2023</v>
      </c>
      <c r="F1574">
        <v>36</v>
      </c>
      <c r="G1574">
        <f t="shared" si="146"/>
        <v>9</v>
      </c>
      <c r="H1574" s="1">
        <f t="shared" si="147"/>
        <v>45173</v>
      </c>
      <c r="I1574" s="1">
        <f t="shared" si="148"/>
        <v>45170</v>
      </c>
      <c r="J1574">
        <v>273409.1399999999</v>
      </c>
      <c r="K1574">
        <v>13272</v>
      </c>
      <c r="L1574">
        <f t="shared" si="150"/>
        <v>20.600447558770338</v>
      </c>
      <c r="M1574">
        <v>1106</v>
      </c>
      <c r="N1574" s="2">
        <f t="shared" si="149"/>
        <v>247.20537070524404</v>
      </c>
      <c r="O1574">
        <v>12</v>
      </c>
    </row>
    <row r="1575" spans="1:15" x14ac:dyDescent="0.25">
      <c r="A1575" t="s">
        <v>46</v>
      </c>
      <c r="B1575" t="s">
        <v>15</v>
      </c>
      <c r="C1575" t="s">
        <v>33</v>
      </c>
      <c r="D1575" t="str">
        <f t="shared" si="145"/>
        <v>FAB2_ Des Light Deslactosada Light 1L</v>
      </c>
      <c r="E1575">
        <v>2023</v>
      </c>
      <c r="F1575">
        <v>37</v>
      </c>
      <c r="G1575">
        <f t="shared" si="146"/>
        <v>9</v>
      </c>
      <c r="H1575" s="1">
        <f t="shared" si="147"/>
        <v>45180</v>
      </c>
      <c r="I1575" s="1">
        <f t="shared" si="148"/>
        <v>45170</v>
      </c>
      <c r="J1575">
        <v>312019.16999999993</v>
      </c>
      <c r="K1575">
        <v>15696</v>
      </c>
      <c r="L1575">
        <f t="shared" si="150"/>
        <v>19.878897171253818</v>
      </c>
      <c r="M1575">
        <v>1308</v>
      </c>
      <c r="N1575" s="2">
        <f t="shared" si="149"/>
        <v>238.54676605504582</v>
      </c>
      <c r="O1575">
        <v>12</v>
      </c>
    </row>
    <row r="1576" spans="1:15" x14ac:dyDescent="0.25">
      <c r="A1576" t="s">
        <v>46</v>
      </c>
      <c r="B1576" t="s">
        <v>15</v>
      </c>
      <c r="C1576" t="s">
        <v>33</v>
      </c>
      <c r="D1576" t="str">
        <f t="shared" si="145"/>
        <v>FAB2_ Des Light Deslactosada Light 1L</v>
      </c>
      <c r="E1576">
        <v>2023</v>
      </c>
      <c r="F1576">
        <v>38</v>
      </c>
      <c r="G1576">
        <f t="shared" si="146"/>
        <v>9</v>
      </c>
      <c r="H1576" s="1">
        <f t="shared" si="147"/>
        <v>45187</v>
      </c>
      <c r="I1576" s="1">
        <f t="shared" si="148"/>
        <v>45170</v>
      </c>
      <c r="J1576">
        <v>333530.47999999986</v>
      </c>
      <c r="K1576">
        <v>17016</v>
      </c>
      <c r="L1576">
        <f t="shared" si="150"/>
        <v>19.600992007522326</v>
      </c>
      <c r="M1576">
        <v>1418</v>
      </c>
      <c r="N1576" s="2">
        <f t="shared" si="149"/>
        <v>235.21190409026789</v>
      </c>
      <c r="O1576">
        <v>12</v>
      </c>
    </row>
    <row r="1577" spans="1:15" x14ac:dyDescent="0.25">
      <c r="A1577" t="s">
        <v>46</v>
      </c>
      <c r="B1577" t="s">
        <v>15</v>
      </c>
      <c r="C1577" t="s">
        <v>33</v>
      </c>
      <c r="D1577" t="str">
        <f t="shared" si="145"/>
        <v>FAB2_ Des Light Deslactosada Light 1L</v>
      </c>
      <c r="E1577">
        <v>2023</v>
      </c>
      <c r="F1577">
        <v>39</v>
      </c>
      <c r="G1577">
        <f t="shared" si="146"/>
        <v>9</v>
      </c>
      <c r="H1577" s="1">
        <f t="shared" si="147"/>
        <v>45194</v>
      </c>
      <c r="I1577" s="1">
        <f t="shared" si="148"/>
        <v>45170</v>
      </c>
      <c r="J1577">
        <v>329490.28999999986</v>
      </c>
      <c r="K1577">
        <v>16200</v>
      </c>
      <c r="L1577">
        <f t="shared" si="150"/>
        <v>20.338906790123449</v>
      </c>
      <c r="M1577">
        <v>1350</v>
      </c>
      <c r="N1577" s="2">
        <f t="shared" si="149"/>
        <v>244.06688148148137</v>
      </c>
      <c r="O1577">
        <v>12</v>
      </c>
    </row>
    <row r="1578" spans="1:15" x14ac:dyDescent="0.25">
      <c r="A1578" t="s">
        <v>46</v>
      </c>
      <c r="B1578" t="s">
        <v>15</v>
      </c>
      <c r="C1578" t="s">
        <v>33</v>
      </c>
      <c r="D1578" t="str">
        <f t="shared" si="145"/>
        <v>FAB2_ Des Light Deslactosada Light 1L</v>
      </c>
      <c r="E1578">
        <v>2023</v>
      </c>
      <c r="F1578">
        <v>40</v>
      </c>
      <c r="G1578">
        <f t="shared" si="146"/>
        <v>10</v>
      </c>
      <c r="H1578" s="1">
        <f t="shared" si="147"/>
        <v>45201</v>
      </c>
      <c r="I1578" s="1">
        <f t="shared" si="148"/>
        <v>45200</v>
      </c>
      <c r="J1578">
        <v>287313.35999999987</v>
      </c>
      <c r="K1578">
        <v>14316</v>
      </c>
      <c r="L1578">
        <f t="shared" si="150"/>
        <v>20.069388097233855</v>
      </c>
      <c r="M1578">
        <v>1193</v>
      </c>
      <c r="N1578" s="2">
        <f t="shared" si="149"/>
        <v>240.83265716680626</v>
      </c>
      <c r="O1578">
        <v>12</v>
      </c>
    </row>
    <row r="1579" spans="1:15" x14ac:dyDescent="0.25">
      <c r="A1579" t="s">
        <v>46</v>
      </c>
      <c r="B1579" t="s">
        <v>15</v>
      </c>
      <c r="C1579" t="s">
        <v>33</v>
      </c>
      <c r="D1579" t="str">
        <f t="shared" si="145"/>
        <v>FAB2_ Des Light Deslactosada Light 1L</v>
      </c>
      <c r="E1579">
        <v>2023</v>
      </c>
      <c r="F1579">
        <v>41</v>
      </c>
      <c r="G1579">
        <f t="shared" si="146"/>
        <v>10</v>
      </c>
      <c r="H1579" s="1">
        <f t="shared" si="147"/>
        <v>45208</v>
      </c>
      <c r="I1579" s="1">
        <f t="shared" si="148"/>
        <v>45200</v>
      </c>
      <c r="J1579">
        <v>330821.2799999998</v>
      </c>
      <c r="K1579">
        <v>16704</v>
      </c>
      <c r="L1579">
        <f t="shared" si="150"/>
        <v>19.804913793103434</v>
      </c>
      <c r="M1579">
        <v>1392</v>
      </c>
      <c r="N1579" s="2">
        <f t="shared" si="149"/>
        <v>237.65896551724123</v>
      </c>
      <c r="O1579">
        <v>12</v>
      </c>
    </row>
    <row r="1580" spans="1:15" x14ac:dyDescent="0.25">
      <c r="A1580" t="s">
        <v>46</v>
      </c>
      <c r="B1580" t="s">
        <v>15</v>
      </c>
      <c r="C1580" t="s">
        <v>33</v>
      </c>
      <c r="D1580" t="str">
        <f t="shared" si="145"/>
        <v>FAB2_ Des Light Deslactosada Light 1L</v>
      </c>
      <c r="E1580">
        <v>2023</v>
      </c>
      <c r="F1580">
        <v>42</v>
      </c>
      <c r="G1580">
        <f t="shared" si="146"/>
        <v>10</v>
      </c>
      <c r="H1580" s="1">
        <f t="shared" si="147"/>
        <v>45215</v>
      </c>
      <c r="I1580" s="1">
        <f t="shared" si="148"/>
        <v>45200</v>
      </c>
      <c r="J1580">
        <v>399703.51999999973</v>
      </c>
      <c r="K1580">
        <v>20796</v>
      </c>
      <c r="L1580">
        <f t="shared" si="150"/>
        <v>19.220211579149822</v>
      </c>
      <c r="M1580">
        <v>1733</v>
      </c>
      <c r="N1580" s="2">
        <f t="shared" si="149"/>
        <v>230.64253894979788</v>
      </c>
      <c r="O1580">
        <v>12</v>
      </c>
    </row>
    <row r="1581" spans="1:15" x14ac:dyDescent="0.25">
      <c r="A1581" t="s">
        <v>46</v>
      </c>
      <c r="B1581" t="s">
        <v>15</v>
      </c>
      <c r="C1581" t="s">
        <v>33</v>
      </c>
      <c r="D1581" t="str">
        <f t="shared" si="145"/>
        <v>FAB2_ Des Light Deslactosada Light 1L</v>
      </c>
      <c r="E1581">
        <v>2023</v>
      </c>
      <c r="F1581">
        <v>43</v>
      </c>
      <c r="G1581">
        <f t="shared" si="146"/>
        <v>10</v>
      </c>
      <c r="H1581" s="1">
        <f t="shared" si="147"/>
        <v>45222</v>
      </c>
      <c r="I1581" s="1">
        <f t="shared" si="148"/>
        <v>45200</v>
      </c>
      <c r="J1581">
        <v>292568.84999999998</v>
      </c>
      <c r="K1581">
        <v>15156</v>
      </c>
      <c r="L1581">
        <f t="shared" si="150"/>
        <v>19.303830166270782</v>
      </c>
      <c r="M1581">
        <v>1263</v>
      </c>
      <c r="N1581" s="2">
        <f t="shared" si="149"/>
        <v>231.64596199524939</v>
      </c>
      <c r="O1581">
        <v>12</v>
      </c>
    </row>
    <row r="1582" spans="1:15" x14ac:dyDescent="0.25">
      <c r="A1582" t="s">
        <v>46</v>
      </c>
      <c r="B1582" t="s">
        <v>15</v>
      </c>
      <c r="C1582" t="s">
        <v>33</v>
      </c>
      <c r="D1582" t="str">
        <f t="shared" si="145"/>
        <v>FAB2_ Des Light Deslactosada Light 1L</v>
      </c>
      <c r="E1582">
        <v>2023</v>
      </c>
      <c r="F1582">
        <v>44</v>
      </c>
      <c r="G1582">
        <f t="shared" si="146"/>
        <v>11</v>
      </c>
      <c r="H1582" s="1">
        <f t="shared" si="147"/>
        <v>45229</v>
      </c>
      <c r="I1582" s="1">
        <f t="shared" si="148"/>
        <v>45231</v>
      </c>
      <c r="J1582">
        <v>319539.4599999999</v>
      </c>
      <c r="K1582">
        <v>16644</v>
      </c>
      <c r="L1582">
        <f t="shared" si="150"/>
        <v>19.198477529440034</v>
      </c>
      <c r="M1582">
        <v>1387</v>
      </c>
      <c r="N1582" s="2">
        <f t="shared" si="149"/>
        <v>230.3817303532804</v>
      </c>
      <c r="O1582">
        <v>12</v>
      </c>
    </row>
    <row r="1583" spans="1:15" x14ac:dyDescent="0.25">
      <c r="A1583" t="s">
        <v>46</v>
      </c>
      <c r="B1583" t="s">
        <v>15</v>
      </c>
      <c r="C1583" t="s">
        <v>33</v>
      </c>
      <c r="D1583" t="str">
        <f t="shared" si="145"/>
        <v>FAB2_ Des Light Deslactosada Light 1L</v>
      </c>
      <c r="E1583">
        <v>2023</v>
      </c>
      <c r="F1583">
        <v>45</v>
      </c>
      <c r="G1583">
        <f t="shared" si="146"/>
        <v>11</v>
      </c>
      <c r="H1583" s="1">
        <f t="shared" si="147"/>
        <v>45236</v>
      </c>
      <c r="I1583" s="1">
        <f t="shared" si="148"/>
        <v>45231</v>
      </c>
      <c r="J1583">
        <v>344285.01000000013</v>
      </c>
      <c r="K1583">
        <v>18216</v>
      </c>
      <c r="L1583">
        <f t="shared" si="150"/>
        <v>18.900143280632417</v>
      </c>
      <c r="M1583">
        <v>1518</v>
      </c>
      <c r="N1583" s="2">
        <f t="shared" si="149"/>
        <v>226.80171936758902</v>
      </c>
      <c r="O1583">
        <v>12</v>
      </c>
    </row>
    <row r="1584" spans="1:15" x14ac:dyDescent="0.25">
      <c r="A1584" t="s">
        <v>46</v>
      </c>
      <c r="B1584" t="s">
        <v>15</v>
      </c>
      <c r="C1584" t="s">
        <v>33</v>
      </c>
      <c r="D1584" t="str">
        <f t="shared" si="145"/>
        <v>FAB2_ Des Light Deslactosada Light 1L</v>
      </c>
      <c r="E1584">
        <v>2023</v>
      </c>
      <c r="F1584">
        <v>46</v>
      </c>
      <c r="G1584">
        <f t="shared" si="146"/>
        <v>11</v>
      </c>
      <c r="H1584" s="1">
        <f t="shared" si="147"/>
        <v>45243</v>
      </c>
      <c r="I1584" s="1">
        <f t="shared" si="148"/>
        <v>45231</v>
      </c>
      <c r="J1584">
        <v>334458.71000000014</v>
      </c>
      <c r="K1584">
        <v>17592</v>
      </c>
      <c r="L1584">
        <f t="shared" si="150"/>
        <v>19.011977603456124</v>
      </c>
      <c r="M1584">
        <v>1466</v>
      </c>
      <c r="N1584" s="2">
        <f t="shared" si="149"/>
        <v>228.14373124147349</v>
      </c>
      <c r="O1584">
        <v>12</v>
      </c>
    </row>
    <row r="1585" spans="1:15" x14ac:dyDescent="0.25">
      <c r="A1585" t="s">
        <v>46</v>
      </c>
      <c r="B1585" t="s">
        <v>15</v>
      </c>
      <c r="C1585" t="s">
        <v>33</v>
      </c>
      <c r="D1585" t="str">
        <f t="shared" si="145"/>
        <v>FAB2_ Des Light Deslactosada Light 1L</v>
      </c>
      <c r="E1585">
        <v>2023</v>
      </c>
      <c r="F1585">
        <v>47</v>
      </c>
      <c r="G1585">
        <f t="shared" si="146"/>
        <v>11</v>
      </c>
      <c r="H1585" s="1">
        <f t="shared" si="147"/>
        <v>45250</v>
      </c>
      <c r="I1585" s="1">
        <f t="shared" si="148"/>
        <v>45231</v>
      </c>
      <c r="J1585">
        <v>362738.57000000012</v>
      </c>
      <c r="K1585">
        <v>18924</v>
      </c>
      <c r="L1585">
        <f t="shared" si="150"/>
        <v>19.168176389769613</v>
      </c>
      <c r="M1585">
        <v>1577</v>
      </c>
      <c r="N1585" s="2">
        <f t="shared" si="149"/>
        <v>230.01811667723533</v>
      </c>
      <c r="O1585">
        <v>12</v>
      </c>
    </row>
    <row r="1586" spans="1:15" x14ac:dyDescent="0.25">
      <c r="A1586" t="s">
        <v>46</v>
      </c>
      <c r="B1586" t="s">
        <v>15</v>
      </c>
      <c r="C1586" t="s">
        <v>33</v>
      </c>
      <c r="D1586" t="str">
        <f t="shared" si="145"/>
        <v>FAB2_ Des Light Deslactosada Light 1L</v>
      </c>
      <c r="E1586">
        <v>2023</v>
      </c>
      <c r="F1586">
        <v>48</v>
      </c>
      <c r="G1586">
        <f t="shared" si="146"/>
        <v>11</v>
      </c>
      <c r="H1586" s="1">
        <f t="shared" si="147"/>
        <v>45257</v>
      </c>
      <c r="I1586" s="1">
        <f t="shared" si="148"/>
        <v>45231</v>
      </c>
      <c r="J1586">
        <v>283555.05999999994</v>
      </c>
      <c r="K1586">
        <v>14652</v>
      </c>
      <c r="L1586">
        <f t="shared" si="150"/>
        <v>19.352652197652194</v>
      </c>
      <c r="M1586">
        <v>1221</v>
      </c>
      <c r="N1586" s="2">
        <f t="shared" si="149"/>
        <v>232.23182637182632</v>
      </c>
      <c r="O1586">
        <v>12</v>
      </c>
    </row>
    <row r="1587" spans="1:15" x14ac:dyDescent="0.25">
      <c r="A1587" t="s">
        <v>46</v>
      </c>
      <c r="B1587" t="s">
        <v>15</v>
      </c>
      <c r="C1587" t="s">
        <v>33</v>
      </c>
      <c r="D1587" t="str">
        <f t="shared" si="145"/>
        <v>FAB2_ Des Light Deslactosada Light 1L</v>
      </c>
      <c r="E1587">
        <v>2023</v>
      </c>
      <c r="F1587">
        <v>49</v>
      </c>
      <c r="G1587">
        <f t="shared" si="146"/>
        <v>12</v>
      </c>
      <c r="H1587" s="1">
        <f t="shared" si="147"/>
        <v>45264</v>
      </c>
      <c r="I1587" s="1">
        <f t="shared" si="148"/>
        <v>45261</v>
      </c>
      <c r="J1587">
        <v>325378.97000000003</v>
      </c>
      <c r="K1587">
        <v>16800</v>
      </c>
      <c r="L1587">
        <f t="shared" si="150"/>
        <v>19.367795833333336</v>
      </c>
      <c r="M1587">
        <v>1400</v>
      </c>
      <c r="N1587" s="2">
        <f t="shared" si="149"/>
        <v>232.41355000000001</v>
      </c>
      <c r="O1587">
        <v>12</v>
      </c>
    </row>
    <row r="1588" spans="1:15" x14ac:dyDescent="0.25">
      <c r="A1588" t="s">
        <v>46</v>
      </c>
      <c r="B1588" t="s">
        <v>15</v>
      </c>
      <c r="C1588" t="s">
        <v>33</v>
      </c>
      <c r="D1588" t="str">
        <f t="shared" si="145"/>
        <v>FAB2_ Des Light Deslactosada Light 1L</v>
      </c>
      <c r="E1588">
        <v>2023</v>
      </c>
      <c r="F1588">
        <v>50</v>
      </c>
      <c r="G1588">
        <f t="shared" si="146"/>
        <v>12</v>
      </c>
      <c r="H1588" s="1">
        <f t="shared" si="147"/>
        <v>45271</v>
      </c>
      <c r="I1588" s="1">
        <f t="shared" si="148"/>
        <v>45261</v>
      </c>
      <c r="J1588">
        <v>345643.60000000003</v>
      </c>
      <c r="K1588">
        <v>17436</v>
      </c>
      <c r="L1588">
        <f t="shared" si="150"/>
        <v>19.823560449644415</v>
      </c>
      <c r="M1588">
        <v>1453</v>
      </c>
      <c r="N1588" s="2">
        <f t="shared" si="149"/>
        <v>237.88272539573299</v>
      </c>
      <c r="O1588">
        <v>12</v>
      </c>
    </row>
    <row r="1589" spans="1:15" x14ac:dyDescent="0.25">
      <c r="A1589" t="s">
        <v>46</v>
      </c>
      <c r="B1589" t="s">
        <v>15</v>
      </c>
      <c r="C1589" t="s">
        <v>33</v>
      </c>
      <c r="D1589" t="str">
        <f t="shared" si="145"/>
        <v>FAB2_ Des Light Deslactosada Light 1L</v>
      </c>
      <c r="E1589">
        <v>2023</v>
      </c>
      <c r="F1589">
        <v>51</v>
      </c>
      <c r="G1589">
        <f t="shared" si="146"/>
        <v>12</v>
      </c>
      <c r="H1589" s="1">
        <f t="shared" si="147"/>
        <v>45278</v>
      </c>
      <c r="I1589" s="1">
        <f t="shared" si="148"/>
        <v>45261</v>
      </c>
      <c r="J1589">
        <v>329016.4800000001</v>
      </c>
      <c r="K1589">
        <v>16896</v>
      </c>
      <c r="L1589">
        <f t="shared" si="150"/>
        <v>19.473039772727279</v>
      </c>
      <c r="M1589">
        <v>1408</v>
      </c>
      <c r="N1589" s="2">
        <f t="shared" si="149"/>
        <v>233.67647727272734</v>
      </c>
      <c r="O1589">
        <v>12</v>
      </c>
    </row>
    <row r="1590" spans="1:15" x14ac:dyDescent="0.25">
      <c r="A1590" t="s">
        <v>46</v>
      </c>
      <c r="B1590" t="s">
        <v>15</v>
      </c>
      <c r="C1590" t="s">
        <v>33</v>
      </c>
      <c r="D1590" t="str">
        <f t="shared" si="145"/>
        <v>FAB2_ Des Light Deslactosada Light 1L</v>
      </c>
      <c r="E1590">
        <v>2023</v>
      </c>
      <c r="F1590">
        <v>52</v>
      </c>
      <c r="G1590">
        <f t="shared" si="146"/>
        <v>12</v>
      </c>
      <c r="H1590" s="1">
        <f t="shared" si="147"/>
        <v>45285</v>
      </c>
      <c r="I1590" s="1">
        <f t="shared" si="148"/>
        <v>45261</v>
      </c>
      <c r="J1590">
        <v>286378.60000000009</v>
      </c>
      <c r="K1590">
        <v>14604</v>
      </c>
      <c r="L1590">
        <f t="shared" si="150"/>
        <v>19.609600109559032</v>
      </c>
      <c r="M1590">
        <v>1217</v>
      </c>
      <c r="N1590" s="2">
        <f t="shared" si="149"/>
        <v>235.31520131470839</v>
      </c>
      <c r="O1590">
        <v>12</v>
      </c>
    </row>
    <row r="1591" spans="1:15" x14ac:dyDescent="0.25">
      <c r="A1591" t="s">
        <v>46</v>
      </c>
      <c r="B1591" t="s">
        <v>15</v>
      </c>
      <c r="C1591" t="s">
        <v>33</v>
      </c>
      <c r="D1591" t="str">
        <f t="shared" si="145"/>
        <v>FAB2_ Des Light Deslactosada Light 1L</v>
      </c>
      <c r="E1591">
        <v>2024</v>
      </c>
      <c r="F1591">
        <v>1</v>
      </c>
      <c r="G1591">
        <f t="shared" si="146"/>
        <v>1</v>
      </c>
      <c r="H1591" s="1">
        <f t="shared" si="147"/>
        <v>45292</v>
      </c>
      <c r="I1591" s="1">
        <f t="shared" si="148"/>
        <v>45292</v>
      </c>
      <c r="J1591">
        <v>314590.98</v>
      </c>
      <c r="K1591">
        <v>15312</v>
      </c>
      <c r="L1591">
        <f t="shared" si="150"/>
        <v>20.545387931034483</v>
      </c>
      <c r="M1591">
        <v>1276</v>
      </c>
      <c r="N1591" s="2">
        <f t="shared" si="149"/>
        <v>246.54465517241377</v>
      </c>
      <c r="O1591">
        <v>12</v>
      </c>
    </row>
    <row r="1592" spans="1:15" x14ac:dyDescent="0.25">
      <c r="A1592" t="s">
        <v>46</v>
      </c>
      <c r="B1592" t="s">
        <v>15</v>
      </c>
      <c r="C1592" t="s">
        <v>33</v>
      </c>
      <c r="D1592" t="str">
        <f t="shared" si="145"/>
        <v>FAB2_ Des Light Deslactosada Light 1L</v>
      </c>
      <c r="E1592">
        <v>2024</v>
      </c>
      <c r="F1592">
        <v>2</v>
      </c>
      <c r="G1592">
        <f t="shared" si="146"/>
        <v>1</v>
      </c>
      <c r="H1592" s="1">
        <f t="shared" si="147"/>
        <v>45299</v>
      </c>
      <c r="I1592" s="1">
        <f t="shared" si="148"/>
        <v>45292</v>
      </c>
      <c r="J1592">
        <v>273965.90999999992</v>
      </c>
      <c r="K1592">
        <v>13092</v>
      </c>
      <c r="L1592">
        <f t="shared" si="150"/>
        <v>20.926207607699354</v>
      </c>
      <c r="M1592">
        <v>1091</v>
      </c>
      <c r="N1592" s="2">
        <f t="shared" si="149"/>
        <v>251.11449129239222</v>
      </c>
      <c r="O1592">
        <v>12</v>
      </c>
    </row>
    <row r="1593" spans="1:15" x14ac:dyDescent="0.25">
      <c r="A1593" t="s">
        <v>46</v>
      </c>
      <c r="B1593" t="s">
        <v>15</v>
      </c>
      <c r="C1593" t="s">
        <v>33</v>
      </c>
      <c r="D1593" t="str">
        <f t="shared" si="145"/>
        <v>FAB2_ Des Light Deslactosada Light 1L</v>
      </c>
      <c r="E1593">
        <v>2024</v>
      </c>
      <c r="F1593">
        <v>3</v>
      </c>
      <c r="G1593">
        <f t="shared" si="146"/>
        <v>1</v>
      </c>
      <c r="H1593" s="1">
        <f t="shared" si="147"/>
        <v>45306</v>
      </c>
      <c r="I1593" s="1">
        <f t="shared" si="148"/>
        <v>45292</v>
      </c>
      <c r="J1593">
        <v>276176.23999999993</v>
      </c>
      <c r="K1593">
        <v>13272</v>
      </c>
      <c r="L1593">
        <f t="shared" si="150"/>
        <v>20.808939119951773</v>
      </c>
      <c r="M1593">
        <v>1106</v>
      </c>
      <c r="N1593" s="2">
        <f t="shared" si="149"/>
        <v>249.70726943942128</v>
      </c>
      <c r="O1593">
        <v>12</v>
      </c>
    </row>
    <row r="1594" spans="1:15" x14ac:dyDescent="0.25">
      <c r="A1594" t="s">
        <v>46</v>
      </c>
      <c r="B1594" t="s">
        <v>15</v>
      </c>
      <c r="C1594" t="s">
        <v>33</v>
      </c>
      <c r="D1594" t="str">
        <f t="shared" si="145"/>
        <v>FAB2_ Des Light Deslactosada Light 1L</v>
      </c>
      <c r="E1594">
        <v>2024</v>
      </c>
      <c r="F1594">
        <v>4</v>
      </c>
      <c r="G1594">
        <f t="shared" si="146"/>
        <v>1</v>
      </c>
      <c r="H1594" s="1">
        <f t="shared" si="147"/>
        <v>45313</v>
      </c>
      <c r="I1594" s="1">
        <f t="shared" si="148"/>
        <v>45292</v>
      </c>
      <c r="J1594">
        <v>256907.78999999995</v>
      </c>
      <c r="K1594">
        <v>12312</v>
      </c>
      <c r="L1594">
        <f t="shared" si="150"/>
        <v>20.866454678362569</v>
      </c>
      <c r="M1594">
        <v>1026</v>
      </c>
      <c r="N1594" s="2">
        <f t="shared" si="149"/>
        <v>250.39745614035084</v>
      </c>
      <c r="O1594">
        <v>12</v>
      </c>
    </row>
    <row r="1595" spans="1:15" x14ac:dyDescent="0.25">
      <c r="A1595" t="s">
        <v>46</v>
      </c>
      <c r="B1595" t="s">
        <v>15</v>
      </c>
      <c r="C1595" t="s">
        <v>33</v>
      </c>
      <c r="D1595" t="str">
        <f t="shared" si="145"/>
        <v>FAB2_ Des Light Deslactosada Light 1L</v>
      </c>
      <c r="E1595">
        <v>2024</v>
      </c>
      <c r="F1595">
        <v>5</v>
      </c>
      <c r="G1595">
        <f t="shared" si="146"/>
        <v>2</v>
      </c>
      <c r="H1595" s="1">
        <f t="shared" si="147"/>
        <v>45320</v>
      </c>
      <c r="I1595" s="1">
        <f t="shared" si="148"/>
        <v>45323</v>
      </c>
      <c r="J1595">
        <v>310236.4099999998</v>
      </c>
      <c r="K1595">
        <v>14736</v>
      </c>
      <c r="L1595">
        <f t="shared" si="150"/>
        <v>21.052959419109651</v>
      </c>
      <c r="M1595">
        <v>1228</v>
      </c>
      <c r="N1595" s="2">
        <f t="shared" si="149"/>
        <v>252.6355130293158</v>
      </c>
      <c r="O1595">
        <v>12</v>
      </c>
    </row>
    <row r="1596" spans="1:15" x14ac:dyDescent="0.25">
      <c r="A1596" t="s">
        <v>46</v>
      </c>
      <c r="B1596" t="s">
        <v>15</v>
      </c>
      <c r="C1596" t="s">
        <v>33</v>
      </c>
      <c r="D1596" t="str">
        <f t="shared" si="145"/>
        <v>FAB2_ Des Light Deslactosada Light 1L</v>
      </c>
      <c r="E1596">
        <v>2024</v>
      </c>
      <c r="F1596">
        <v>6</v>
      </c>
      <c r="G1596">
        <f t="shared" si="146"/>
        <v>2</v>
      </c>
      <c r="H1596" s="1">
        <f t="shared" si="147"/>
        <v>45327</v>
      </c>
      <c r="I1596" s="1">
        <f t="shared" si="148"/>
        <v>45323</v>
      </c>
      <c r="J1596">
        <v>275540.01999999996</v>
      </c>
      <c r="K1596">
        <v>12972</v>
      </c>
      <c r="L1596">
        <f t="shared" si="150"/>
        <v>21.241136293555346</v>
      </c>
      <c r="M1596">
        <v>1081</v>
      </c>
      <c r="N1596" s="2">
        <f t="shared" si="149"/>
        <v>254.89363552266417</v>
      </c>
      <c r="O1596">
        <v>12</v>
      </c>
    </row>
    <row r="1597" spans="1:15" x14ac:dyDescent="0.25">
      <c r="A1597" t="s">
        <v>46</v>
      </c>
      <c r="B1597" t="s">
        <v>15</v>
      </c>
      <c r="C1597" t="s">
        <v>33</v>
      </c>
      <c r="D1597" t="str">
        <f t="shared" si="145"/>
        <v>FAB2_ Des Light Deslactosada Light 1L</v>
      </c>
      <c r="E1597">
        <v>2024</v>
      </c>
      <c r="F1597">
        <v>7</v>
      </c>
      <c r="G1597">
        <f t="shared" si="146"/>
        <v>2</v>
      </c>
      <c r="H1597" s="1">
        <f t="shared" si="147"/>
        <v>45334</v>
      </c>
      <c r="I1597" s="1">
        <f t="shared" si="148"/>
        <v>45323</v>
      </c>
      <c r="J1597">
        <v>289749.28999999992</v>
      </c>
      <c r="K1597">
        <v>13788</v>
      </c>
      <c r="L1597">
        <f t="shared" si="150"/>
        <v>21.014598926602837</v>
      </c>
      <c r="M1597">
        <v>1149</v>
      </c>
      <c r="N1597" s="2">
        <f t="shared" si="149"/>
        <v>252.17518711923404</v>
      </c>
      <c r="O1597">
        <v>12</v>
      </c>
    </row>
    <row r="1598" spans="1:15" x14ac:dyDescent="0.25">
      <c r="A1598" t="s">
        <v>46</v>
      </c>
      <c r="B1598" t="s">
        <v>15</v>
      </c>
      <c r="C1598" t="s">
        <v>33</v>
      </c>
      <c r="D1598" t="str">
        <f t="shared" si="145"/>
        <v>FAB2_ Des Light Deslactosada Light 1L</v>
      </c>
      <c r="E1598">
        <v>2024</v>
      </c>
      <c r="F1598">
        <v>8</v>
      </c>
      <c r="G1598">
        <f t="shared" si="146"/>
        <v>2</v>
      </c>
      <c r="H1598" s="1">
        <f t="shared" si="147"/>
        <v>45341</v>
      </c>
      <c r="I1598" s="1">
        <f t="shared" si="148"/>
        <v>45323</v>
      </c>
      <c r="J1598">
        <v>272406.66000000003</v>
      </c>
      <c r="K1598">
        <v>12876</v>
      </c>
      <c r="L1598">
        <f t="shared" si="150"/>
        <v>21.156155638397021</v>
      </c>
      <c r="M1598">
        <v>1073</v>
      </c>
      <c r="N1598" s="2">
        <f t="shared" si="149"/>
        <v>253.87386766076423</v>
      </c>
      <c r="O1598">
        <v>12</v>
      </c>
    </row>
    <row r="1599" spans="1:15" x14ac:dyDescent="0.25">
      <c r="A1599" t="s">
        <v>46</v>
      </c>
      <c r="B1599" t="s">
        <v>15</v>
      </c>
      <c r="C1599" t="s">
        <v>33</v>
      </c>
      <c r="D1599" t="str">
        <f t="shared" si="145"/>
        <v>FAB2_ Des Light Deslactosada Light 1L</v>
      </c>
      <c r="E1599">
        <v>2024</v>
      </c>
      <c r="F1599">
        <v>9</v>
      </c>
      <c r="G1599">
        <f t="shared" si="146"/>
        <v>2</v>
      </c>
      <c r="H1599" s="1">
        <f t="shared" si="147"/>
        <v>45348</v>
      </c>
      <c r="I1599" s="1">
        <f t="shared" si="148"/>
        <v>45323</v>
      </c>
      <c r="J1599">
        <v>257641.38999999996</v>
      </c>
      <c r="K1599">
        <v>11880</v>
      </c>
      <c r="L1599">
        <f t="shared" si="150"/>
        <v>21.686985690235687</v>
      </c>
      <c r="M1599">
        <v>990</v>
      </c>
      <c r="N1599" s="2">
        <f t="shared" si="149"/>
        <v>260.24382828282825</v>
      </c>
      <c r="O1599">
        <v>12</v>
      </c>
    </row>
    <row r="1600" spans="1:15" x14ac:dyDescent="0.25">
      <c r="A1600" t="s">
        <v>46</v>
      </c>
      <c r="B1600" t="s">
        <v>15</v>
      </c>
      <c r="C1600" t="s">
        <v>33</v>
      </c>
      <c r="D1600" t="str">
        <f t="shared" si="145"/>
        <v>FAB2_ Des Light Deslactosada Light 1L</v>
      </c>
      <c r="E1600">
        <v>2024</v>
      </c>
      <c r="F1600">
        <v>10</v>
      </c>
      <c r="G1600">
        <f t="shared" si="146"/>
        <v>3</v>
      </c>
      <c r="H1600" s="1">
        <f t="shared" si="147"/>
        <v>45355</v>
      </c>
      <c r="I1600" s="1">
        <f t="shared" si="148"/>
        <v>45352</v>
      </c>
      <c r="J1600">
        <v>303447.71999999991</v>
      </c>
      <c r="K1600">
        <v>14184</v>
      </c>
      <c r="L1600">
        <f t="shared" si="150"/>
        <v>21.393663282571907</v>
      </c>
      <c r="M1600">
        <v>1182</v>
      </c>
      <c r="N1600" s="2">
        <f t="shared" si="149"/>
        <v>256.72395939086289</v>
      </c>
      <c r="O1600">
        <v>12</v>
      </c>
    </row>
    <row r="1601" spans="1:15" x14ac:dyDescent="0.25">
      <c r="A1601" t="s">
        <v>46</v>
      </c>
      <c r="B1601" t="s">
        <v>15</v>
      </c>
      <c r="C1601" t="s">
        <v>33</v>
      </c>
      <c r="D1601" t="str">
        <f t="shared" si="145"/>
        <v>FAB2_ Des Light Deslactosada Light 1L</v>
      </c>
      <c r="E1601">
        <v>2024</v>
      </c>
      <c r="F1601">
        <v>11</v>
      </c>
      <c r="G1601">
        <f t="shared" si="146"/>
        <v>3</v>
      </c>
      <c r="H1601" s="1">
        <f t="shared" si="147"/>
        <v>45362</v>
      </c>
      <c r="I1601" s="1">
        <f t="shared" si="148"/>
        <v>45352</v>
      </c>
      <c r="J1601">
        <v>280502.42000000004</v>
      </c>
      <c r="K1601">
        <v>13308</v>
      </c>
      <c r="L1601">
        <f t="shared" si="150"/>
        <v>21.077729185452363</v>
      </c>
      <c r="M1601">
        <v>1109</v>
      </c>
      <c r="N1601" s="2">
        <f t="shared" si="149"/>
        <v>252.93275022542835</v>
      </c>
      <c r="O1601">
        <v>12</v>
      </c>
    </row>
    <row r="1602" spans="1:15" x14ac:dyDescent="0.25">
      <c r="A1602" t="s">
        <v>46</v>
      </c>
      <c r="B1602" t="s">
        <v>15</v>
      </c>
      <c r="C1602" t="s">
        <v>33</v>
      </c>
      <c r="D1602" t="str">
        <f t="shared" si="145"/>
        <v>FAB2_ Des Light Deslactosada Light 1L</v>
      </c>
      <c r="E1602">
        <v>2024</v>
      </c>
      <c r="F1602">
        <v>12</v>
      </c>
      <c r="G1602">
        <f t="shared" si="146"/>
        <v>3</v>
      </c>
      <c r="H1602" s="1">
        <f t="shared" si="147"/>
        <v>45369</v>
      </c>
      <c r="I1602" s="1">
        <f t="shared" si="148"/>
        <v>45352</v>
      </c>
      <c r="J1602">
        <v>244848.90000000005</v>
      </c>
      <c r="K1602">
        <v>11712</v>
      </c>
      <c r="L1602">
        <f t="shared" si="150"/>
        <v>20.905814549180331</v>
      </c>
      <c r="M1602">
        <v>976</v>
      </c>
      <c r="N1602" s="2">
        <f t="shared" si="149"/>
        <v>250.86977459016398</v>
      </c>
      <c r="O1602">
        <v>12</v>
      </c>
    </row>
    <row r="1603" spans="1:15" x14ac:dyDescent="0.25">
      <c r="A1603" t="s">
        <v>46</v>
      </c>
      <c r="B1603" t="s">
        <v>15</v>
      </c>
      <c r="C1603" t="s">
        <v>33</v>
      </c>
      <c r="D1603" t="str">
        <f t="shared" ref="D1603:D1666" si="151">B1603&amp;"_"&amp;C1603</f>
        <v>FAB2_ Des Light Deslactosada Light 1L</v>
      </c>
      <c r="E1603">
        <v>2024</v>
      </c>
      <c r="F1603">
        <v>13</v>
      </c>
      <c r="G1603">
        <f t="shared" ref="G1603:G1666" si="152">MONTH(DATE(E1603,1,4)+(F1603-1)*7-WEEKDAY(DATE(E1603,1,4),2)+4)</f>
        <v>3</v>
      </c>
      <c r="H1603" s="1">
        <f t="shared" ref="H1603:H1666" si="153">DATE(E1603,1,-2)-WEEKDAY(DATE(E1603,1,3))+F1603*7</f>
        <v>45376</v>
      </c>
      <c r="I1603" s="1">
        <f t="shared" ref="I1603:I1666" si="154">DATE(E1603,G1603,1)</f>
        <v>45352</v>
      </c>
      <c r="J1603">
        <v>285488.12999999989</v>
      </c>
      <c r="K1603">
        <v>13872</v>
      </c>
      <c r="L1603">
        <f t="shared" si="150"/>
        <v>20.580170847750857</v>
      </c>
      <c r="M1603">
        <v>1156</v>
      </c>
      <c r="N1603" s="2">
        <f t="shared" ref="N1603:N1666" si="155">J1603/M1603</f>
        <v>246.96205017301028</v>
      </c>
      <c r="O1603">
        <v>12</v>
      </c>
    </row>
    <row r="1604" spans="1:15" x14ac:dyDescent="0.25">
      <c r="A1604" t="s">
        <v>46</v>
      </c>
      <c r="B1604" t="s">
        <v>15</v>
      </c>
      <c r="C1604" t="s">
        <v>33</v>
      </c>
      <c r="D1604" t="str">
        <f t="shared" si="151"/>
        <v>FAB2_ Des Light Deslactosada Light 1L</v>
      </c>
      <c r="E1604">
        <v>2024</v>
      </c>
      <c r="F1604">
        <v>14</v>
      </c>
      <c r="G1604">
        <f t="shared" si="152"/>
        <v>4</v>
      </c>
      <c r="H1604" s="1">
        <f t="shared" si="153"/>
        <v>45383</v>
      </c>
      <c r="I1604" s="1">
        <f t="shared" si="154"/>
        <v>45383</v>
      </c>
      <c r="J1604">
        <v>299711.32999999996</v>
      </c>
      <c r="K1604">
        <v>14064</v>
      </c>
      <c r="L1604">
        <f t="shared" si="150"/>
        <v>21.31053256541524</v>
      </c>
      <c r="M1604">
        <v>1172</v>
      </c>
      <c r="N1604" s="2">
        <f t="shared" si="155"/>
        <v>255.7263907849829</v>
      </c>
      <c r="O1604">
        <v>12</v>
      </c>
    </row>
    <row r="1605" spans="1:15" x14ac:dyDescent="0.25">
      <c r="A1605" t="s">
        <v>46</v>
      </c>
      <c r="B1605" t="s">
        <v>15</v>
      </c>
      <c r="C1605" t="s">
        <v>33</v>
      </c>
      <c r="D1605" t="str">
        <f t="shared" si="151"/>
        <v>FAB2_ Des Light Deslactosada Light 1L</v>
      </c>
      <c r="E1605">
        <v>2024</v>
      </c>
      <c r="F1605">
        <v>15</v>
      </c>
      <c r="G1605">
        <f t="shared" si="152"/>
        <v>4</v>
      </c>
      <c r="H1605" s="1">
        <f t="shared" si="153"/>
        <v>45390</v>
      </c>
      <c r="I1605" s="1">
        <f t="shared" si="154"/>
        <v>45383</v>
      </c>
      <c r="J1605">
        <v>244175.57999999993</v>
      </c>
      <c r="K1605">
        <v>11484</v>
      </c>
      <c r="L1605">
        <f t="shared" si="150"/>
        <v>21.262241379310339</v>
      </c>
      <c r="M1605">
        <v>957</v>
      </c>
      <c r="N1605" s="2">
        <f t="shared" si="155"/>
        <v>255.14689655172407</v>
      </c>
      <c r="O1605">
        <v>12</v>
      </c>
    </row>
    <row r="1606" spans="1:15" x14ac:dyDescent="0.25">
      <c r="A1606" t="s">
        <v>46</v>
      </c>
      <c r="B1606" t="s">
        <v>15</v>
      </c>
      <c r="C1606" t="s">
        <v>33</v>
      </c>
      <c r="D1606" t="str">
        <f t="shared" si="151"/>
        <v>FAB2_ Des Light Deslactosada Light 1L</v>
      </c>
      <c r="E1606">
        <v>2024</v>
      </c>
      <c r="F1606">
        <v>16</v>
      </c>
      <c r="G1606">
        <f t="shared" si="152"/>
        <v>4</v>
      </c>
      <c r="H1606" s="1">
        <f t="shared" si="153"/>
        <v>45397</v>
      </c>
      <c r="I1606" s="1">
        <f t="shared" si="154"/>
        <v>45383</v>
      </c>
      <c r="J1606">
        <v>257263.53999999998</v>
      </c>
      <c r="K1606">
        <v>11892</v>
      </c>
      <c r="L1606">
        <f t="shared" si="150"/>
        <v>21.633328287924652</v>
      </c>
      <c r="M1606">
        <v>991</v>
      </c>
      <c r="N1606" s="2">
        <f t="shared" si="155"/>
        <v>259.59993945509586</v>
      </c>
      <c r="O1606">
        <v>12</v>
      </c>
    </row>
    <row r="1607" spans="1:15" x14ac:dyDescent="0.25">
      <c r="A1607" t="s">
        <v>46</v>
      </c>
      <c r="B1607" t="s">
        <v>15</v>
      </c>
      <c r="C1607" t="s">
        <v>33</v>
      </c>
      <c r="D1607" t="str">
        <f t="shared" si="151"/>
        <v>FAB2_ Des Light Deslactosada Light 1L</v>
      </c>
      <c r="E1607">
        <v>2024</v>
      </c>
      <c r="F1607">
        <v>17</v>
      </c>
      <c r="G1607">
        <f t="shared" si="152"/>
        <v>4</v>
      </c>
      <c r="H1607" s="1">
        <f t="shared" si="153"/>
        <v>45404</v>
      </c>
      <c r="I1607" s="1">
        <f t="shared" si="154"/>
        <v>45383</v>
      </c>
      <c r="J1607">
        <v>271451.07</v>
      </c>
      <c r="K1607">
        <v>13440</v>
      </c>
      <c r="L1607">
        <f t="shared" si="150"/>
        <v>20.197252232142858</v>
      </c>
      <c r="M1607">
        <v>1120</v>
      </c>
      <c r="N1607" s="2">
        <f t="shared" si="155"/>
        <v>242.3670267857143</v>
      </c>
      <c r="O1607">
        <v>12</v>
      </c>
    </row>
    <row r="1608" spans="1:15" x14ac:dyDescent="0.25">
      <c r="A1608" t="s">
        <v>46</v>
      </c>
      <c r="B1608" t="s">
        <v>15</v>
      </c>
      <c r="C1608" t="s">
        <v>33</v>
      </c>
      <c r="D1608" t="str">
        <f t="shared" si="151"/>
        <v>FAB2_ Des Light Deslactosada Light 1L</v>
      </c>
      <c r="E1608">
        <v>2024</v>
      </c>
      <c r="F1608">
        <v>18</v>
      </c>
      <c r="G1608">
        <f t="shared" si="152"/>
        <v>5</v>
      </c>
      <c r="H1608" s="1">
        <f t="shared" si="153"/>
        <v>45411</v>
      </c>
      <c r="I1608" s="1">
        <f t="shared" si="154"/>
        <v>45413</v>
      </c>
      <c r="J1608">
        <v>346384.3</v>
      </c>
      <c r="K1608">
        <v>17436</v>
      </c>
      <c r="L1608">
        <f t="shared" si="150"/>
        <v>19.866041523285155</v>
      </c>
      <c r="M1608">
        <v>1453</v>
      </c>
      <c r="N1608" s="2">
        <f t="shared" si="155"/>
        <v>238.39249827942189</v>
      </c>
      <c r="O1608">
        <v>12</v>
      </c>
    </row>
    <row r="1609" spans="1:15" x14ac:dyDescent="0.25">
      <c r="A1609" t="s">
        <v>46</v>
      </c>
      <c r="B1609" t="s">
        <v>15</v>
      </c>
      <c r="C1609" t="s">
        <v>33</v>
      </c>
      <c r="D1609" t="str">
        <f t="shared" si="151"/>
        <v>FAB2_ Des Light Deslactosada Light 1L</v>
      </c>
      <c r="E1609">
        <v>2024</v>
      </c>
      <c r="F1609">
        <v>19</v>
      </c>
      <c r="G1609">
        <f t="shared" si="152"/>
        <v>5</v>
      </c>
      <c r="H1609" s="1">
        <f t="shared" si="153"/>
        <v>45418</v>
      </c>
      <c r="I1609" s="1">
        <f t="shared" si="154"/>
        <v>45413</v>
      </c>
      <c r="J1609">
        <v>268380.56000000006</v>
      </c>
      <c r="K1609">
        <v>13728</v>
      </c>
      <c r="L1609">
        <f t="shared" si="150"/>
        <v>19.549865967365971</v>
      </c>
      <c r="M1609">
        <v>1144</v>
      </c>
      <c r="N1609" s="2">
        <f t="shared" si="155"/>
        <v>234.59839160839167</v>
      </c>
      <c r="O1609">
        <v>12</v>
      </c>
    </row>
    <row r="1610" spans="1:15" x14ac:dyDescent="0.25">
      <c r="A1610" t="s">
        <v>46</v>
      </c>
      <c r="B1610" t="s">
        <v>15</v>
      </c>
      <c r="C1610" t="s">
        <v>33</v>
      </c>
      <c r="D1610" t="str">
        <f t="shared" si="151"/>
        <v>FAB2_ Des Light Deslactosada Light 1L</v>
      </c>
      <c r="E1610">
        <v>2024</v>
      </c>
      <c r="F1610">
        <v>20</v>
      </c>
      <c r="G1610">
        <f t="shared" si="152"/>
        <v>5</v>
      </c>
      <c r="H1610" s="1">
        <f t="shared" si="153"/>
        <v>45425</v>
      </c>
      <c r="I1610" s="1">
        <f t="shared" si="154"/>
        <v>45413</v>
      </c>
      <c r="J1610">
        <v>275101.37000000005</v>
      </c>
      <c r="K1610">
        <v>14016</v>
      </c>
      <c r="L1610">
        <f t="shared" si="150"/>
        <v>19.627666238584478</v>
      </c>
      <c r="M1610">
        <v>1168</v>
      </c>
      <c r="N1610" s="2">
        <f t="shared" si="155"/>
        <v>235.53199486301375</v>
      </c>
      <c r="O1610">
        <v>12</v>
      </c>
    </row>
    <row r="1611" spans="1:15" x14ac:dyDescent="0.25">
      <c r="A1611" t="s">
        <v>46</v>
      </c>
      <c r="B1611" t="s">
        <v>15</v>
      </c>
      <c r="C1611" t="s">
        <v>33</v>
      </c>
      <c r="D1611" t="str">
        <f t="shared" si="151"/>
        <v>FAB2_ Des Light Deslactosada Light 1L</v>
      </c>
      <c r="E1611">
        <v>2024</v>
      </c>
      <c r="F1611">
        <v>21</v>
      </c>
      <c r="G1611">
        <f t="shared" si="152"/>
        <v>5</v>
      </c>
      <c r="H1611" s="1">
        <f t="shared" si="153"/>
        <v>45432</v>
      </c>
      <c r="I1611" s="1">
        <f t="shared" si="154"/>
        <v>45413</v>
      </c>
      <c r="J1611">
        <v>259996.24</v>
      </c>
      <c r="K1611">
        <v>13320</v>
      </c>
      <c r="L1611">
        <f t="shared" si="150"/>
        <v>19.519237237237238</v>
      </c>
      <c r="M1611">
        <v>1110</v>
      </c>
      <c r="N1611" s="2">
        <f t="shared" si="155"/>
        <v>234.23084684684684</v>
      </c>
      <c r="O1611">
        <v>12</v>
      </c>
    </row>
    <row r="1612" spans="1:15" x14ac:dyDescent="0.25">
      <c r="A1612" t="s">
        <v>46</v>
      </c>
      <c r="B1612" t="s">
        <v>15</v>
      </c>
      <c r="C1612" t="s">
        <v>33</v>
      </c>
      <c r="D1612" t="str">
        <f t="shared" si="151"/>
        <v>FAB2_ Des Light Deslactosada Light 1L</v>
      </c>
      <c r="E1612">
        <v>2024</v>
      </c>
      <c r="F1612">
        <v>22</v>
      </c>
      <c r="G1612">
        <f t="shared" si="152"/>
        <v>5</v>
      </c>
      <c r="H1612" s="1">
        <f t="shared" si="153"/>
        <v>45439</v>
      </c>
      <c r="I1612" s="1">
        <f t="shared" si="154"/>
        <v>45413</v>
      </c>
      <c r="J1612">
        <v>331330.24</v>
      </c>
      <c r="K1612">
        <v>17292</v>
      </c>
      <c r="L1612">
        <f t="shared" si="150"/>
        <v>19.160897524866989</v>
      </c>
      <c r="M1612">
        <v>1441</v>
      </c>
      <c r="N1612" s="2">
        <f t="shared" si="155"/>
        <v>229.93077029840387</v>
      </c>
      <c r="O1612">
        <v>12</v>
      </c>
    </row>
    <row r="1613" spans="1:15" x14ac:dyDescent="0.25">
      <c r="A1613" t="s">
        <v>46</v>
      </c>
      <c r="B1613" t="s">
        <v>15</v>
      </c>
      <c r="C1613" t="s">
        <v>33</v>
      </c>
      <c r="D1613" t="str">
        <f t="shared" si="151"/>
        <v>FAB2_ Des Light Deslactosada Light 1L</v>
      </c>
      <c r="E1613">
        <v>2024</v>
      </c>
      <c r="F1613">
        <v>23</v>
      </c>
      <c r="G1613">
        <f t="shared" si="152"/>
        <v>6</v>
      </c>
      <c r="H1613" s="1">
        <f t="shared" si="153"/>
        <v>45446</v>
      </c>
      <c r="I1613" s="1">
        <f t="shared" si="154"/>
        <v>45444</v>
      </c>
      <c r="J1613">
        <v>331446.39000000007</v>
      </c>
      <c r="K1613">
        <v>17256</v>
      </c>
      <c r="L1613">
        <f t="shared" si="150"/>
        <v>19.207602573018086</v>
      </c>
      <c r="M1613">
        <v>1438</v>
      </c>
      <c r="N1613" s="2">
        <f t="shared" si="155"/>
        <v>230.49123087621703</v>
      </c>
      <c r="O1613">
        <v>12</v>
      </c>
    </row>
    <row r="1614" spans="1:15" x14ac:dyDescent="0.25">
      <c r="A1614" t="s">
        <v>46</v>
      </c>
      <c r="B1614" t="s">
        <v>15</v>
      </c>
      <c r="C1614" t="s">
        <v>33</v>
      </c>
      <c r="D1614" t="str">
        <f t="shared" si="151"/>
        <v>FAB2_ Des Light Deslactosada Light 1L</v>
      </c>
      <c r="E1614">
        <v>2024</v>
      </c>
      <c r="F1614">
        <v>24</v>
      </c>
      <c r="G1614">
        <f t="shared" si="152"/>
        <v>6</v>
      </c>
      <c r="H1614" s="1">
        <f t="shared" si="153"/>
        <v>45453</v>
      </c>
      <c r="I1614" s="1">
        <f t="shared" si="154"/>
        <v>45444</v>
      </c>
      <c r="J1614">
        <v>308827.29000000004</v>
      </c>
      <c r="K1614">
        <v>15900</v>
      </c>
      <c r="L1614">
        <f t="shared" si="150"/>
        <v>19.423100000000002</v>
      </c>
      <c r="M1614">
        <v>1325</v>
      </c>
      <c r="N1614" s="2">
        <f t="shared" si="155"/>
        <v>233.07720000000003</v>
      </c>
      <c r="O1614">
        <v>12</v>
      </c>
    </row>
    <row r="1615" spans="1:15" x14ac:dyDescent="0.25">
      <c r="A1615" t="s">
        <v>46</v>
      </c>
      <c r="B1615" t="s">
        <v>15</v>
      </c>
      <c r="C1615" t="s">
        <v>33</v>
      </c>
      <c r="D1615" t="str">
        <f t="shared" si="151"/>
        <v>FAB2_ Des Light Deslactosada Light 1L</v>
      </c>
      <c r="E1615">
        <v>2024</v>
      </c>
      <c r="F1615">
        <v>25</v>
      </c>
      <c r="G1615">
        <f t="shared" si="152"/>
        <v>6</v>
      </c>
      <c r="H1615" s="1">
        <f t="shared" si="153"/>
        <v>45460</v>
      </c>
      <c r="I1615" s="1">
        <f t="shared" si="154"/>
        <v>45444</v>
      </c>
      <c r="J1615">
        <v>282927.00000000012</v>
      </c>
      <c r="K1615">
        <v>14328</v>
      </c>
      <c r="L1615">
        <f t="shared" si="150"/>
        <v>19.746440536013409</v>
      </c>
      <c r="M1615">
        <v>1194</v>
      </c>
      <c r="N1615" s="2">
        <f t="shared" si="155"/>
        <v>236.95728643216091</v>
      </c>
      <c r="O1615">
        <v>12</v>
      </c>
    </row>
    <row r="1616" spans="1:15" x14ac:dyDescent="0.25">
      <c r="A1616" t="s">
        <v>46</v>
      </c>
      <c r="B1616" t="s">
        <v>15</v>
      </c>
      <c r="C1616" t="s">
        <v>33</v>
      </c>
      <c r="D1616" t="str">
        <f t="shared" si="151"/>
        <v>FAB2_ Des Light Deslactosada Light 1L</v>
      </c>
      <c r="E1616">
        <v>2024</v>
      </c>
      <c r="F1616">
        <v>26</v>
      </c>
      <c r="G1616">
        <f t="shared" si="152"/>
        <v>6</v>
      </c>
      <c r="H1616" s="1">
        <f t="shared" si="153"/>
        <v>45467</v>
      </c>
      <c r="I1616" s="1">
        <f t="shared" si="154"/>
        <v>45444</v>
      </c>
      <c r="J1616">
        <v>235472.08000000007</v>
      </c>
      <c r="K1616">
        <v>11976</v>
      </c>
      <c r="L1616">
        <f t="shared" si="150"/>
        <v>19.661997327989319</v>
      </c>
      <c r="M1616">
        <v>998</v>
      </c>
      <c r="N1616" s="2">
        <f t="shared" si="155"/>
        <v>235.94396793587183</v>
      </c>
      <c r="O1616">
        <v>12</v>
      </c>
    </row>
    <row r="1617" spans="1:15" x14ac:dyDescent="0.25">
      <c r="A1617" t="s">
        <v>46</v>
      </c>
      <c r="B1617" t="s">
        <v>15</v>
      </c>
      <c r="C1617" t="s">
        <v>33</v>
      </c>
      <c r="D1617" t="str">
        <f t="shared" si="151"/>
        <v>FAB2_ Des Light Deslactosada Light 1L</v>
      </c>
      <c r="E1617">
        <v>2024</v>
      </c>
      <c r="F1617">
        <v>27</v>
      </c>
      <c r="G1617">
        <f t="shared" si="152"/>
        <v>7</v>
      </c>
      <c r="H1617" s="1">
        <f t="shared" si="153"/>
        <v>45474</v>
      </c>
      <c r="I1617" s="1">
        <f t="shared" si="154"/>
        <v>45474</v>
      </c>
      <c r="J1617">
        <v>319028.32000000012</v>
      </c>
      <c r="K1617">
        <v>15636</v>
      </c>
      <c r="L1617">
        <f t="shared" si="150"/>
        <v>20.403448452289595</v>
      </c>
      <c r="M1617">
        <v>1303</v>
      </c>
      <c r="N1617" s="2">
        <f t="shared" si="155"/>
        <v>244.84138142747514</v>
      </c>
      <c r="O1617">
        <v>12</v>
      </c>
    </row>
    <row r="1618" spans="1:15" x14ac:dyDescent="0.25">
      <c r="A1618" t="s">
        <v>46</v>
      </c>
      <c r="B1618" t="s">
        <v>15</v>
      </c>
      <c r="C1618" t="s">
        <v>33</v>
      </c>
      <c r="D1618" t="str">
        <f t="shared" si="151"/>
        <v>FAB2_ Des Light Deslactosada Light 1L</v>
      </c>
      <c r="E1618">
        <v>2024</v>
      </c>
      <c r="F1618">
        <v>28</v>
      </c>
      <c r="G1618">
        <f t="shared" si="152"/>
        <v>7</v>
      </c>
      <c r="H1618" s="1">
        <f t="shared" si="153"/>
        <v>45481</v>
      </c>
      <c r="I1618" s="1">
        <f t="shared" si="154"/>
        <v>45474</v>
      </c>
      <c r="J1618">
        <v>197080.13999999998</v>
      </c>
      <c r="K1618">
        <v>9468</v>
      </c>
      <c r="L1618">
        <f t="shared" si="150"/>
        <v>20.81539290240811</v>
      </c>
      <c r="M1618">
        <v>789</v>
      </c>
      <c r="N1618" s="2">
        <f t="shared" si="155"/>
        <v>249.78471482889731</v>
      </c>
      <c r="O1618">
        <v>12</v>
      </c>
    </row>
    <row r="1619" spans="1:15" x14ac:dyDescent="0.25">
      <c r="A1619" t="s">
        <v>46</v>
      </c>
      <c r="B1619" t="s">
        <v>15</v>
      </c>
      <c r="C1619" t="s">
        <v>33</v>
      </c>
      <c r="D1619" t="str">
        <f t="shared" si="151"/>
        <v>FAB2_ Des Light Deslactosada Light 1L</v>
      </c>
      <c r="E1619">
        <v>2024</v>
      </c>
      <c r="F1619">
        <v>29</v>
      </c>
      <c r="G1619">
        <f t="shared" si="152"/>
        <v>7</v>
      </c>
      <c r="H1619" s="1">
        <f t="shared" si="153"/>
        <v>45488</v>
      </c>
      <c r="I1619" s="1">
        <f t="shared" si="154"/>
        <v>45474</v>
      </c>
      <c r="J1619">
        <v>304382.98</v>
      </c>
      <c r="K1619">
        <v>14532</v>
      </c>
      <c r="L1619">
        <f t="shared" si="150"/>
        <v>20.945704651802917</v>
      </c>
      <c r="M1619">
        <v>1211</v>
      </c>
      <c r="N1619" s="2">
        <f t="shared" si="155"/>
        <v>251.34845582163499</v>
      </c>
      <c r="O1619">
        <v>12</v>
      </c>
    </row>
    <row r="1620" spans="1:15" x14ac:dyDescent="0.25">
      <c r="A1620" t="s">
        <v>46</v>
      </c>
      <c r="B1620" t="s">
        <v>15</v>
      </c>
      <c r="C1620" t="s">
        <v>33</v>
      </c>
      <c r="D1620" t="str">
        <f t="shared" si="151"/>
        <v>FAB2_ Des Light Deslactosada Light 1L</v>
      </c>
      <c r="E1620">
        <v>2024</v>
      </c>
      <c r="F1620">
        <v>30</v>
      </c>
      <c r="G1620">
        <f t="shared" si="152"/>
        <v>7</v>
      </c>
      <c r="H1620" s="1">
        <f t="shared" si="153"/>
        <v>45495</v>
      </c>
      <c r="I1620" s="1">
        <f t="shared" si="154"/>
        <v>45474</v>
      </c>
      <c r="J1620">
        <v>249558.39999999999</v>
      </c>
      <c r="K1620">
        <v>12012</v>
      </c>
      <c r="L1620">
        <f t="shared" si="150"/>
        <v>20.775757575757574</v>
      </c>
      <c r="M1620">
        <v>1001</v>
      </c>
      <c r="N1620" s="2">
        <f t="shared" si="155"/>
        <v>249.30909090909091</v>
      </c>
      <c r="O1620">
        <v>12</v>
      </c>
    </row>
    <row r="1621" spans="1:15" x14ac:dyDescent="0.25">
      <c r="A1621" t="s">
        <v>46</v>
      </c>
      <c r="B1621" t="s">
        <v>15</v>
      </c>
      <c r="C1621" t="s">
        <v>33</v>
      </c>
      <c r="D1621" t="str">
        <f t="shared" si="151"/>
        <v>FAB2_ Des Light Deslactosada Light 1L</v>
      </c>
      <c r="E1621">
        <v>2024</v>
      </c>
      <c r="F1621">
        <v>31</v>
      </c>
      <c r="G1621">
        <f t="shared" si="152"/>
        <v>8</v>
      </c>
      <c r="H1621" s="1">
        <f t="shared" si="153"/>
        <v>45502</v>
      </c>
      <c r="I1621" s="1">
        <f t="shared" si="154"/>
        <v>45505</v>
      </c>
      <c r="J1621">
        <v>287652.26999999996</v>
      </c>
      <c r="K1621">
        <v>13260</v>
      </c>
      <c r="L1621">
        <f t="shared" si="150"/>
        <v>21.693233031674204</v>
      </c>
      <c r="M1621">
        <v>1105</v>
      </c>
      <c r="N1621" s="2">
        <f t="shared" si="155"/>
        <v>260.31879638009048</v>
      </c>
      <c r="O1621">
        <v>12</v>
      </c>
    </row>
    <row r="1622" spans="1:15" x14ac:dyDescent="0.25">
      <c r="A1622" t="s">
        <v>46</v>
      </c>
      <c r="B1622" t="s">
        <v>15</v>
      </c>
      <c r="C1622" t="s">
        <v>33</v>
      </c>
      <c r="D1622" t="str">
        <f t="shared" si="151"/>
        <v>FAB2_ Des Light Deslactosada Light 1L</v>
      </c>
      <c r="E1622">
        <v>2024</v>
      </c>
      <c r="F1622">
        <v>32</v>
      </c>
      <c r="G1622">
        <f t="shared" si="152"/>
        <v>8</v>
      </c>
      <c r="H1622" s="1">
        <f t="shared" si="153"/>
        <v>45509</v>
      </c>
      <c r="I1622" s="1">
        <f t="shared" si="154"/>
        <v>45505</v>
      </c>
      <c r="J1622">
        <v>250385.98</v>
      </c>
      <c r="K1622">
        <v>11280</v>
      </c>
      <c r="L1622">
        <f t="shared" si="150"/>
        <v>22.197338652482269</v>
      </c>
      <c r="M1622">
        <v>940</v>
      </c>
      <c r="N1622" s="2">
        <f t="shared" si="155"/>
        <v>266.36806382978722</v>
      </c>
      <c r="O1622">
        <v>12</v>
      </c>
    </row>
    <row r="1623" spans="1:15" x14ac:dyDescent="0.25">
      <c r="A1623" t="s">
        <v>46</v>
      </c>
      <c r="B1623" t="s">
        <v>15</v>
      </c>
      <c r="C1623" t="s">
        <v>33</v>
      </c>
      <c r="D1623" t="str">
        <f t="shared" si="151"/>
        <v>FAB2_ Des Light Deslactosada Light 1L</v>
      </c>
      <c r="E1623">
        <v>2024</v>
      </c>
      <c r="F1623">
        <v>33</v>
      </c>
      <c r="G1623">
        <f t="shared" si="152"/>
        <v>8</v>
      </c>
      <c r="H1623" s="1">
        <f t="shared" si="153"/>
        <v>45516</v>
      </c>
      <c r="I1623" s="1">
        <f t="shared" si="154"/>
        <v>45505</v>
      </c>
      <c r="J1623">
        <v>234596.20999999996</v>
      </c>
      <c r="K1623">
        <v>10800</v>
      </c>
      <c r="L1623">
        <f t="shared" si="150"/>
        <v>21.721871296296293</v>
      </c>
      <c r="M1623">
        <v>900</v>
      </c>
      <c r="N1623" s="2">
        <f t="shared" si="155"/>
        <v>260.66245555555554</v>
      </c>
      <c r="O1623">
        <v>12</v>
      </c>
    </row>
    <row r="1624" spans="1:15" x14ac:dyDescent="0.25">
      <c r="A1624" t="s">
        <v>46</v>
      </c>
      <c r="B1624" t="s">
        <v>15</v>
      </c>
      <c r="C1624" t="s">
        <v>33</v>
      </c>
      <c r="D1624" t="str">
        <f t="shared" si="151"/>
        <v>FAB2_ Des Light Deslactosada Light 1L</v>
      </c>
      <c r="E1624">
        <v>2024</v>
      </c>
      <c r="F1624">
        <v>34</v>
      </c>
      <c r="G1624">
        <f t="shared" si="152"/>
        <v>8</v>
      </c>
      <c r="H1624" s="1">
        <f t="shared" si="153"/>
        <v>45523</v>
      </c>
      <c r="I1624" s="1">
        <f t="shared" si="154"/>
        <v>45505</v>
      </c>
      <c r="J1624">
        <v>220802.43000000002</v>
      </c>
      <c r="K1624">
        <v>9840</v>
      </c>
      <c r="L1624">
        <f t="shared" si="150"/>
        <v>22.439271341463417</v>
      </c>
      <c r="M1624">
        <v>820</v>
      </c>
      <c r="N1624" s="2">
        <f t="shared" si="155"/>
        <v>269.27125609756098</v>
      </c>
      <c r="O1624">
        <v>12</v>
      </c>
    </row>
    <row r="1625" spans="1:15" x14ac:dyDescent="0.25">
      <c r="A1625" t="s">
        <v>46</v>
      </c>
      <c r="B1625" t="s">
        <v>15</v>
      </c>
      <c r="C1625" t="s">
        <v>33</v>
      </c>
      <c r="D1625" t="str">
        <f t="shared" si="151"/>
        <v>FAB2_ Des Light Deslactosada Light 1L</v>
      </c>
      <c r="E1625">
        <v>2024</v>
      </c>
      <c r="F1625">
        <v>35</v>
      </c>
      <c r="G1625">
        <f t="shared" si="152"/>
        <v>8</v>
      </c>
      <c r="H1625" s="1">
        <f t="shared" si="153"/>
        <v>45530</v>
      </c>
      <c r="I1625" s="1">
        <f t="shared" si="154"/>
        <v>45505</v>
      </c>
      <c r="J1625">
        <v>218676.75</v>
      </c>
      <c r="K1625">
        <v>9444</v>
      </c>
      <c r="L1625">
        <f t="shared" si="150"/>
        <v>23.155098475222363</v>
      </c>
      <c r="M1625">
        <v>787</v>
      </c>
      <c r="N1625" s="2">
        <f t="shared" si="155"/>
        <v>277.86118170266838</v>
      </c>
      <c r="O1625">
        <v>12</v>
      </c>
    </row>
    <row r="1626" spans="1:15" x14ac:dyDescent="0.25">
      <c r="A1626" t="s">
        <v>46</v>
      </c>
      <c r="B1626" t="s">
        <v>15</v>
      </c>
      <c r="C1626" t="s">
        <v>33</v>
      </c>
      <c r="D1626" t="str">
        <f t="shared" si="151"/>
        <v>FAB2_ Des Light Deslactosada Light 1L</v>
      </c>
      <c r="E1626">
        <v>2024</v>
      </c>
      <c r="F1626">
        <v>36</v>
      </c>
      <c r="G1626">
        <f t="shared" si="152"/>
        <v>9</v>
      </c>
      <c r="H1626" s="1">
        <f t="shared" si="153"/>
        <v>45537</v>
      </c>
      <c r="I1626" s="1">
        <f t="shared" si="154"/>
        <v>45536</v>
      </c>
      <c r="J1626">
        <v>255101.8</v>
      </c>
      <c r="K1626">
        <v>11028</v>
      </c>
      <c r="L1626">
        <f t="shared" si="150"/>
        <v>23.132190787087413</v>
      </c>
      <c r="M1626">
        <v>919</v>
      </c>
      <c r="N1626" s="2">
        <f t="shared" si="155"/>
        <v>277.58628944504898</v>
      </c>
      <c r="O1626">
        <v>12</v>
      </c>
    </row>
    <row r="1627" spans="1:15" x14ac:dyDescent="0.25">
      <c r="A1627" t="s">
        <v>46</v>
      </c>
      <c r="B1627" t="s">
        <v>15</v>
      </c>
      <c r="C1627" t="s">
        <v>33</v>
      </c>
      <c r="D1627" t="str">
        <f t="shared" si="151"/>
        <v>FAB2_ Des Light Deslactosada Light 1L</v>
      </c>
      <c r="E1627">
        <v>2024</v>
      </c>
      <c r="F1627">
        <v>37</v>
      </c>
      <c r="G1627">
        <f t="shared" si="152"/>
        <v>9</v>
      </c>
      <c r="H1627" s="1">
        <f t="shared" si="153"/>
        <v>45544</v>
      </c>
      <c r="I1627" s="1">
        <f t="shared" si="154"/>
        <v>45536</v>
      </c>
      <c r="J1627">
        <v>245530.02000000011</v>
      </c>
      <c r="K1627">
        <v>10848</v>
      </c>
      <c r="L1627">
        <f t="shared" si="150"/>
        <v>22.63366703539824</v>
      </c>
      <c r="M1627">
        <v>904</v>
      </c>
      <c r="N1627" s="2">
        <f t="shared" si="155"/>
        <v>271.60400442477885</v>
      </c>
      <c r="O1627">
        <v>12</v>
      </c>
    </row>
    <row r="1628" spans="1:15" x14ac:dyDescent="0.25">
      <c r="A1628" t="s">
        <v>46</v>
      </c>
      <c r="B1628" t="s">
        <v>15</v>
      </c>
      <c r="C1628" t="s">
        <v>33</v>
      </c>
      <c r="D1628" t="str">
        <f t="shared" si="151"/>
        <v>FAB2_ Des Light Deslactosada Light 1L</v>
      </c>
      <c r="E1628">
        <v>2024</v>
      </c>
      <c r="F1628">
        <v>38</v>
      </c>
      <c r="G1628">
        <f t="shared" si="152"/>
        <v>9</v>
      </c>
      <c r="H1628" s="1">
        <f t="shared" si="153"/>
        <v>45551</v>
      </c>
      <c r="I1628" s="1">
        <f t="shared" si="154"/>
        <v>45536</v>
      </c>
      <c r="J1628">
        <v>300504.74999999983</v>
      </c>
      <c r="K1628">
        <v>13512</v>
      </c>
      <c r="L1628">
        <f t="shared" si="150"/>
        <v>22.239842362344568</v>
      </c>
      <c r="M1628">
        <v>1126</v>
      </c>
      <c r="N1628" s="2">
        <f t="shared" si="155"/>
        <v>266.87810834813484</v>
      </c>
      <c r="O1628">
        <v>12</v>
      </c>
    </row>
    <row r="1629" spans="1:15" x14ac:dyDescent="0.25">
      <c r="A1629" t="s">
        <v>46</v>
      </c>
      <c r="B1629" t="s">
        <v>15</v>
      </c>
      <c r="C1629" t="s">
        <v>33</v>
      </c>
      <c r="D1629" t="str">
        <f t="shared" si="151"/>
        <v>FAB2_ Des Light Deslactosada Light 1L</v>
      </c>
      <c r="E1629">
        <v>2024</v>
      </c>
      <c r="F1629">
        <v>39</v>
      </c>
      <c r="G1629">
        <f t="shared" si="152"/>
        <v>9</v>
      </c>
      <c r="H1629" s="1">
        <f t="shared" si="153"/>
        <v>45558</v>
      </c>
      <c r="I1629" s="1">
        <f t="shared" si="154"/>
        <v>45536</v>
      </c>
      <c r="J1629">
        <v>216377.36999999997</v>
      </c>
      <c r="K1629">
        <v>9324</v>
      </c>
      <c r="L1629">
        <f t="shared" si="150"/>
        <v>23.206496138996137</v>
      </c>
      <c r="M1629">
        <v>777</v>
      </c>
      <c r="N1629" s="2">
        <f t="shared" si="155"/>
        <v>278.47795366795361</v>
      </c>
      <c r="O1629">
        <v>12</v>
      </c>
    </row>
    <row r="1630" spans="1:15" x14ac:dyDescent="0.25">
      <c r="A1630" t="s">
        <v>46</v>
      </c>
      <c r="B1630" t="s">
        <v>15</v>
      </c>
      <c r="C1630" t="s">
        <v>33</v>
      </c>
      <c r="D1630" t="str">
        <f t="shared" si="151"/>
        <v>FAB2_ Des Light Deslactosada Light 1L</v>
      </c>
      <c r="E1630">
        <v>2024</v>
      </c>
      <c r="F1630">
        <v>40</v>
      </c>
      <c r="G1630">
        <f t="shared" si="152"/>
        <v>10</v>
      </c>
      <c r="H1630" s="1">
        <f t="shared" si="153"/>
        <v>45565</v>
      </c>
      <c r="I1630" s="1">
        <f t="shared" si="154"/>
        <v>45566</v>
      </c>
      <c r="J1630">
        <v>266865.75999999989</v>
      </c>
      <c r="K1630">
        <v>11604</v>
      </c>
      <c r="L1630">
        <f t="shared" si="150"/>
        <v>22.997738710789374</v>
      </c>
      <c r="M1630">
        <v>967</v>
      </c>
      <c r="N1630" s="2">
        <f t="shared" si="155"/>
        <v>275.97286452947247</v>
      </c>
      <c r="O1630">
        <v>12</v>
      </c>
    </row>
    <row r="1631" spans="1:15" x14ac:dyDescent="0.25">
      <c r="A1631" t="s">
        <v>46</v>
      </c>
      <c r="B1631" t="s">
        <v>15</v>
      </c>
      <c r="C1631" t="s">
        <v>33</v>
      </c>
      <c r="D1631" t="str">
        <f t="shared" si="151"/>
        <v>FAB2_ Des Light Deslactosada Light 1L</v>
      </c>
      <c r="E1631">
        <v>2024</v>
      </c>
      <c r="F1631">
        <v>41</v>
      </c>
      <c r="G1631">
        <f t="shared" si="152"/>
        <v>10</v>
      </c>
      <c r="H1631" s="1">
        <f t="shared" si="153"/>
        <v>45572</v>
      </c>
      <c r="I1631" s="1">
        <f t="shared" si="154"/>
        <v>45566</v>
      </c>
      <c r="J1631">
        <v>211303.66999999998</v>
      </c>
      <c r="K1631">
        <v>9336</v>
      </c>
      <c r="L1631">
        <f t="shared" si="150"/>
        <v>22.633212296486715</v>
      </c>
      <c r="M1631">
        <v>778</v>
      </c>
      <c r="N1631" s="2">
        <f t="shared" si="155"/>
        <v>271.59854755784062</v>
      </c>
      <c r="O1631">
        <v>12</v>
      </c>
    </row>
    <row r="1632" spans="1:15" x14ac:dyDescent="0.25">
      <c r="A1632" t="s">
        <v>46</v>
      </c>
      <c r="B1632" t="s">
        <v>15</v>
      </c>
      <c r="C1632" t="s">
        <v>33</v>
      </c>
      <c r="D1632" t="str">
        <f t="shared" si="151"/>
        <v>FAB2_ Des Light Deslactosada Light 1L</v>
      </c>
      <c r="E1632">
        <v>2024</v>
      </c>
      <c r="F1632">
        <v>41</v>
      </c>
      <c r="G1632">
        <f t="shared" si="152"/>
        <v>10</v>
      </c>
      <c r="H1632" s="1">
        <f t="shared" si="153"/>
        <v>45572</v>
      </c>
      <c r="I1632" s="1">
        <f t="shared" si="154"/>
        <v>45566</v>
      </c>
      <c r="J1632">
        <v>8397</v>
      </c>
      <c r="K1632">
        <v>396</v>
      </c>
      <c r="L1632">
        <f t="shared" ref="L1632:L1695" si="156">J1632/(M1632*O1632)</f>
        <v>21.204545454545453</v>
      </c>
      <c r="M1632">
        <v>33</v>
      </c>
      <c r="N1632" s="2">
        <f t="shared" si="155"/>
        <v>254.45454545454547</v>
      </c>
      <c r="O1632">
        <v>12</v>
      </c>
    </row>
    <row r="1633" spans="1:15" x14ac:dyDescent="0.25">
      <c r="A1633" t="s">
        <v>46</v>
      </c>
      <c r="B1633" t="s">
        <v>15</v>
      </c>
      <c r="C1633" t="s">
        <v>33</v>
      </c>
      <c r="D1633" t="str">
        <f t="shared" si="151"/>
        <v>FAB2_ Des Light Deslactosada Light 1L</v>
      </c>
      <c r="E1633">
        <v>2024</v>
      </c>
      <c r="F1633">
        <v>42</v>
      </c>
      <c r="G1633">
        <f t="shared" si="152"/>
        <v>10</v>
      </c>
      <c r="H1633" s="1">
        <f t="shared" si="153"/>
        <v>45579</v>
      </c>
      <c r="I1633" s="1">
        <f t="shared" si="154"/>
        <v>45566</v>
      </c>
      <c r="J1633">
        <v>210346.78000000003</v>
      </c>
      <c r="K1633">
        <v>10116</v>
      </c>
      <c r="L1633">
        <f t="shared" si="156"/>
        <v>20.79347370502175</v>
      </c>
      <c r="M1633">
        <v>843</v>
      </c>
      <c r="N1633" s="2">
        <f t="shared" si="155"/>
        <v>249.52168446026101</v>
      </c>
      <c r="O1633">
        <v>12</v>
      </c>
    </row>
    <row r="1634" spans="1:15" x14ac:dyDescent="0.25">
      <c r="A1634" t="s">
        <v>46</v>
      </c>
      <c r="B1634" t="s">
        <v>15</v>
      </c>
      <c r="C1634" t="s">
        <v>33</v>
      </c>
      <c r="D1634" t="str">
        <f t="shared" si="151"/>
        <v>FAB2_ Des Light Deslactosada Light 1L</v>
      </c>
      <c r="E1634">
        <v>2024</v>
      </c>
      <c r="F1634">
        <v>42</v>
      </c>
      <c r="G1634">
        <f t="shared" si="152"/>
        <v>10</v>
      </c>
      <c r="H1634" s="1">
        <f t="shared" si="153"/>
        <v>45579</v>
      </c>
      <c r="I1634" s="1">
        <f t="shared" si="154"/>
        <v>45566</v>
      </c>
      <c r="J1634">
        <v>80793</v>
      </c>
      <c r="K1634">
        <v>3924</v>
      </c>
      <c r="L1634">
        <f t="shared" si="156"/>
        <v>20.589449541284402</v>
      </c>
      <c r="M1634">
        <v>327</v>
      </c>
      <c r="N1634" s="2">
        <f t="shared" si="155"/>
        <v>247.07339449541286</v>
      </c>
      <c r="O1634">
        <v>12</v>
      </c>
    </row>
    <row r="1635" spans="1:15" x14ac:dyDescent="0.25">
      <c r="A1635" t="s">
        <v>46</v>
      </c>
      <c r="B1635" t="s">
        <v>15</v>
      </c>
      <c r="C1635" t="s">
        <v>33</v>
      </c>
      <c r="D1635" t="str">
        <f t="shared" si="151"/>
        <v>FAB2_ Des Light Deslactosada Light 1L</v>
      </c>
      <c r="E1635">
        <v>2024</v>
      </c>
      <c r="F1635">
        <v>43</v>
      </c>
      <c r="G1635">
        <f t="shared" si="152"/>
        <v>10</v>
      </c>
      <c r="H1635" s="1">
        <f t="shared" si="153"/>
        <v>45586</v>
      </c>
      <c r="I1635" s="1">
        <f t="shared" si="154"/>
        <v>45566</v>
      </c>
      <c r="J1635">
        <v>40552.910000000003</v>
      </c>
      <c r="K1635">
        <v>1884</v>
      </c>
      <c r="L1635">
        <f t="shared" si="156"/>
        <v>21.524899150743103</v>
      </c>
      <c r="M1635">
        <v>157</v>
      </c>
      <c r="N1635" s="2">
        <f t="shared" si="155"/>
        <v>258.29878980891721</v>
      </c>
      <c r="O1635">
        <v>12</v>
      </c>
    </row>
    <row r="1636" spans="1:15" x14ac:dyDescent="0.25">
      <c r="A1636" t="s">
        <v>46</v>
      </c>
      <c r="B1636" t="s">
        <v>15</v>
      </c>
      <c r="C1636" t="s">
        <v>33</v>
      </c>
      <c r="D1636" t="str">
        <f t="shared" si="151"/>
        <v>FAB2_ Des Light Deslactosada Light 1L</v>
      </c>
      <c r="E1636">
        <v>2024</v>
      </c>
      <c r="F1636">
        <v>43</v>
      </c>
      <c r="G1636">
        <f t="shared" si="152"/>
        <v>10</v>
      </c>
      <c r="H1636" s="1">
        <f t="shared" si="153"/>
        <v>45586</v>
      </c>
      <c r="I1636" s="1">
        <f t="shared" si="154"/>
        <v>45566</v>
      </c>
      <c r="J1636">
        <v>161971.97000000003</v>
      </c>
      <c r="K1636">
        <v>7716</v>
      </c>
      <c r="L1636">
        <f t="shared" si="156"/>
        <v>20.991701658890619</v>
      </c>
      <c r="M1636">
        <v>643</v>
      </c>
      <c r="N1636" s="2">
        <f t="shared" si="155"/>
        <v>251.90041990668746</v>
      </c>
      <c r="O1636">
        <v>12</v>
      </c>
    </row>
    <row r="1637" spans="1:15" x14ac:dyDescent="0.25">
      <c r="A1637" t="s">
        <v>46</v>
      </c>
      <c r="B1637" t="s">
        <v>15</v>
      </c>
      <c r="C1637" t="s">
        <v>33</v>
      </c>
      <c r="D1637" t="str">
        <f t="shared" si="151"/>
        <v>FAB2_ Des Light Deslactosada Light 1L</v>
      </c>
      <c r="E1637">
        <v>2024</v>
      </c>
      <c r="F1637">
        <v>44</v>
      </c>
      <c r="G1637">
        <f t="shared" si="152"/>
        <v>10</v>
      </c>
      <c r="H1637" s="1">
        <f t="shared" si="153"/>
        <v>45593</v>
      </c>
      <c r="I1637" s="1">
        <f t="shared" si="154"/>
        <v>45566</v>
      </c>
      <c r="J1637">
        <v>7988</v>
      </c>
      <c r="K1637">
        <v>336</v>
      </c>
      <c r="L1637">
        <f t="shared" si="156"/>
        <v>23.773809523809526</v>
      </c>
      <c r="M1637">
        <v>28</v>
      </c>
      <c r="N1637" s="2">
        <f t="shared" si="155"/>
        <v>285.28571428571428</v>
      </c>
      <c r="O1637">
        <v>12</v>
      </c>
    </row>
    <row r="1638" spans="1:15" x14ac:dyDescent="0.25">
      <c r="A1638" t="s">
        <v>46</v>
      </c>
      <c r="B1638" t="s">
        <v>15</v>
      </c>
      <c r="C1638" t="s">
        <v>33</v>
      </c>
      <c r="D1638" t="str">
        <f t="shared" si="151"/>
        <v>FAB2_ Des Light Deslactosada Light 1L</v>
      </c>
      <c r="E1638">
        <v>2024</v>
      </c>
      <c r="F1638">
        <v>44</v>
      </c>
      <c r="G1638">
        <f t="shared" si="152"/>
        <v>10</v>
      </c>
      <c r="H1638" s="1">
        <f t="shared" si="153"/>
        <v>45593</v>
      </c>
      <c r="I1638" s="1">
        <f t="shared" si="154"/>
        <v>45566</v>
      </c>
      <c r="J1638">
        <v>158535.90000000002</v>
      </c>
      <c r="K1638">
        <v>6816</v>
      </c>
      <c r="L1638">
        <f t="shared" si="156"/>
        <v>23.259375000000002</v>
      </c>
      <c r="M1638">
        <v>568</v>
      </c>
      <c r="N1638" s="2">
        <f t="shared" si="155"/>
        <v>279.11250000000007</v>
      </c>
      <c r="O1638">
        <v>12</v>
      </c>
    </row>
    <row r="1639" spans="1:15" x14ac:dyDescent="0.25">
      <c r="A1639" t="s">
        <v>46</v>
      </c>
      <c r="B1639" t="s">
        <v>15</v>
      </c>
      <c r="C1639" t="s">
        <v>33</v>
      </c>
      <c r="D1639" t="str">
        <f t="shared" si="151"/>
        <v>FAB2_ Des Light Deslactosada Light 1L</v>
      </c>
      <c r="E1639">
        <v>2024</v>
      </c>
      <c r="F1639">
        <v>45</v>
      </c>
      <c r="G1639">
        <f t="shared" si="152"/>
        <v>11</v>
      </c>
      <c r="H1639" s="1">
        <f t="shared" si="153"/>
        <v>45600</v>
      </c>
      <c r="I1639" s="1">
        <f t="shared" si="154"/>
        <v>45597</v>
      </c>
      <c r="J1639">
        <v>14132.36</v>
      </c>
      <c r="K1639">
        <v>600</v>
      </c>
      <c r="L1639">
        <f t="shared" si="156"/>
        <v>23.553933333333333</v>
      </c>
      <c r="M1639">
        <v>50</v>
      </c>
      <c r="N1639" s="2">
        <f t="shared" si="155"/>
        <v>282.6472</v>
      </c>
      <c r="O1639">
        <v>12</v>
      </c>
    </row>
    <row r="1640" spans="1:15" x14ac:dyDescent="0.25">
      <c r="A1640" t="s">
        <v>46</v>
      </c>
      <c r="B1640" t="s">
        <v>15</v>
      </c>
      <c r="C1640" t="s">
        <v>33</v>
      </c>
      <c r="D1640" t="str">
        <f t="shared" si="151"/>
        <v>FAB2_ Des Light Deslactosada Light 1L</v>
      </c>
      <c r="E1640">
        <v>2024</v>
      </c>
      <c r="F1640">
        <v>45</v>
      </c>
      <c r="G1640">
        <f t="shared" si="152"/>
        <v>11</v>
      </c>
      <c r="H1640" s="1">
        <f t="shared" si="153"/>
        <v>45600</v>
      </c>
      <c r="I1640" s="1">
        <f t="shared" si="154"/>
        <v>45597</v>
      </c>
      <c r="J1640">
        <v>177347.15</v>
      </c>
      <c r="K1640">
        <v>7632</v>
      </c>
      <c r="L1640">
        <f t="shared" si="156"/>
        <v>23.237310010482179</v>
      </c>
      <c r="M1640">
        <v>636</v>
      </c>
      <c r="N1640" s="2">
        <f t="shared" si="155"/>
        <v>278.84772012578617</v>
      </c>
      <c r="O1640">
        <v>12</v>
      </c>
    </row>
    <row r="1641" spans="1:15" x14ac:dyDescent="0.25">
      <c r="A1641" t="s">
        <v>46</v>
      </c>
      <c r="B1641" t="s">
        <v>15</v>
      </c>
      <c r="C1641" t="s">
        <v>33</v>
      </c>
      <c r="D1641" t="str">
        <f t="shared" si="151"/>
        <v>FAB2_ Des Light Deslactosada Light 1L</v>
      </c>
      <c r="E1641">
        <v>2024</v>
      </c>
      <c r="F1641">
        <v>46</v>
      </c>
      <c r="G1641">
        <f t="shared" si="152"/>
        <v>11</v>
      </c>
      <c r="H1641" s="1">
        <f t="shared" si="153"/>
        <v>45607</v>
      </c>
      <c r="I1641" s="1">
        <f t="shared" si="154"/>
        <v>45597</v>
      </c>
      <c r="J1641">
        <v>8931.23</v>
      </c>
      <c r="K1641">
        <v>384</v>
      </c>
      <c r="L1641">
        <f t="shared" si="156"/>
        <v>23.258411458333331</v>
      </c>
      <c r="M1641">
        <v>32</v>
      </c>
      <c r="N1641" s="2">
        <f t="shared" si="155"/>
        <v>279.10093749999999</v>
      </c>
      <c r="O1641">
        <v>12</v>
      </c>
    </row>
    <row r="1642" spans="1:15" x14ac:dyDescent="0.25">
      <c r="A1642" t="s">
        <v>46</v>
      </c>
      <c r="B1642" t="s">
        <v>15</v>
      </c>
      <c r="C1642" t="s">
        <v>33</v>
      </c>
      <c r="D1642" t="str">
        <f t="shared" si="151"/>
        <v>FAB2_ Des Light Deslactosada Light 1L</v>
      </c>
      <c r="E1642">
        <v>2024</v>
      </c>
      <c r="F1642">
        <v>46</v>
      </c>
      <c r="G1642">
        <f t="shared" si="152"/>
        <v>11</v>
      </c>
      <c r="H1642" s="1">
        <f t="shared" si="153"/>
        <v>45607</v>
      </c>
      <c r="I1642" s="1">
        <f t="shared" si="154"/>
        <v>45597</v>
      </c>
      <c r="J1642">
        <v>189178.88</v>
      </c>
      <c r="K1642">
        <v>8448</v>
      </c>
      <c r="L1642">
        <f t="shared" si="156"/>
        <v>22.393333333333334</v>
      </c>
      <c r="M1642">
        <v>704</v>
      </c>
      <c r="N1642" s="2">
        <f t="shared" si="155"/>
        <v>268.72000000000003</v>
      </c>
      <c r="O1642">
        <v>12</v>
      </c>
    </row>
    <row r="1643" spans="1:15" x14ac:dyDescent="0.25">
      <c r="A1643" t="s">
        <v>46</v>
      </c>
      <c r="B1643" t="s">
        <v>15</v>
      </c>
      <c r="C1643" t="s">
        <v>33</v>
      </c>
      <c r="D1643" t="str">
        <f t="shared" si="151"/>
        <v>FAB2_ Des Light Deslactosada Light 1L</v>
      </c>
      <c r="E1643">
        <v>2024</v>
      </c>
      <c r="F1643">
        <v>47</v>
      </c>
      <c r="G1643">
        <f t="shared" si="152"/>
        <v>11</v>
      </c>
      <c r="H1643" s="1">
        <f t="shared" si="153"/>
        <v>45614</v>
      </c>
      <c r="I1643" s="1">
        <f t="shared" si="154"/>
        <v>45597</v>
      </c>
      <c r="J1643">
        <v>9048</v>
      </c>
      <c r="K1643">
        <v>432</v>
      </c>
      <c r="L1643">
        <f t="shared" si="156"/>
        <v>20.944444444444443</v>
      </c>
      <c r="M1643">
        <v>36</v>
      </c>
      <c r="N1643" s="2">
        <f t="shared" si="155"/>
        <v>251.33333333333334</v>
      </c>
      <c r="O1643">
        <v>12</v>
      </c>
    </row>
    <row r="1644" spans="1:15" x14ac:dyDescent="0.25">
      <c r="A1644" t="s">
        <v>46</v>
      </c>
      <c r="B1644" t="s">
        <v>15</v>
      </c>
      <c r="C1644" t="s">
        <v>33</v>
      </c>
      <c r="D1644" t="str">
        <f t="shared" si="151"/>
        <v>FAB2_ Des Light Deslactosada Light 1L</v>
      </c>
      <c r="E1644">
        <v>2024</v>
      </c>
      <c r="F1644">
        <v>47</v>
      </c>
      <c r="G1644">
        <f t="shared" si="152"/>
        <v>11</v>
      </c>
      <c r="H1644" s="1">
        <f t="shared" si="153"/>
        <v>45614</v>
      </c>
      <c r="I1644" s="1">
        <f t="shared" si="154"/>
        <v>45597</v>
      </c>
      <c r="J1644">
        <v>208518.31000000011</v>
      </c>
      <c r="K1644">
        <v>10032</v>
      </c>
      <c r="L1644">
        <f t="shared" si="156"/>
        <v>20.785317982456153</v>
      </c>
      <c r="M1644">
        <v>836</v>
      </c>
      <c r="N1644" s="2">
        <f t="shared" si="155"/>
        <v>249.42381578947382</v>
      </c>
      <c r="O1644">
        <v>12</v>
      </c>
    </row>
    <row r="1645" spans="1:15" x14ac:dyDescent="0.25">
      <c r="A1645" t="s">
        <v>46</v>
      </c>
      <c r="B1645" t="s">
        <v>15</v>
      </c>
      <c r="C1645" t="s">
        <v>33</v>
      </c>
      <c r="D1645" t="str">
        <f t="shared" si="151"/>
        <v>FAB2_ Des Light Deslactosada Light 1L</v>
      </c>
      <c r="E1645">
        <v>2024</v>
      </c>
      <c r="F1645">
        <v>48</v>
      </c>
      <c r="G1645">
        <f t="shared" si="152"/>
        <v>11</v>
      </c>
      <c r="H1645" s="1">
        <f t="shared" si="153"/>
        <v>45621</v>
      </c>
      <c r="I1645" s="1">
        <f t="shared" si="154"/>
        <v>45597</v>
      </c>
      <c r="J1645">
        <v>5019.67</v>
      </c>
      <c r="K1645">
        <v>252</v>
      </c>
      <c r="L1645">
        <f t="shared" si="156"/>
        <v>19.919325396825396</v>
      </c>
      <c r="M1645">
        <v>21</v>
      </c>
      <c r="N1645" s="2">
        <f t="shared" si="155"/>
        <v>239.03190476190477</v>
      </c>
      <c r="O1645">
        <v>12</v>
      </c>
    </row>
    <row r="1646" spans="1:15" x14ac:dyDescent="0.25">
      <c r="A1646" t="s">
        <v>46</v>
      </c>
      <c r="B1646" t="s">
        <v>15</v>
      </c>
      <c r="C1646" t="s">
        <v>33</v>
      </c>
      <c r="D1646" t="str">
        <f t="shared" si="151"/>
        <v>FAB2_ Des Light Deslactosada Light 1L</v>
      </c>
      <c r="E1646">
        <v>2024</v>
      </c>
      <c r="F1646">
        <v>48</v>
      </c>
      <c r="G1646">
        <f t="shared" si="152"/>
        <v>11</v>
      </c>
      <c r="H1646" s="1">
        <f t="shared" si="153"/>
        <v>45621</v>
      </c>
      <c r="I1646" s="1">
        <f t="shared" si="154"/>
        <v>45597</v>
      </c>
      <c r="J1646">
        <v>158499.86000000002</v>
      </c>
      <c r="K1646">
        <v>7632</v>
      </c>
      <c r="L1646">
        <f t="shared" si="156"/>
        <v>20.767801362683439</v>
      </c>
      <c r="M1646">
        <v>636</v>
      </c>
      <c r="N1646" s="2">
        <f t="shared" si="155"/>
        <v>249.21361635220129</v>
      </c>
      <c r="O1646">
        <v>12</v>
      </c>
    </row>
    <row r="1647" spans="1:15" x14ac:dyDescent="0.25">
      <c r="A1647" t="s">
        <v>46</v>
      </c>
      <c r="B1647" t="s">
        <v>15</v>
      </c>
      <c r="C1647" t="s">
        <v>33</v>
      </c>
      <c r="D1647" t="str">
        <f t="shared" si="151"/>
        <v>FAB2_ Des Light Deslactosada Light 1L</v>
      </c>
      <c r="E1647">
        <v>2024</v>
      </c>
      <c r="F1647">
        <v>49</v>
      </c>
      <c r="G1647">
        <f t="shared" si="152"/>
        <v>12</v>
      </c>
      <c r="H1647" s="1">
        <f t="shared" si="153"/>
        <v>45628</v>
      </c>
      <c r="I1647" s="1">
        <f t="shared" si="154"/>
        <v>45627</v>
      </c>
      <c r="J1647">
        <v>4394.01</v>
      </c>
      <c r="K1647">
        <v>216</v>
      </c>
      <c r="L1647">
        <f t="shared" si="156"/>
        <v>20.342638888888889</v>
      </c>
      <c r="M1647">
        <v>18</v>
      </c>
      <c r="N1647" s="2">
        <f t="shared" si="155"/>
        <v>244.11166666666668</v>
      </c>
      <c r="O1647">
        <v>12</v>
      </c>
    </row>
    <row r="1648" spans="1:15" x14ac:dyDescent="0.25">
      <c r="A1648" t="s">
        <v>46</v>
      </c>
      <c r="B1648" t="s">
        <v>15</v>
      </c>
      <c r="C1648" t="s">
        <v>33</v>
      </c>
      <c r="D1648" t="str">
        <f t="shared" si="151"/>
        <v>FAB2_ Des Light Deslactosada Light 1L</v>
      </c>
      <c r="E1648">
        <v>2024</v>
      </c>
      <c r="F1648">
        <v>49</v>
      </c>
      <c r="G1648">
        <f t="shared" si="152"/>
        <v>12</v>
      </c>
      <c r="H1648" s="1">
        <f t="shared" si="153"/>
        <v>45628</v>
      </c>
      <c r="I1648" s="1">
        <f t="shared" si="154"/>
        <v>45627</v>
      </c>
      <c r="J1648">
        <v>193209.22</v>
      </c>
      <c r="K1648">
        <v>9228</v>
      </c>
      <c r="L1648">
        <f t="shared" si="156"/>
        <v>20.937280017338534</v>
      </c>
      <c r="M1648">
        <v>769</v>
      </c>
      <c r="N1648" s="2">
        <f t="shared" si="155"/>
        <v>251.24736020806242</v>
      </c>
      <c r="O1648">
        <v>12</v>
      </c>
    </row>
    <row r="1649" spans="1:15" x14ac:dyDescent="0.25">
      <c r="A1649" t="s">
        <v>46</v>
      </c>
      <c r="B1649" t="s">
        <v>15</v>
      </c>
      <c r="C1649" t="s">
        <v>33</v>
      </c>
      <c r="D1649" t="str">
        <f t="shared" si="151"/>
        <v>FAB2_ Des Light Deslactosada Light 1L</v>
      </c>
      <c r="E1649">
        <v>2024</v>
      </c>
      <c r="F1649">
        <v>50</v>
      </c>
      <c r="G1649">
        <f t="shared" si="152"/>
        <v>12</v>
      </c>
      <c r="H1649" s="1">
        <f t="shared" si="153"/>
        <v>45635</v>
      </c>
      <c r="I1649" s="1">
        <f t="shared" si="154"/>
        <v>45627</v>
      </c>
      <c r="J1649">
        <v>5290.34</v>
      </c>
      <c r="K1649">
        <v>252</v>
      </c>
      <c r="L1649">
        <f t="shared" si="156"/>
        <v>20.993412698412698</v>
      </c>
      <c r="M1649">
        <v>21</v>
      </c>
      <c r="N1649" s="2">
        <f t="shared" si="155"/>
        <v>251.9209523809524</v>
      </c>
      <c r="O1649">
        <v>12</v>
      </c>
    </row>
    <row r="1650" spans="1:15" x14ac:dyDescent="0.25">
      <c r="A1650" t="s">
        <v>46</v>
      </c>
      <c r="B1650" t="s">
        <v>15</v>
      </c>
      <c r="C1650" t="s">
        <v>33</v>
      </c>
      <c r="D1650" t="str">
        <f t="shared" si="151"/>
        <v>FAB2_ Des Light Deslactosada Light 1L</v>
      </c>
      <c r="E1650">
        <v>2024</v>
      </c>
      <c r="F1650">
        <v>50</v>
      </c>
      <c r="G1650">
        <f t="shared" si="152"/>
        <v>12</v>
      </c>
      <c r="H1650" s="1">
        <f t="shared" si="153"/>
        <v>45635</v>
      </c>
      <c r="I1650" s="1">
        <f t="shared" si="154"/>
        <v>45627</v>
      </c>
      <c r="J1650">
        <v>233978.99000000002</v>
      </c>
      <c r="K1650">
        <v>10800</v>
      </c>
      <c r="L1650">
        <f t="shared" si="156"/>
        <v>21.6647212962963</v>
      </c>
      <c r="M1650">
        <v>900</v>
      </c>
      <c r="N1650" s="2">
        <f t="shared" si="155"/>
        <v>259.97665555555557</v>
      </c>
      <c r="O1650">
        <v>12</v>
      </c>
    </row>
    <row r="1651" spans="1:15" x14ac:dyDescent="0.25">
      <c r="A1651" t="s">
        <v>46</v>
      </c>
      <c r="B1651" t="s">
        <v>15</v>
      </c>
      <c r="C1651" t="s">
        <v>33</v>
      </c>
      <c r="D1651" t="str">
        <f t="shared" si="151"/>
        <v>FAB2_ Des Light Deslactosada Light 1L</v>
      </c>
      <c r="E1651">
        <v>2024</v>
      </c>
      <c r="F1651">
        <v>51</v>
      </c>
      <c r="G1651">
        <f t="shared" si="152"/>
        <v>12</v>
      </c>
      <c r="H1651" s="1">
        <f t="shared" si="153"/>
        <v>45642</v>
      </c>
      <c r="I1651" s="1">
        <f t="shared" si="154"/>
        <v>45627</v>
      </c>
      <c r="J1651">
        <v>7142</v>
      </c>
      <c r="K1651">
        <v>336</v>
      </c>
      <c r="L1651">
        <f t="shared" si="156"/>
        <v>21.25595238095238</v>
      </c>
      <c r="M1651">
        <v>28</v>
      </c>
      <c r="N1651" s="2">
        <f t="shared" si="155"/>
        <v>255.07142857142858</v>
      </c>
      <c r="O1651">
        <v>12</v>
      </c>
    </row>
    <row r="1652" spans="1:15" x14ac:dyDescent="0.25">
      <c r="A1652" t="s">
        <v>46</v>
      </c>
      <c r="B1652" t="s">
        <v>15</v>
      </c>
      <c r="C1652" t="s">
        <v>33</v>
      </c>
      <c r="D1652" t="str">
        <f t="shared" si="151"/>
        <v>FAB2_ Des Light Deslactosada Light 1L</v>
      </c>
      <c r="E1652">
        <v>2024</v>
      </c>
      <c r="F1652">
        <v>51</v>
      </c>
      <c r="G1652">
        <f t="shared" si="152"/>
        <v>12</v>
      </c>
      <c r="H1652" s="1">
        <f t="shared" si="153"/>
        <v>45642</v>
      </c>
      <c r="I1652" s="1">
        <f t="shared" si="154"/>
        <v>45627</v>
      </c>
      <c r="J1652">
        <v>302812.11</v>
      </c>
      <c r="K1652">
        <v>14100</v>
      </c>
      <c r="L1652">
        <f t="shared" si="156"/>
        <v>21.476036170212765</v>
      </c>
      <c r="M1652">
        <v>1175</v>
      </c>
      <c r="N1652" s="2">
        <f t="shared" si="155"/>
        <v>257.71243404255318</v>
      </c>
      <c r="O1652">
        <v>12</v>
      </c>
    </row>
    <row r="1653" spans="1:15" x14ac:dyDescent="0.25">
      <c r="A1653" t="s">
        <v>46</v>
      </c>
      <c r="B1653" t="s">
        <v>15</v>
      </c>
      <c r="C1653" t="s">
        <v>33</v>
      </c>
      <c r="D1653" t="str">
        <f t="shared" si="151"/>
        <v>FAB2_ Des Light Deslactosada Light 1L</v>
      </c>
      <c r="E1653">
        <v>2024</v>
      </c>
      <c r="F1653">
        <v>52</v>
      </c>
      <c r="G1653">
        <f t="shared" si="152"/>
        <v>12</v>
      </c>
      <c r="H1653" s="1">
        <f t="shared" si="153"/>
        <v>45649</v>
      </c>
      <c r="I1653" s="1">
        <f t="shared" si="154"/>
        <v>45627</v>
      </c>
      <c r="J1653">
        <v>5527.99</v>
      </c>
      <c r="K1653">
        <v>264</v>
      </c>
      <c r="L1653">
        <f t="shared" si="156"/>
        <v>20.939356060606059</v>
      </c>
      <c r="M1653">
        <v>22</v>
      </c>
      <c r="N1653" s="2">
        <f t="shared" si="155"/>
        <v>251.27227272727271</v>
      </c>
      <c r="O1653">
        <v>12</v>
      </c>
    </row>
    <row r="1654" spans="1:15" x14ac:dyDescent="0.25">
      <c r="A1654" t="s">
        <v>46</v>
      </c>
      <c r="B1654" t="s">
        <v>15</v>
      </c>
      <c r="C1654" t="s">
        <v>33</v>
      </c>
      <c r="D1654" t="str">
        <f t="shared" si="151"/>
        <v>FAB2_ Des Light Deslactosada Light 1L</v>
      </c>
      <c r="E1654">
        <v>2024</v>
      </c>
      <c r="F1654">
        <v>52</v>
      </c>
      <c r="G1654">
        <f t="shared" si="152"/>
        <v>12</v>
      </c>
      <c r="H1654" s="1">
        <f t="shared" si="153"/>
        <v>45649</v>
      </c>
      <c r="I1654" s="1">
        <f t="shared" si="154"/>
        <v>45627</v>
      </c>
      <c r="J1654">
        <v>193518.50000000006</v>
      </c>
      <c r="K1654">
        <v>8676</v>
      </c>
      <c r="L1654">
        <f t="shared" si="156"/>
        <v>22.305036883356394</v>
      </c>
      <c r="M1654">
        <v>723</v>
      </c>
      <c r="N1654" s="2">
        <f t="shared" si="155"/>
        <v>267.66044260027672</v>
      </c>
      <c r="O1654">
        <v>12</v>
      </c>
    </row>
    <row r="1655" spans="1:15" x14ac:dyDescent="0.25">
      <c r="A1655" t="s">
        <v>46</v>
      </c>
      <c r="B1655" t="s">
        <v>15</v>
      </c>
      <c r="C1655" t="s">
        <v>33</v>
      </c>
      <c r="D1655" t="str">
        <f t="shared" si="151"/>
        <v>FAB2_ Des Light Deslactosada Light 1L</v>
      </c>
      <c r="E1655">
        <v>2025</v>
      </c>
      <c r="F1655">
        <v>1</v>
      </c>
      <c r="G1655">
        <f t="shared" si="152"/>
        <v>1</v>
      </c>
      <c r="H1655" s="1">
        <f t="shared" si="153"/>
        <v>45656</v>
      </c>
      <c r="I1655" s="1">
        <f t="shared" si="154"/>
        <v>45658</v>
      </c>
      <c r="J1655">
        <v>2696.1800000000003</v>
      </c>
      <c r="K1655">
        <v>120</v>
      </c>
      <c r="L1655">
        <f t="shared" si="156"/>
        <v>22.468166666666669</v>
      </c>
      <c r="M1655">
        <v>10</v>
      </c>
      <c r="N1655" s="2">
        <f t="shared" si="155"/>
        <v>269.61800000000005</v>
      </c>
      <c r="O1655">
        <v>12</v>
      </c>
    </row>
    <row r="1656" spans="1:15" x14ac:dyDescent="0.25">
      <c r="A1656" t="s">
        <v>46</v>
      </c>
      <c r="B1656" t="s">
        <v>15</v>
      </c>
      <c r="C1656" t="s">
        <v>33</v>
      </c>
      <c r="D1656" t="str">
        <f t="shared" si="151"/>
        <v>FAB2_ Des Light Deslactosada Light 1L</v>
      </c>
      <c r="E1656">
        <v>2025</v>
      </c>
      <c r="F1656">
        <v>1</v>
      </c>
      <c r="G1656">
        <f t="shared" si="152"/>
        <v>1</v>
      </c>
      <c r="H1656" s="1">
        <f t="shared" si="153"/>
        <v>45656</v>
      </c>
      <c r="I1656" s="1">
        <f t="shared" si="154"/>
        <v>45658</v>
      </c>
      <c r="J1656">
        <v>150260.16999999998</v>
      </c>
      <c r="K1656">
        <v>5916</v>
      </c>
      <c r="L1656">
        <f t="shared" si="156"/>
        <v>25.398946923597023</v>
      </c>
      <c r="M1656">
        <v>493</v>
      </c>
      <c r="N1656" s="2">
        <f t="shared" si="155"/>
        <v>304.78736308316428</v>
      </c>
      <c r="O1656">
        <v>12</v>
      </c>
    </row>
    <row r="1657" spans="1:15" x14ac:dyDescent="0.25">
      <c r="A1657" t="s">
        <v>46</v>
      </c>
      <c r="B1657" t="s">
        <v>15</v>
      </c>
      <c r="C1657" t="s">
        <v>33</v>
      </c>
      <c r="D1657" t="str">
        <f t="shared" si="151"/>
        <v>FAB2_ Des Light Deslactosada Light 1L</v>
      </c>
      <c r="E1657">
        <v>2025</v>
      </c>
      <c r="F1657">
        <v>2</v>
      </c>
      <c r="G1657">
        <f t="shared" si="152"/>
        <v>1</v>
      </c>
      <c r="H1657" s="1">
        <f t="shared" si="153"/>
        <v>45663</v>
      </c>
      <c r="I1657" s="1">
        <f t="shared" si="154"/>
        <v>45658</v>
      </c>
      <c r="J1657">
        <v>3766</v>
      </c>
      <c r="K1657">
        <v>168</v>
      </c>
      <c r="L1657">
        <f t="shared" si="156"/>
        <v>22.416666666666668</v>
      </c>
      <c r="M1657">
        <v>14</v>
      </c>
      <c r="N1657" s="2">
        <f t="shared" si="155"/>
        <v>269</v>
      </c>
      <c r="O1657">
        <v>12</v>
      </c>
    </row>
    <row r="1658" spans="1:15" x14ac:dyDescent="0.25">
      <c r="A1658" t="s">
        <v>46</v>
      </c>
      <c r="B1658" t="s">
        <v>15</v>
      </c>
      <c r="C1658" t="s">
        <v>33</v>
      </c>
      <c r="D1658" t="str">
        <f t="shared" si="151"/>
        <v>FAB2_ Des Light Deslactosada Light 1L</v>
      </c>
      <c r="E1658">
        <v>2025</v>
      </c>
      <c r="F1658">
        <v>2</v>
      </c>
      <c r="G1658">
        <f t="shared" si="152"/>
        <v>1</v>
      </c>
      <c r="H1658" s="1">
        <f t="shared" si="153"/>
        <v>45663</v>
      </c>
      <c r="I1658" s="1">
        <f t="shared" si="154"/>
        <v>45658</v>
      </c>
      <c r="J1658">
        <v>129096.07999999999</v>
      </c>
      <c r="K1658">
        <v>5088</v>
      </c>
      <c r="L1658">
        <f t="shared" si="156"/>
        <v>25.372657232704402</v>
      </c>
      <c r="M1658">
        <v>424</v>
      </c>
      <c r="N1658" s="2">
        <f t="shared" si="155"/>
        <v>304.47188679245278</v>
      </c>
      <c r="O1658">
        <v>12</v>
      </c>
    </row>
    <row r="1659" spans="1:15" x14ac:dyDescent="0.25">
      <c r="A1659" t="s">
        <v>46</v>
      </c>
      <c r="B1659" t="s">
        <v>15</v>
      </c>
      <c r="C1659" t="s">
        <v>33</v>
      </c>
      <c r="D1659" t="str">
        <f t="shared" si="151"/>
        <v>FAB2_ Des Light Deslactosada Light 1L</v>
      </c>
      <c r="E1659">
        <v>2025</v>
      </c>
      <c r="F1659">
        <v>3</v>
      </c>
      <c r="G1659">
        <f t="shared" si="152"/>
        <v>1</v>
      </c>
      <c r="H1659" s="1">
        <f t="shared" si="153"/>
        <v>45670</v>
      </c>
      <c r="I1659" s="1">
        <f t="shared" si="154"/>
        <v>45658</v>
      </c>
      <c r="J1659">
        <v>24479</v>
      </c>
      <c r="K1659">
        <v>1092</v>
      </c>
      <c r="L1659">
        <f t="shared" si="156"/>
        <v>22.416666666666668</v>
      </c>
      <c r="M1659">
        <v>91</v>
      </c>
      <c r="N1659" s="2">
        <f t="shared" si="155"/>
        <v>269</v>
      </c>
      <c r="O1659">
        <v>12</v>
      </c>
    </row>
    <row r="1660" spans="1:15" x14ac:dyDescent="0.25">
      <c r="A1660" t="s">
        <v>46</v>
      </c>
      <c r="B1660" t="s">
        <v>15</v>
      </c>
      <c r="C1660" t="s">
        <v>33</v>
      </c>
      <c r="D1660" t="str">
        <f t="shared" si="151"/>
        <v>FAB2_ Des Light Deslactosada Light 1L</v>
      </c>
      <c r="E1660">
        <v>2025</v>
      </c>
      <c r="F1660">
        <v>3</v>
      </c>
      <c r="G1660">
        <f t="shared" si="152"/>
        <v>1</v>
      </c>
      <c r="H1660" s="1">
        <f t="shared" si="153"/>
        <v>45670</v>
      </c>
      <c r="I1660" s="1">
        <f t="shared" si="154"/>
        <v>45658</v>
      </c>
      <c r="J1660">
        <v>120716.93</v>
      </c>
      <c r="K1660">
        <v>4788</v>
      </c>
      <c r="L1660">
        <f t="shared" si="156"/>
        <v>25.212391395154551</v>
      </c>
      <c r="M1660">
        <v>399</v>
      </c>
      <c r="N1660" s="2">
        <f t="shared" si="155"/>
        <v>302.5486967418546</v>
      </c>
      <c r="O1660">
        <v>12</v>
      </c>
    </row>
    <row r="1661" spans="1:15" x14ac:dyDescent="0.25">
      <c r="A1661" t="s">
        <v>46</v>
      </c>
      <c r="B1661" t="s">
        <v>15</v>
      </c>
      <c r="C1661" t="s">
        <v>33</v>
      </c>
      <c r="D1661" t="str">
        <f t="shared" si="151"/>
        <v>FAB2_ Des Light Deslactosada Light 1L</v>
      </c>
      <c r="E1661">
        <v>2025</v>
      </c>
      <c r="F1661">
        <v>4</v>
      </c>
      <c r="G1661">
        <f t="shared" si="152"/>
        <v>1</v>
      </c>
      <c r="H1661" s="1">
        <f t="shared" si="153"/>
        <v>45677</v>
      </c>
      <c r="I1661" s="1">
        <f t="shared" si="154"/>
        <v>45658</v>
      </c>
      <c r="J1661">
        <v>-268</v>
      </c>
      <c r="K1661">
        <v>0</v>
      </c>
      <c r="M1661">
        <v>0</v>
      </c>
      <c r="O1661">
        <v>12</v>
      </c>
    </row>
    <row r="1662" spans="1:15" x14ac:dyDescent="0.25">
      <c r="A1662" t="s">
        <v>46</v>
      </c>
      <c r="B1662" t="s">
        <v>15</v>
      </c>
      <c r="C1662" t="s">
        <v>33</v>
      </c>
      <c r="D1662" t="str">
        <f t="shared" si="151"/>
        <v>FAB2_ Des Light Deslactosada Light 1L</v>
      </c>
      <c r="E1662">
        <v>2025</v>
      </c>
      <c r="F1662">
        <v>4</v>
      </c>
      <c r="G1662">
        <f t="shared" si="152"/>
        <v>1</v>
      </c>
      <c r="H1662" s="1">
        <f t="shared" si="153"/>
        <v>45677</v>
      </c>
      <c r="I1662" s="1">
        <f t="shared" si="154"/>
        <v>45658</v>
      </c>
      <c r="J1662">
        <v>113572.16</v>
      </c>
      <c r="K1662">
        <v>4464</v>
      </c>
      <c r="L1662">
        <f t="shared" ref="L1662:L1725" si="157">J1662/(M1662*O1662)</f>
        <v>25.441792114695343</v>
      </c>
      <c r="M1662">
        <v>372</v>
      </c>
      <c r="N1662" s="2">
        <f t="shared" si="155"/>
        <v>305.3015053763441</v>
      </c>
      <c r="O1662">
        <v>12</v>
      </c>
    </row>
    <row r="1663" spans="1:15" x14ac:dyDescent="0.25">
      <c r="A1663" t="s">
        <v>46</v>
      </c>
      <c r="B1663" t="s">
        <v>15</v>
      </c>
      <c r="C1663" t="s">
        <v>33</v>
      </c>
      <c r="D1663" t="str">
        <f t="shared" si="151"/>
        <v>FAB2_ Des Light Deslactosada Light 1L</v>
      </c>
      <c r="E1663">
        <v>2025</v>
      </c>
      <c r="F1663">
        <v>5</v>
      </c>
      <c r="G1663">
        <f t="shared" si="152"/>
        <v>1</v>
      </c>
      <c r="H1663" s="1">
        <f t="shared" si="153"/>
        <v>45684</v>
      </c>
      <c r="I1663" s="1">
        <f t="shared" si="154"/>
        <v>45658</v>
      </c>
      <c r="J1663">
        <v>130554.00000000001</v>
      </c>
      <c r="K1663">
        <v>5196</v>
      </c>
      <c r="L1663">
        <f t="shared" si="157"/>
        <v>25.125866050808316</v>
      </c>
      <c r="M1663">
        <v>433</v>
      </c>
      <c r="N1663" s="2">
        <f t="shared" si="155"/>
        <v>301.51039260969981</v>
      </c>
      <c r="O1663">
        <v>12</v>
      </c>
    </row>
    <row r="1664" spans="1:15" x14ac:dyDescent="0.25">
      <c r="A1664" t="s">
        <v>46</v>
      </c>
      <c r="B1664" t="s">
        <v>15</v>
      </c>
      <c r="C1664" t="s">
        <v>33</v>
      </c>
      <c r="D1664" t="str">
        <f t="shared" si="151"/>
        <v>FAB2_ Des Light Deslactosada Light 1L</v>
      </c>
      <c r="E1664">
        <v>2025</v>
      </c>
      <c r="F1664">
        <v>6</v>
      </c>
      <c r="G1664">
        <f t="shared" si="152"/>
        <v>2</v>
      </c>
      <c r="H1664" s="1">
        <f t="shared" si="153"/>
        <v>45691</v>
      </c>
      <c r="I1664" s="1">
        <f t="shared" si="154"/>
        <v>45689</v>
      </c>
      <c r="J1664">
        <v>190095.91999999998</v>
      </c>
      <c r="K1664">
        <v>7872</v>
      </c>
      <c r="L1664">
        <f t="shared" si="157"/>
        <v>24.148363821138208</v>
      </c>
      <c r="M1664">
        <v>656</v>
      </c>
      <c r="N1664" s="2">
        <f t="shared" si="155"/>
        <v>289.78036585365851</v>
      </c>
      <c r="O1664">
        <v>12</v>
      </c>
    </row>
    <row r="1665" spans="1:15" x14ac:dyDescent="0.25">
      <c r="A1665" t="s">
        <v>46</v>
      </c>
      <c r="B1665" t="s">
        <v>15</v>
      </c>
      <c r="C1665" t="s">
        <v>33</v>
      </c>
      <c r="D1665" t="str">
        <f t="shared" si="151"/>
        <v>FAB2_ Des Light Deslactosada Light 1L</v>
      </c>
      <c r="E1665">
        <v>2025</v>
      </c>
      <c r="F1665">
        <v>7</v>
      </c>
      <c r="G1665">
        <f t="shared" si="152"/>
        <v>2</v>
      </c>
      <c r="H1665" s="1">
        <f t="shared" si="153"/>
        <v>45698</v>
      </c>
      <c r="I1665" s="1">
        <f t="shared" si="154"/>
        <v>45689</v>
      </c>
      <c r="J1665">
        <v>183618.91</v>
      </c>
      <c r="K1665">
        <v>7968</v>
      </c>
      <c r="L1665">
        <f t="shared" si="157"/>
        <v>23.044541917670685</v>
      </c>
      <c r="M1665">
        <v>664</v>
      </c>
      <c r="N1665" s="2">
        <f t="shared" si="155"/>
        <v>276.53450301204822</v>
      </c>
      <c r="O1665">
        <v>12</v>
      </c>
    </row>
    <row r="1666" spans="1:15" x14ac:dyDescent="0.25">
      <c r="A1666" t="s">
        <v>46</v>
      </c>
      <c r="B1666" t="s">
        <v>15</v>
      </c>
      <c r="C1666" t="s">
        <v>33</v>
      </c>
      <c r="D1666" t="str">
        <f t="shared" si="151"/>
        <v>FAB2_ Des Light Deslactosada Light 1L</v>
      </c>
      <c r="E1666">
        <v>2025</v>
      </c>
      <c r="F1666">
        <v>8</v>
      </c>
      <c r="G1666">
        <f t="shared" si="152"/>
        <v>2</v>
      </c>
      <c r="H1666" s="1">
        <f t="shared" si="153"/>
        <v>45705</v>
      </c>
      <c r="I1666" s="1">
        <f t="shared" si="154"/>
        <v>45689</v>
      </c>
      <c r="J1666">
        <v>134752.91</v>
      </c>
      <c r="K1666">
        <v>5460</v>
      </c>
      <c r="L1666">
        <f t="shared" si="157"/>
        <v>24.680020146520146</v>
      </c>
      <c r="M1666">
        <v>455</v>
      </c>
      <c r="N1666" s="2">
        <f t="shared" si="155"/>
        <v>296.16024175824174</v>
      </c>
      <c r="O1666">
        <v>12</v>
      </c>
    </row>
    <row r="1667" spans="1:15" x14ac:dyDescent="0.25">
      <c r="A1667" t="s">
        <v>46</v>
      </c>
      <c r="B1667" t="s">
        <v>15</v>
      </c>
      <c r="C1667" t="s">
        <v>33</v>
      </c>
      <c r="D1667" t="str">
        <f t="shared" ref="D1667:D1730" si="158">B1667&amp;"_"&amp;C1667</f>
        <v>FAB2_ Des Light Deslactosada Light 1L</v>
      </c>
      <c r="E1667">
        <v>2025</v>
      </c>
      <c r="F1667">
        <v>9</v>
      </c>
      <c r="G1667">
        <f t="shared" ref="G1667:G1730" si="159">MONTH(DATE(E1667,1,4)+(F1667-1)*7-WEEKDAY(DATE(E1667,1,4),2)+4)</f>
        <v>2</v>
      </c>
      <c r="H1667" s="1">
        <f t="shared" ref="H1667:H1730" si="160">DATE(E1667,1,-2)-WEEKDAY(DATE(E1667,1,3))+F1667*7</f>
        <v>45712</v>
      </c>
      <c r="I1667" s="1">
        <f t="shared" ref="I1667:I1730" si="161">DATE(E1667,G1667,1)</f>
        <v>45689</v>
      </c>
      <c r="J1667">
        <v>101263.23000000001</v>
      </c>
      <c r="K1667">
        <v>3936</v>
      </c>
      <c r="L1667">
        <f t="shared" si="157"/>
        <v>25.727446646341466</v>
      </c>
      <c r="M1667">
        <v>328</v>
      </c>
      <c r="N1667" s="2">
        <f t="shared" ref="N1667:N1730" si="162">J1667/M1667</f>
        <v>308.72935975609761</v>
      </c>
      <c r="O1667">
        <v>12</v>
      </c>
    </row>
    <row r="1668" spans="1:15" x14ac:dyDescent="0.25">
      <c r="A1668" t="s">
        <v>46</v>
      </c>
      <c r="B1668" t="s">
        <v>15</v>
      </c>
      <c r="C1668" t="s">
        <v>33</v>
      </c>
      <c r="D1668" t="str">
        <f t="shared" si="158"/>
        <v>FAB2_ Des Light Deslactosada Light 1L</v>
      </c>
      <c r="E1668">
        <v>2025</v>
      </c>
      <c r="F1668">
        <v>10</v>
      </c>
      <c r="G1668">
        <f t="shared" si="159"/>
        <v>3</v>
      </c>
      <c r="H1668" s="1">
        <f t="shared" si="160"/>
        <v>45719</v>
      </c>
      <c r="I1668" s="1">
        <f t="shared" si="161"/>
        <v>45717</v>
      </c>
      <c r="J1668">
        <v>128485.99000000002</v>
      </c>
      <c r="K1668">
        <v>5196</v>
      </c>
      <c r="L1668">
        <f t="shared" si="157"/>
        <v>24.727865665896847</v>
      </c>
      <c r="M1668">
        <v>433</v>
      </c>
      <c r="N1668" s="2">
        <f t="shared" si="162"/>
        <v>296.73438799076217</v>
      </c>
      <c r="O1668">
        <v>12</v>
      </c>
    </row>
    <row r="1669" spans="1:15" x14ac:dyDescent="0.25">
      <c r="A1669" t="s">
        <v>46</v>
      </c>
      <c r="B1669" t="s">
        <v>15</v>
      </c>
      <c r="C1669" t="s">
        <v>33</v>
      </c>
      <c r="D1669" t="str">
        <f t="shared" si="158"/>
        <v>FAB2_ Des Light Deslactosada Light 1L</v>
      </c>
      <c r="E1669">
        <v>2025</v>
      </c>
      <c r="F1669">
        <v>11</v>
      </c>
      <c r="G1669">
        <f t="shared" si="159"/>
        <v>3</v>
      </c>
      <c r="H1669" s="1">
        <f t="shared" si="160"/>
        <v>45726</v>
      </c>
      <c r="I1669" s="1">
        <f t="shared" si="161"/>
        <v>45717</v>
      </c>
      <c r="J1669">
        <v>167254.64000000001</v>
      </c>
      <c r="K1669">
        <v>7248</v>
      </c>
      <c r="L1669">
        <f t="shared" si="157"/>
        <v>23.075971302428258</v>
      </c>
      <c r="M1669">
        <v>604</v>
      </c>
      <c r="N1669" s="2">
        <f t="shared" si="162"/>
        <v>276.91165562913909</v>
      </c>
      <c r="O1669">
        <v>12</v>
      </c>
    </row>
    <row r="1670" spans="1:15" x14ac:dyDescent="0.25">
      <c r="A1670" t="s">
        <v>46</v>
      </c>
      <c r="B1670" t="s">
        <v>15</v>
      </c>
      <c r="C1670" t="s">
        <v>33</v>
      </c>
      <c r="D1670" t="str">
        <f t="shared" si="158"/>
        <v>FAB2_ Des Light Deslactosada Light 1L</v>
      </c>
      <c r="E1670">
        <v>2025</v>
      </c>
      <c r="F1670">
        <v>12</v>
      </c>
      <c r="G1670">
        <f t="shared" si="159"/>
        <v>3</v>
      </c>
      <c r="H1670" s="1">
        <f t="shared" si="160"/>
        <v>45733</v>
      </c>
      <c r="I1670" s="1">
        <f t="shared" si="161"/>
        <v>45717</v>
      </c>
      <c r="J1670">
        <v>141668.43000000002</v>
      </c>
      <c r="K1670">
        <v>6084</v>
      </c>
      <c r="L1670">
        <f t="shared" si="157"/>
        <v>23.285409270216967</v>
      </c>
      <c r="M1670">
        <v>507</v>
      </c>
      <c r="N1670" s="2">
        <f t="shared" si="162"/>
        <v>279.42491124260357</v>
      </c>
      <c r="O1670">
        <v>12</v>
      </c>
    </row>
    <row r="1671" spans="1:15" x14ac:dyDescent="0.25">
      <c r="A1671" t="s">
        <v>46</v>
      </c>
      <c r="B1671" t="s">
        <v>15</v>
      </c>
      <c r="C1671" t="s">
        <v>33</v>
      </c>
      <c r="D1671" t="str">
        <f t="shared" si="158"/>
        <v>FAB2_ Des Light Deslactosada Light 1L</v>
      </c>
      <c r="E1671">
        <v>2025</v>
      </c>
      <c r="F1671">
        <v>13</v>
      </c>
      <c r="G1671">
        <f t="shared" si="159"/>
        <v>3</v>
      </c>
      <c r="H1671" s="1">
        <f t="shared" si="160"/>
        <v>45740</v>
      </c>
      <c r="I1671" s="1">
        <f t="shared" si="161"/>
        <v>45717</v>
      </c>
      <c r="J1671">
        <v>132631.32</v>
      </c>
      <c r="K1671">
        <v>5712</v>
      </c>
      <c r="L1671">
        <f t="shared" si="157"/>
        <v>23.219768907563026</v>
      </c>
      <c r="M1671">
        <v>476</v>
      </c>
      <c r="N1671" s="2">
        <f t="shared" si="162"/>
        <v>278.63722689075632</v>
      </c>
      <c r="O1671">
        <v>12</v>
      </c>
    </row>
    <row r="1672" spans="1:15" x14ac:dyDescent="0.25">
      <c r="A1672" t="s">
        <v>46</v>
      </c>
      <c r="B1672" t="s">
        <v>15</v>
      </c>
      <c r="C1672" t="s">
        <v>33</v>
      </c>
      <c r="D1672" t="str">
        <f t="shared" si="158"/>
        <v>FAB2_ Des Light Deslactosada Light 1L</v>
      </c>
      <c r="E1672">
        <v>2025</v>
      </c>
      <c r="F1672">
        <v>14</v>
      </c>
      <c r="G1672">
        <f t="shared" si="159"/>
        <v>4</v>
      </c>
      <c r="H1672" s="1">
        <f t="shared" si="160"/>
        <v>45747</v>
      </c>
      <c r="I1672" s="1">
        <f t="shared" si="161"/>
        <v>45748</v>
      </c>
      <c r="J1672">
        <v>163881.90000000005</v>
      </c>
      <c r="K1672">
        <v>6816</v>
      </c>
      <c r="L1672">
        <f t="shared" si="157"/>
        <v>24.043705985915501</v>
      </c>
      <c r="M1672">
        <v>568</v>
      </c>
      <c r="N1672" s="2">
        <f t="shared" si="162"/>
        <v>288.52447183098599</v>
      </c>
      <c r="O1672">
        <v>12</v>
      </c>
    </row>
    <row r="1673" spans="1:15" x14ac:dyDescent="0.25">
      <c r="A1673" t="s">
        <v>46</v>
      </c>
      <c r="B1673" t="s">
        <v>15</v>
      </c>
      <c r="C1673" t="s">
        <v>33</v>
      </c>
      <c r="D1673" t="str">
        <f t="shared" si="158"/>
        <v>FAB2_ Des Light Deslactosada Light 1L</v>
      </c>
      <c r="E1673">
        <v>2025</v>
      </c>
      <c r="F1673">
        <v>15</v>
      </c>
      <c r="G1673">
        <f t="shared" si="159"/>
        <v>4</v>
      </c>
      <c r="H1673" s="1">
        <f t="shared" si="160"/>
        <v>45754</v>
      </c>
      <c r="I1673" s="1">
        <f t="shared" si="161"/>
        <v>45748</v>
      </c>
      <c r="J1673">
        <v>106362.79</v>
      </c>
      <c r="K1673">
        <v>4332</v>
      </c>
      <c r="L1673">
        <f t="shared" si="157"/>
        <v>24.552813942751616</v>
      </c>
      <c r="M1673">
        <v>361</v>
      </c>
      <c r="N1673" s="2">
        <f t="shared" si="162"/>
        <v>294.63376731301935</v>
      </c>
      <c r="O1673">
        <v>12</v>
      </c>
    </row>
    <row r="1674" spans="1:15" x14ac:dyDescent="0.25">
      <c r="A1674" t="s">
        <v>46</v>
      </c>
      <c r="B1674" t="s">
        <v>15</v>
      </c>
      <c r="C1674" t="s">
        <v>33</v>
      </c>
      <c r="D1674" t="str">
        <f t="shared" si="158"/>
        <v>FAB2_ Des Light Deslactosada Light 1L</v>
      </c>
      <c r="E1674">
        <v>2025</v>
      </c>
      <c r="F1674">
        <v>16</v>
      </c>
      <c r="G1674">
        <f t="shared" si="159"/>
        <v>4</v>
      </c>
      <c r="H1674" s="1">
        <f t="shared" si="160"/>
        <v>45761</v>
      </c>
      <c r="I1674" s="1">
        <f t="shared" si="161"/>
        <v>45748</v>
      </c>
      <c r="J1674">
        <v>162871.75000000003</v>
      </c>
      <c r="K1674">
        <v>6684</v>
      </c>
      <c r="L1674">
        <f t="shared" si="157"/>
        <v>24.367407241172955</v>
      </c>
      <c r="M1674">
        <v>557</v>
      </c>
      <c r="N1674" s="2">
        <f t="shared" si="162"/>
        <v>292.40888689407547</v>
      </c>
      <c r="O1674">
        <v>12</v>
      </c>
    </row>
    <row r="1675" spans="1:15" x14ac:dyDescent="0.25">
      <c r="A1675" t="s">
        <v>46</v>
      </c>
      <c r="B1675" t="s">
        <v>15</v>
      </c>
      <c r="C1675" t="s">
        <v>33</v>
      </c>
      <c r="D1675" t="str">
        <f t="shared" si="158"/>
        <v>FAB2_ Des Light Deslactosada Light 1L</v>
      </c>
      <c r="E1675">
        <v>2025</v>
      </c>
      <c r="F1675">
        <v>17</v>
      </c>
      <c r="G1675">
        <f t="shared" si="159"/>
        <v>4</v>
      </c>
      <c r="H1675" s="1">
        <f t="shared" si="160"/>
        <v>45768</v>
      </c>
      <c r="I1675" s="1">
        <f t="shared" si="161"/>
        <v>45748</v>
      </c>
      <c r="J1675">
        <v>149067.91</v>
      </c>
      <c r="K1675">
        <v>6288</v>
      </c>
      <c r="L1675">
        <f t="shared" si="157"/>
        <v>23.706728689567431</v>
      </c>
      <c r="M1675">
        <v>524</v>
      </c>
      <c r="N1675" s="2">
        <f t="shared" si="162"/>
        <v>284.48074427480918</v>
      </c>
      <c r="O1675">
        <v>12</v>
      </c>
    </row>
    <row r="1676" spans="1:15" x14ac:dyDescent="0.25">
      <c r="A1676" t="s">
        <v>46</v>
      </c>
      <c r="B1676" t="s">
        <v>15</v>
      </c>
      <c r="C1676" t="s">
        <v>33</v>
      </c>
      <c r="D1676" t="str">
        <f t="shared" si="158"/>
        <v>FAB2_ Des Light Deslactosada Light 1L</v>
      </c>
      <c r="E1676">
        <v>2025</v>
      </c>
      <c r="F1676">
        <v>18</v>
      </c>
      <c r="G1676">
        <f t="shared" si="159"/>
        <v>5</v>
      </c>
      <c r="H1676" s="1">
        <f t="shared" si="160"/>
        <v>45775</v>
      </c>
      <c r="I1676" s="1">
        <f t="shared" si="161"/>
        <v>45778</v>
      </c>
      <c r="J1676">
        <v>225470.50000000003</v>
      </c>
      <c r="K1676">
        <v>10248</v>
      </c>
      <c r="L1676">
        <f t="shared" si="157"/>
        <v>22.001414910226387</v>
      </c>
      <c r="M1676">
        <v>854</v>
      </c>
      <c r="N1676" s="2">
        <f t="shared" si="162"/>
        <v>264.01697892271665</v>
      </c>
      <c r="O1676">
        <v>12</v>
      </c>
    </row>
    <row r="1677" spans="1:15" x14ac:dyDescent="0.25">
      <c r="A1677" t="s">
        <v>46</v>
      </c>
      <c r="B1677" t="s">
        <v>15</v>
      </c>
      <c r="C1677" t="s">
        <v>33</v>
      </c>
      <c r="D1677" t="str">
        <f t="shared" si="158"/>
        <v>FAB2_ Des Light Deslactosada Light 1L</v>
      </c>
      <c r="E1677">
        <v>2025</v>
      </c>
      <c r="F1677">
        <v>19</v>
      </c>
      <c r="G1677">
        <f t="shared" si="159"/>
        <v>5</v>
      </c>
      <c r="H1677" s="1">
        <f t="shared" si="160"/>
        <v>45782</v>
      </c>
      <c r="I1677" s="1">
        <f t="shared" si="161"/>
        <v>45778</v>
      </c>
      <c r="J1677">
        <v>187840.52</v>
      </c>
      <c r="K1677">
        <v>8136</v>
      </c>
      <c r="L1677">
        <f t="shared" si="157"/>
        <v>23.087576204523106</v>
      </c>
      <c r="M1677">
        <v>678</v>
      </c>
      <c r="N1677" s="2">
        <f t="shared" si="162"/>
        <v>277.05091445427729</v>
      </c>
      <c r="O1677">
        <v>12</v>
      </c>
    </row>
    <row r="1678" spans="1:15" x14ac:dyDescent="0.25">
      <c r="A1678" t="s">
        <v>46</v>
      </c>
      <c r="B1678" t="s">
        <v>15</v>
      </c>
      <c r="C1678" t="s">
        <v>33</v>
      </c>
      <c r="D1678" t="str">
        <f t="shared" si="158"/>
        <v>FAB2_ Des Light Deslactosada Light 1L</v>
      </c>
      <c r="E1678">
        <v>2025</v>
      </c>
      <c r="F1678">
        <v>20</v>
      </c>
      <c r="G1678">
        <f t="shared" si="159"/>
        <v>5</v>
      </c>
      <c r="H1678" s="1">
        <f t="shared" si="160"/>
        <v>45789</v>
      </c>
      <c r="I1678" s="1">
        <f t="shared" si="161"/>
        <v>45778</v>
      </c>
      <c r="J1678">
        <v>149347.26</v>
      </c>
      <c r="K1678">
        <v>6492</v>
      </c>
      <c r="L1678">
        <f t="shared" si="157"/>
        <v>23.004815157116454</v>
      </c>
      <c r="M1678">
        <v>541</v>
      </c>
      <c r="N1678" s="2">
        <f t="shared" si="162"/>
        <v>276.05778188539745</v>
      </c>
      <c r="O1678">
        <v>12</v>
      </c>
    </row>
    <row r="1679" spans="1:15" x14ac:dyDescent="0.25">
      <c r="A1679" t="s">
        <v>46</v>
      </c>
      <c r="B1679" t="s">
        <v>15</v>
      </c>
      <c r="C1679" t="s">
        <v>33</v>
      </c>
      <c r="D1679" t="str">
        <f t="shared" si="158"/>
        <v>FAB2_ Des Light Deslactosada Light 1L</v>
      </c>
      <c r="E1679">
        <v>2025</v>
      </c>
      <c r="F1679">
        <v>21</v>
      </c>
      <c r="G1679">
        <f t="shared" si="159"/>
        <v>5</v>
      </c>
      <c r="H1679" s="1">
        <f t="shared" si="160"/>
        <v>45796</v>
      </c>
      <c r="I1679" s="1">
        <f t="shared" si="161"/>
        <v>45778</v>
      </c>
      <c r="J1679">
        <v>538</v>
      </c>
      <c r="K1679">
        <v>24</v>
      </c>
      <c r="L1679">
        <f t="shared" si="157"/>
        <v>22.416666666666668</v>
      </c>
      <c r="M1679">
        <v>2</v>
      </c>
      <c r="N1679" s="2">
        <f t="shared" si="162"/>
        <v>269</v>
      </c>
      <c r="O1679">
        <v>12</v>
      </c>
    </row>
    <row r="1680" spans="1:15" x14ac:dyDescent="0.25">
      <c r="A1680" t="s">
        <v>46</v>
      </c>
      <c r="B1680" t="s">
        <v>15</v>
      </c>
      <c r="C1680" t="s">
        <v>33</v>
      </c>
      <c r="D1680" t="str">
        <f t="shared" si="158"/>
        <v>FAB2_ Des Light Deslactosada Light 1L</v>
      </c>
      <c r="E1680">
        <v>2025</v>
      </c>
      <c r="F1680">
        <v>21</v>
      </c>
      <c r="G1680">
        <f t="shared" si="159"/>
        <v>5</v>
      </c>
      <c r="H1680" s="1">
        <f t="shared" si="160"/>
        <v>45796</v>
      </c>
      <c r="I1680" s="1">
        <f t="shared" si="161"/>
        <v>45778</v>
      </c>
      <c r="J1680">
        <v>158477.05000000002</v>
      </c>
      <c r="K1680">
        <v>6888</v>
      </c>
      <c r="L1680">
        <f t="shared" si="157"/>
        <v>23.00770180023229</v>
      </c>
      <c r="M1680">
        <v>574</v>
      </c>
      <c r="N1680" s="2">
        <f t="shared" si="162"/>
        <v>276.09242160278751</v>
      </c>
      <c r="O1680">
        <v>12</v>
      </c>
    </row>
    <row r="1681" spans="1:15" x14ac:dyDescent="0.25">
      <c r="A1681" t="s">
        <v>46</v>
      </c>
      <c r="B1681" t="s">
        <v>15</v>
      </c>
      <c r="C1681" t="s">
        <v>33</v>
      </c>
      <c r="D1681" t="str">
        <f t="shared" si="158"/>
        <v>FAB2_ Des Light Deslactosada Light 1L</v>
      </c>
      <c r="E1681">
        <v>2025</v>
      </c>
      <c r="F1681">
        <v>22</v>
      </c>
      <c r="G1681">
        <f t="shared" si="159"/>
        <v>5</v>
      </c>
      <c r="H1681" s="1">
        <f t="shared" si="160"/>
        <v>45803</v>
      </c>
      <c r="I1681" s="1">
        <f t="shared" si="161"/>
        <v>45778</v>
      </c>
      <c r="J1681">
        <v>154800.86000000002</v>
      </c>
      <c r="K1681">
        <v>6852</v>
      </c>
      <c r="L1681">
        <f t="shared" si="157"/>
        <v>22.592069468768244</v>
      </c>
      <c r="M1681">
        <v>571</v>
      </c>
      <c r="N1681" s="2">
        <f t="shared" si="162"/>
        <v>271.10483362521893</v>
      </c>
      <c r="O1681">
        <v>12</v>
      </c>
    </row>
    <row r="1682" spans="1:15" x14ac:dyDescent="0.25">
      <c r="A1682" t="s">
        <v>46</v>
      </c>
      <c r="B1682" t="s">
        <v>15</v>
      </c>
      <c r="C1682" t="s">
        <v>33</v>
      </c>
      <c r="D1682" t="str">
        <f t="shared" si="158"/>
        <v>FAB2_ Des Light Deslactosada Light 1L</v>
      </c>
      <c r="E1682">
        <v>2025</v>
      </c>
      <c r="F1682">
        <v>23</v>
      </c>
      <c r="G1682">
        <f t="shared" si="159"/>
        <v>6</v>
      </c>
      <c r="H1682" s="1">
        <f t="shared" si="160"/>
        <v>45810</v>
      </c>
      <c r="I1682" s="1">
        <f t="shared" si="161"/>
        <v>45809</v>
      </c>
      <c r="J1682">
        <v>156076.98000000004</v>
      </c>
      <c r="K1682">
        <v>6456</v>
      </c>
      <c r="L1682">
        <f t="shared" si="157"/>
        <v>24.175492565055769</v>
      </c>
      <c r="M1682">
        <v>538</v>
      </c>
      <c r="N1682" s="2">
        <f t="shared" si="162"/>
        <v>290.10591078066921</v>
      </c>
      <c r="O1682">
        <v>12</v>
      </c>
    </row>
    <row r="1683" spans="1:15" x14ac:dyDescent="0.25">
      <c r="A1683" t="s">
        <v>46</v>
      </c>
      <c r="B1683" t="s">
        <v>15</v>
      </c>
      <c r="C1683" t="s">
        <v>33</v>
      </c>
      <c r="D1683" t="str">
        <f t="shared" si="158"/>
        <v>FAB2_ Des Light Deslactosada Light 1L</v>
      </c>
      <c r="E1683">
        <v>2025</v>
      </c>
      <c r="F1683">
        <v>24</v>
      </c>
      <c r="G1683">
        <f t="shared" si="159"/>
        <v>6</v>
      </c>
      <c r="H1683" s="1">
        <f t="shared" si="160"/>
        <v>45817</v>
      </c>
      <c r="I1683" s="1">
        <f t="shared" si="161"/>
        <v>45809</v>
      </c>
      <c r="J1683">
        <v>120130.04000000001</v>
      </c>
      <c r="K1683">
        <v>4968</v>
      </c>
      <c r="L1683">
        <f t="shared" si="157"/>
        <v>24.180764895330114</v>
      </c>
      <c r="M1683">
        <v>414</v>
      </c>
      <c r="N1683" s="2">
        <f t="shared" si="162"/>
        <v>290.16917874396137</v>
      </c>
      <c r="O1683">
        <v>12</v>
      </c>
    </row>
    <row r="1684" spans="1:15" x14ac:dyDescent="0.25">
      <c r="A1684" t="s">
        <v>46</v>
      </c>
      <c r="B1684" t="s">
        <v>15</v>
      </c>
      <c r="C1684" t="s">
        <v>33</v>
      </c>
      <c r="D1684" t="str">
        <f t="shared" si="158"/>
        <v>FAB2_ Des Light Deslactosada Light 1L</v>
      </c>
      <c r="E1684">
        <v>2025</v>
      </c>
      <c r="F1684">
        <v>25</v>
      </c>
      <c r="G1684">
        <f t="shared" si="159"/>
        <v>6</v>
      </c>
      <c r="H1684" s="1">
        <f t="shared" si="160"/>
        <v>45824</v>
      </c>
      <c r="I1684" s="1">
        <f t="shared" si="161"/>
        <v>45809</v>
      </c>
      <c r="J1684">
        <v>1076</v>
      </c>
      <c r="K1684">
        <v>48</v>
      </c>
      <c r="L1684">
        <f t="shared" si="157"/>
        <v>22.416666666666668</v>
      </c>
      <c r="M1684">
        <v>4</v>
      </c>
      <c r="N1684" s="2">
        <f t="shared" si="162"/>
        <v>269</v>
      </c>
      <c r="O1684">
        <v>12</v>
      </c>
    </row>
    <row r="1685" spans="1:15" x14ac:dyDescent="0.25">
      <c r="A1685" t="s">
        <v>46</v>
      </c>
      <c r="B1685" t="s">
        <v>15</v>
      </c>
      <c r="C1685" t="s">
        <v>33</v>
      </c>
      <c r="D1685" t="str">
        <f t="shared" si="158"/>
        <v>FAB2_ Des Light Deslactosada Light 1L</v>
      </c>
      <c r="E1685">
        <v>2025</v>
      </c>
      <c r="F1685">
        <v>25</v>
      </c>
      <c r="G1685">
        <f t="shared" si="159"/>
        <v>6</v>
      </c>
      <c r="H1685" s="1">
        <f t="shared" si="160"/>
        <v>45824</v>
      </c>
      <c r="I1685" s="1">
        <f t="shared" si="161"/>
        <v>45809</v>
      </c>
      <c r="J1685">
        <v>111505.70999999999</v>
      </c>
      <c r="K1685">
        <v>4608</v>
      </c>
      <c r="L1685">
        <f t="shared" si="157"/>
        <v>24.198287760416665</v>
      </c>
      <c r="M1685">
        <v>384</v>
      </c>
      <c r="N1685" s="2">
        <f t="shared" si="162"/>
        <v>290.379453125</v>
      </c>
      <c r="O1685">
        <v>12</v>
      </c>
    </row>
    <row r="1686" spans="1:15" x14ac:dyDescent="0.25">
      <c r="A1686" t="s">
        <v>46</v>
      </c>
      <c r="B1686" t="s">
        <v>15</v>
      </c>
      <c r="C1686" t="s">
        <v>33</v>
      </c>
      <c r="D1686" t="str">
        <f t="shared" si="158"/>
        <v>FAB2_ Des Light Deslactosada Light 1L</v>
      </c>
      <c r="E1686">
        <v>2025</v>
      </c>
      <c r="F1686">
        <v>26</v>
      </c>
      <c r="G1686">
        <f t="shared" si="159"/>
        <v>6</v>
      </c>
      <c r="H1686" s="1">
        <f t="shared" si="160"/>
        <v>45831</v>
      </c>
      <c r="I1686" s="1">
        <f t="shared" si="161"/>
        <v>45809</v>
      </c>
      <c r="J1686">
        <v>113813.79</v>
      </c>
      <c r="K1686">
        <v>4932</v>
      </c>
      <c r="L1686">
        <f t="shared" si="157"/>
        <v>23.076599756690996</v>
      </c>
      <c r="M1686">
        <v>411</v>
      </c>
      <c r="N1686" s="2">
        <f t="shared" si="162"/>
        <v>276.91919708029195</v>
      </c>
      <c r="O1686">
        <v>12</v>
      </c>
    </row>
    <row r="1687" spans="1:15" x14ac:dyDescent="0.25">
      <c r="A1687" t="s">
        <v>46</v>
      </c>
      <c r="B1687" t="s">
        <v>15</v>
      </c>
      <c r="C1687" t="s">
        <v>33</v>
      </c>
      <c r="D1687" t="str">
        <f t="shared" si="158"/>
        <v>FAB2_ Des Light Deslactosada Light 1L</v>
      </c>
      <c r="E1687">
        <v>2025</v>
      </c>
      <c r="F1687">
        <v>27</v>
      </c>
      <c r="G1687">
        <f t="shared" si="159"/>
        <v>7</v>
      </c>
      <c r="H1687" s="1">
        <f t="shared" si="160"/>
        <v>45838</v>
      </c>
      <c r="I1687" s="1">
        <f t="shared" si="161"/>
        <v>45839</v>
      </c>
      <c r="J1687">
        <v>538</v>
      </c>
      <c r="K1687">
        <v>24</v>
      </c>
      <c r="L1687">
        <f t="shared" si="157"/>
        <v>22.416666666666668</v>
      </c>
      <c r="M1687">
        <v>2</v>
      </c>
      <c r="N1687" s="2">
        <f t="shared" si="162"/>
        <v>269</v>
      </c>
      <c r="O1687">
        <v>12</v>
      </c>
    </row>
    <row r="1688" spans="1:15" x14ac:dyDescent="0.25">
      <c r="A1688" t="s">
        <v>46</v>
      </c>
      <c r="B1688" t="s">
        <v>15</v>
      </c>
      <c r="C1688" t="s">
        <v>33</v>
      </c>
      <c r="D1688" t="str">
        <f t="shared" si="158"/>
        <v>FAB2_ Des Light Deslactosada Light 1L</v>
      </c>
      <c r="E1688">
        <v>2025</v>
      </c>
      <c r="F1688">
        <v>27</v>
      </c>
      <c r="G1688">
        <f t="shared" si="159"/>
        <v>7</v>
      </c>
      <c r="H1688" s="1">
        <f t="shared" si="160"/>
        <v>45838</v>
      </c>
      <c r="I1688" s="1">
        <f t="shared" si="161"/>
        <v>45839</v>
      </c>
      <c r="J1688">
        <v>124274.29000000002</v>
      </c>
      <c r="K1688">
        <v>5364</v>
      </c>
      <c r="L1688">
        <f t="shared" si="157"/>
        <v>23.168212155108133</v>
      </c>
      <c r="M1688">
        <v>447</v>
      </c>
      <c r="N1688" s="2">
        <f t="shared" si="162"/>
        <v>278.01854586129758</v>
      </c>
      <c r="O1688">
        <v>12</v>
      </c>
    </row>
    <row r="1689" spans="1:15" x14ac:dyDescent="0.25">
      <c r="A1689" t="s">
        <v>46</v>
      </c>
      <c r="B1689" t="s">
        <v>15</v>
      </c>
      <c r="C1689" t="s">
        <v>33</v>
      </c>
      <c r="D1689" t="str">
        <f t="shared" si="158"/>
        <v>FAB2_ Des Light Deslactosada Light 1L</v>
      </c>
      <c r="E1689">
        <v>2025</v>
      </c>
      <c r="F1689">
        <v>28</v>
      </c>
      <c r="G1689">
        <f t="shared" si="159"/>
        <v>7</v>
      </c>
      <c r="H1689" s="1">
        <f t="shared" si="160"/>
        <v>45845</v>
      </c>
      <c r="I1689" s="1">
        <f t="shared" si="161"/>
        <v>45839</v>
      </c>
      <c r="J1689">
        <v>109817.45</v>
      </c>
      <c r="K1689">
        <v>4620</v>
      </c>
      <c r="L1689">
        <f t="shared" si="157"/>
        <v>23.770010822510823</v>
      </c>
      <c r="M1689">
        <v>385</v>
      </c>
      <c r="N1689" s="2">
        <f t="shared" si="162"/>
        <v>285.24012987012986</v>
      </c>
      <c r="O1689">
        <v>12</v>
      </c>
    </row>
    <row r="1690" spans="1:15" x14ac:dyDescent="0.25">
      <c r="A1690" t="s">
        <v>46</v>
      </c>
      <c r="B1690" t="s">
        <v>15</v>
      </c>
      <c r="C1690" t="s">
        <v>33</v>
      </c>
      <c r="D1690" t="str">
        <f t="shared" si="158"/>
        <v>FAB2_ Des Light Deslactosada Light 1L</v>
      </c>
      <c r="E1690">
        <v>2025</v>
      </c>
      <c r="F1690">
        <v>29</v>
      </c>
      <c r="G1690">
        <f t="shared" si="159"/>
        <v>7</v>
      </c>
      <c r="H1690" s="1">
        <f t="shared" si="160"/>
        <v>45852</v>
      </c>
      <c r="I1690" s="1">
        <f t="shared" si="161"/>
        <v>45839</v>
      </c>
      <c r="J1690">
        <v>126815.73999999999</v>
      </c>
      <c r="K1690">
        <v>5304</v>
      </c>
      <c r="L1690">
        <f t="shared" si="157"/>
        <v>23.909453242835593</v>
      </c>
      <c r="M1690">
        <v>442</v>
      </c>
      <c r="N1690" s="2">
        <f t="shared" si="162"/>
        <v>286.91343891402715</v>
      </c>
      <c r="O1690">
        <v>12</v>
      </c>
    </row>
    <row r="1691" spans="1:15" x14ac:dyDescent="0.25">
      <c r="A1691" t="s">
        <v>46</v>
      </c>
      <c r="B1691" t="s">
        <v>15</v>
      </c>
      <c r="C1691" t="s">
        <v>33</v>
      </c>
      <c r="D1691" t="str">
        <f t="shared" si="158"/>
        <v>FAB2_ Des Light Deslactosada Light 1L</v>
      </c>
      <c r="E1691">
        <v>2025</v>
      </c>
      <c r="F1691">
        <v>30</v>
      </c>
      <c r="G1691">
        <f t="shared" si="159"/>
        <v>7</v>
      </c>
      <c r="H1691" s="1">
        <f t="shared" si="160"/>
        <v>45859</v>
      </c>
      <c r="I1691" s="1">
        <f t="shared" si="161"/>
        <v>45839</v>
      </c>
      <c r="J1691">
        <v>807</v>
      </c>
      <c r="K1691">
        <v>36</v>
      </c>
      <c r="L1691">
        <f t="shared" si="157"/>
        <v>22.416666666666668</v>
      </c>
      <c r="M1691">
        <v>3</v>
      </c>
      <c r="N1691" s="2">
        <f t="shared" si="162"/>
        <v>269</v>
      </c>
      <c r="O1691">
        <v>12</v>
      </c>
    </row>
    <row r="1692" spans="1:15" x14ac:dyDescent="0.25">
      <c r="A1692" t="s">
        <v>46</v>
      </c>
      <c r="B1692" t="s">
        <v>15</v>
      </c>
      <c r="C1692" t="s">
        <v>33</v>
      </c>
      <c r="D1692" t="str">
        <f t="shared" si="158"/>
        <v>FAB2_ Des Light Deslactosada Light 1L</v>
      </c>
      <c r="E1692">
        <v>2025</v>
      </c>
      <c r="F1692">
        <v>30</v>
      </c>
      <c r="G1692">
        <f t="shared" si="159"/>
        <v>7</v>
      </c>
      <c r="H1692" s="1">
        <f t="shared" si="160"/>
        <v>45859</v>
      </c>
      <c r="I1692" s="1">
        <f t="shared" si="161"/>
        <v>45839</v>
      </c>
      <c r="J1692">
        <v>131568.87</v>
      </c>
      <c r="K1692">
        <v>5592</v>
      </c>
      <c r="L1692">
        <f t="shared" si="157"/>
        <v>23.528052575107296</v>
      </c>
      <c r="M1692">
        <v>466</v>
      </c>
      <c r="N1692" s="2">
        <f t="shared" si="162"/>
        <v>282.33663090128755</v>
      </c>
      <c r="O1692">
        <v>12</v>
      </c>
    </row>
    <row r="1693" spans="1:15" x14ac:dyDescent="0.25">
      <c r="A1693" t="s">
        <v>46</v>
      </c>
      <c r="B1693" t="s">
        <v>15</v>
      </c>
      <c r="C1693" t="s">
        <v>33</v>
      </c>
      <c r="D1693" t="str">
        <f t="shared" si="158"/>
        <v>FAB2_ Des Light Deslactosada Light 1L</v>
      </c>
      <c r="E1693">
        <v>2025</v>
      </c>
      <c r="F1693">
        <v>31</v>
      </c>
      <c r="G1693">
        <f t="shared" si="159"/>
        <v>7</v>
      </c>
      <c r="H1693" s="1">
        <f t="shared" si="160"/>
        <v>45866</v>
      </c>
      <c r="I1693" s="1">
        <f t="shared" si="161"/>
        <v>45839</v>
      </c>
      <c r="J1693">
        <v>127528.80999999995</v>
      </c>
      <c r="K1693">
        <v>5364</v>
      </c>
      <c r="L1693">
        <f t="shared" si="157"/>
        <v>23.774945935868747</v>
      </c>
      <c r="M1693">
        <v>447</v>
      </c>
      <c r="N1693" s="2">
        <f t="shared" si="162"/>
        <v>285.29935123042497</v>
      </c>
      <c r="O1693">
        <v>12</v>
      </c>
    </row>
    <row r="1694" spans="1:15" x14ac:dyDescent="0.25">
      <c r="A1694" t="s">
        <v>46</v>
      </c>
      <c r="B1694" t="s">
        <v>15</v>
      </c>
      <c r="C1694" t="s">
        <v>34</v>
      </c>
      <c r="D1694" t="str">
        <f t="shared" si="158"/>
        <v>FAB2_ Deslac Deslactosada 1 L</v>
      </c>
      <c r="E1694">
        <v>2022</v>
      </c>
      <c r="F1694">
        <v>1</v>
      </c>
      <c r="G1694">
        <f t="shared" si="159"/>
        <v>1</v>
      </c>
      <c r="H1694" s="1">
        <f t="shared" si="160"/>
        <v>44564</v>
      </c>
      <c r="I1694" s="1">
        <f t="shared" si="161"/>
        <v>44562</v>
      </c>
      <c r="J1694">
        <v>520009.02999999997</v>
      </c>
      <c r="K1694">
        <v>29844</v>
      </c>
      <c r="L1694">
        <f t="shared" si="157"/>
        <v>17.42424038332663</v>
      </c>
      <c r="M1694">
        <v>2487</v>
      </c>
      <c r="N1694" s="2">
        <f t="shared" si="162"/>
        <v>209.09088459991958</v>
      </c>
      <c r="O1694">
        <v>12</v>
      </c>
    </row>
    <row r="1695" spans="1:15" x14ac:dyDescent="0.25">
      <c r="A1695" t="s">
        <v>46</v>
      </c>
      <c r="B1695" t="s">
        <v>15</v>
      </c>
      <c r="C1695" t="s">
        <v>34</v>
      </c>
      <c r="D1695" t="str">
        <f t="shared" si="158"/>
        <v>FAB2_ Deslac Deslactosada 1 L</v>
      </c>
      <c r="E1695">
        <v>2022</v>
      </c>
      <c r="F1695">
        <v>2</v>
      </c>
      <c r="G1695">
        <f t="shared" si="159"/>
        <v>1</v>
      </c>
      <c r="H1695" s="1">
        <f t="shared" si="160"/>
        <v>44571</v>
      </c>
      <c r="I1695" s="1">
        <f t="shared" si="161"/>
        <v>44562</v>
      </c>
      <c r="J1695">
        <v>570093.41000000015</v>
      </c>
      <c r="K1695">
        <v>34572</v>
      </c>
      <c r="L1695">
        <f t="shared" si="157"/>
        <v>16.490032685410164</v>
      </c>
      <c r="M1695">
        <v>2881</v>
      </c>
      <c r="N1695" s="2">
        <f t="shared" si="162"/>
        <v>197.88039222492196</v>
      </c>
      <c r="O1695">
        <v>12</v>
      </c>
    </row>
    <row r="1696" spans="1:15" x14ac:dyDescent="0.25">
      <c r="A1696" t="s">
        <v>46</v>
      </c>
      <c r="B1696" t="s">
        <v>15</v>
      </c>
      <c r="C1696" t="s">
        <v>34</v>
      </c>
      <c r="D1696" t="str">
        <f t="shared" si="158"/>
        <v>FAB2_ Deslac Deslactosada 1 L</v>
      </c>
      <c r="E1696">
        <v>2022</v>
      </c>
      <c r="F1696">
        <v>3</v>
      </c>
      <c r="G1696">
        <f t="shared" si="159"/>
        <v>1</v>
      </c>
      <c r="H1696" s="1">
        <f t="shared" si="160"/>
        <v>44578</v>
      </c>
      <c r="I1696" s="1">
        <f t="shared" si="161"/>
        <v>44562</v>
      </c>
      <c r="J1696">
        <v>642394.50999999989</v>
      </c>
      <c r="K1696">
        <v>37968</v>
      </c>
      <c r="L1696">
        <f t="shared" si="157"/>
        <v>16.919366571849977</v>
      </c>
      <c r="M1696">
        <v>3164</v>
      </c>
      <c r="N1696" s="2">
        <f t="shared" si="162"/>
        <v>203.03239886219973</v>
      </c>
      <c r="O1696">
        <v>12</v>
      </c>
    </row>
    <row r="1697" spans="1:15" x14ac:dyDescent="0.25">
      <c r="A1697" t="s">
        <v>46</v>
      </c>
      <c r="B1697" t="s">
        <v>15</v>
      </c>
      <c r="C1697" t="s">
        <v>34</v>
      </c>
      <c r="D1697" t="str">
        <f t="shared" si="158"/>
        <v>FAB2_ Deslac Deslactosada 1 L</v>
      </c>
      <c r="E1697">
        <v>2022</v>
      </c>
      <c r="F1697">
        <v>4</v>
      </c>
      <c r="G1697">
        <f t="shared" si="159"/>
        <v>1</v>
      </c>
      <c r="H1697" s="1">
        <f t="shared" si="160"/>
        <v>44585</v>
      </c>
      <c r="I1697" s="1">
        <f t="shared" si="161"/>
        <v>44562</v>
      </c>
      <c r="J1697">
        <v>595959.06999999995</v>
      </c>
      <c r="K1697">
        <v>34752</v>
      </c>
      <c r="L1697">
        <f t="shared" si="157"/>
        <v>17.148914307090237</v>
      </c>
      <c r="M1697">
        <v>2896</v>
      </c>
      <c r="N1697" s="2">
        <f t="shared" si="162"/>
        <v>205.78697168508285</v>
      </c>
      <c r="O1697">
        <v>12</v>
      </c>
    </row>
    <row r="1698" spans="1:15" x14ac:dyDescent="0.25">
      <c r="A1698" t="s">
        <v>46</v>
      </c>
      <c r="B1698" t="s">
        <v>15</v>
      </c>
      <c r="C1698" t="s">
        <v>34</v>
      </c>
      <c r="D1698" t="str">
        <f t="shared" si="158"/>
        <v>FAB2_ Deslac Deslactosada 1 L</v>
      </c>
      <c r="E1698">
        <v>2022</v>
      </c>
      <c r="F1698">
        <v>5</v>
      </c>
      <c r="G1698">
        <f t="shared" si="159"/>
        <v>2</v>
      </c>
      <c r="H1698" s="1">
        <f t="shared" si="160"/>
        <v>44592</v>
      </c>
      <c r="I1698" s="1">
        <f t="shared" si="161"/>
        <v>44593</v>
      </c>
      <c r="J1698">
        <v>697253.54999999981</v>
      </c>
      <c r="K1698">
        <v>39840</v>
      </c>
      <c r="L1698">
        <f t="shared" si="157"/>
        <v>17.501344126506019</v>
      </c>
      <c r="M1698">
        <v>3320</v>
      </c>
      <c r="N1698" s="2">
        <f t="shared" si="162"/>
        <v>210.01612951807223</v>
      </c>
      <c r="O1698">
        <v>12</v>
      </c>
    </row>
    <row r="1699" spans="1:15" x14ac:dyDescent="0.25">
      <c r="A1699" t="s">
        <v>46</v>
      </c>
      <c r="B1699" t="s">
        <v>15</v>
      </c>
      <c r="C1699" t="s">
        <v>34</v>
      </c>
      <c r="D1699" t="str">
        <f t="shared" si="158"/>
        <v>FAB2_ Deslac Deslactosada 1 L</v>
      </c>
      <c r="E1699">
        <v>2022</v>
      </c>
      <c r="F1699">
        <v>6</v>
      </c>
      <c r="G1699">
        <f t="shared" si="159"/>
        <v>2</v>
      </c>
      <c r="H1699" s="1">
        <f t="shared" si="160"/>
        <v>44599</v>
      </c>
      <c r="I1699" s="1">
        <f t="shared" si="161"/>
        <v>44593</v>
      </c>
      <c r="J1699">
        <v>755790.02999999991</v>
      </c>
      <c r="K1699">
        <v>43356</v>
      </c>
      <c r="L1699">
        <f t="shared" si="157"/>
        <v>17.432190008303348</v>
      </c>
      <c r="M1699">
        <v>3613</v>
      </c>
      <c r="N1699" s="2">
        <f t="shared" si="162"/>
        <v>209.18628009964016</v>
      </c>
      <c r="O1699">
        <v>12</v>
      </c>
    </row>
    <row r="1700" spans="1:15" x14ac:dyDescent="0.25">
      <c r="A1700" t="s">
        <v>46</v>
      </c>
      <c r="B1700" t="s">
        <v>15</v>
      </c>
      <c r="C1700" t="s">
        <v>34</v>
      </c>
      <c r="D1700" t="str">
        <f t="shared" si="158"/>
        <v>FAB2_ Deslac Deslactosada 1 L</v>
      </c>
      <c r="E1700">
        <v>2022</v>
      </c>
      <c r="F1700">
        <v>7</v>
      </c>
      <c r="G1700">
        <f t="shared" si="159"/>
        <v>2</v>
      </c>
      <c r="H1700" s="1">
        <f t="shared" si="160"/>
        <v>44606</v>
      </c>
      <c r="I1700" s="1">
        <f t="shared" si="161"/>
        <v>44593</v>
      </c>
      <c r="J1700">
        <v>1653676.9499999997</v>
      </c>
      <c r="K1700">
        <v>94500</v>
      </c>
      <c r="L1700">
        <f t="shared" si="157"/>
        <v>17.499226984126981</v>
      </c>
      <c r="M1700">
        <v>7875</v>
      </c>
      <c r="N1700" s="2">
        <f t="shared" si="162"/>
        <v>209.99072380952379</v>
      </c>
      <c r="O1700">
        <v>12</v>
      </c>
    </row>
    <row r="1701" spans="1:15" x14ac:dyDescent="0.25">
      <c r="A1701" t="s">
        <v>46</v>
      </c>
      <c r="B1701" t="s">
        <v>15</v>
      </c>
      <c r="C1701" t="s">
        <v>34</v>
      </c>
      <c r="D1701" t="str">
        <f t="shared" si="158"/>
        <v>FAB2_ Deslac Deslactosada 1 L</v>
      </c>
      <c r="E1701">
        <v>2022</v>
      </c>
      <c r="F1701">
        <v>8</v>
      </c>
      <c r="G1701">
        <f t="shared" si="159"/>
        <v>2</v>
      </c>
      <c r="H1701" s="1">
        <f t="shared" si="160"/>
        <v>44613</v>
      </c>
      <c r="I1701" s="1">
        <f t="shared" si="161"/>
        <v>44593</v>
      </c>
      <c r="J1701">
        <v>967667.57999999961</v>
      </c>
      <c r="K1701">
        <v>55860</v>
      </c>
      <c r="L1701">
        <f t="shared" si="157"/>
        <v>17.32308592910848</v>
      </c>
      <c r="M1701">
        <v>4655</v>
      </c>
      <c r="N1701" s="2">
        <f t="shared" si="162"/>
        <v>207.87703114930173</v>
      </c>
      <c r="O1701">
        <v>12</v>
      </c>
    </row>
    <row r="1702" spans="1:15" x14ac:dyDescent="0.25">
      <c r="A1702" t="s">
        <v>46</v>
      </c>
      <c r="B1702" t="s">
        <v>15</v>
      </c>
      <c r="C1702" t="s">
        <v>34</v>
      </c>
      <c r="D1702" t="str">
        <f t="shared" si="158"/>
        <v>FAB2_ Deslac Deslactosada 1 L</v>
      </c>
      <c r="E1702">
        <v>2022</v>
      </c>
      <c r="F1702">
        <v>9</v>
      </c>
      <c r="G1702">
        <f t="shared" si="159"/>
        <v>3</v>
      </c>
      <c r="H1702" s="1">
        <f t="shared" si="160"/>
        <v>44620</v>
      </c>
      <c r="I1702" s="1">
        <f t="shared" si="161"/>
        <v>44621</v>
      </c>
      <c r="J1702">
        <v>1065586.5599999996</v>
      </c>
      <c r="K1702">
        <v>62832</v>
      </c>
      <c r="L1702">
        <f t="shared" si="157"/>
        <v>16.959297173414814</v>
      </c>
      <c r="M1702">
        <v>5236</v>
      </c>
      <c r="N1702" s="2">
        <f t="shared" si="162"/>
        <v>203.51156608097776</v>
      </c>
      <c r="O1702">
        <v>12</v>
      </c>
    </row>
    <row r="1703" spans="1:15" x14ac:dyDescent="0.25">
      <c r="A1703" t="s">
        <v>46</v>
      </c>
      <c r="B1703" t="s">
        <v>15</v>
      </c>
      <c r="C1703" t="s">
        <v>34</v>
      </c>
      <c r="D1703" t="str">
        <f t="shared" si="158"/>
        <v>FAB2_ Deslac Deslactosada 1 L</v>
      </c>
      <c r="E1703">
        <v>2022</v>
      </c>
      <c r="F1703">
        <v>10</v>
      </c>
      <c r="G1703">
        <f t="shared" si="159"/>
        <v>3</v>
      </c>
      <c r="H1703" s="1">
        <f t="shared" si="160"/>
        <v>44627</v>
      </c>
      <c r="I1703" s="1">
        <f t="shared" si="161"/>
        <v>44621</v>
      </c>
      <c r="J1703">
        <v>798812.48999999964</v>
      </c>
      <c r="K1703">
        <v>46740</v>
      </c>
      <c r="L1703">
        <f t="shared" si="157"/>
        <v>17.090553915275986</v>
      </c>
      <c r="M1703">
        <v>3895</v>
      </c>
      <c r="N1703" s="2">
        <f t="shared" si="162"/>
        <v>205.08664698331185</v>
      </c>
      <c r="O1703">
        <v>12</v>
      </c>
    </row>
    <row r="1704" spans="1:15" x14ac:dyDescent="0.25">
      <c r="A1704" t="s">
        <v>46</v>
      </c>
      <c r="B1704" t="s">
        <v>15</v>
      </c>
      <c r="C1704" t="s">
        <v>34</v>
      </c>
      <c r="D1704" t="str">
        <f t="shared" si="158"/>
        <v>FAB2_ Deslac Deslactosada 1 L</v>
      </c>
      <c r="E1704">
        <v>2022</v>
      </c>
      <c r="F1704">
        <v>11</v>
      </c>
      <c r="G1704">
        <f t="shared" si="159"/>
        <v>3</v>
      </c>
      <c r="H1704" s="1">
        <f t="shared" si="160"/>
        <v>44634</v>
      </c>
      <c r="I1704" s="1">
        <f t="shared" si="161"/>
        <v>44621</v>
      </c>
      <c r="J1704">
        <v>934607.26999999932</v>
      </c>
      <c r="K1704">
        <v>54276</v>
      </c>
      <c r="L1704">
        <f t="shared" si="157"/>
        <v>17.219531100302145</v>
      </c>
      <c r="M1704">
        <v>4523</v>
      </c>
      <c r="N1704" s="2">
        <f t="shared" si="162"/>
        <v>206.63437320362576</v>
      </c>
      <c r="O1704">
        <v>12</v>
      </c>
    </row>
    <row r="1705" spans="1:15" x14ac:dyDescent="0.25">
      <c r="A1705" t="s">
        <v>46</v>
      </c>
      <c r="B1705" t="s">
        <v>15</v>
      </c>
      <c r="C1705" t="s">
        <v>34</v>
      </c>
      <c r="D1705" t="str">
        <f t="shared" si="158"/>
        <v>FAB2_ Deslac Deslactosada 1 L</v>
      </c>
      <c r="E1705">
        <v>2022</v>
      </c>
      <c r="F1705">
        <v>12</v>
      </c>
      <c r="G1705">
        <f t="shared" si="159"/>
        <v>3</v>
      </c>
      <c r="H1705" s="1">
        <f t="shared" si="160"/>
        <v>44641</v>
      </c>
      <c r="I1705" s="1">
        <f t="shared" si="161"/>
        <v>44621</v>
      </c>
      <c r="J1705">
        <v>780048.14999999991</v>
      </c>
      <c r="K1705">
        <v>44556</v>
      </c>
      <c r="L1705">
        <f t="shared" si="157"/>
        <v>17.507140452464313</v>
      </c>
      <c r="M1705">
        <v>3713</v>
      </c>
      <c r="N1705" s="2">
        <f t="shared" si="162"/>
        <v>210.08568542957175</v>
      </c>
      <c r="O1705">
        <v>12</v>
      </c>
    </row>
    <row r="1706" spans="1:15" x14ac:dyDescent="0.25">
      <c r="A1706" t="s">
        <v>46</v>
      </c>
      <c r="B1706" t="s">
        <v>15</v>
      </c>
      <c r="C1706" t="s">
        <v>34</v>
      </c>
      <c r="D1706" t="str">
        <f t="shared" si="158"/>
        <v>FAB2_ Deslac Deslactosada 1 L</v>
      </c>
      <c r="E1706">
        <v>2022</v>
      </c>
      <c r="F1706">
        <v>13</v>
      </c>
      <c r="G1706">
        <f t="shared" si="159"/>
        <v>3</v>
      </c>
      <c r="H1706" s="1">
        <f t="shared" si="160"/>
        <v>44648</v>
      </c>
      <c r="I1706" s="1">
        <f t="shared" si="161"/>
        <v>44621</v>
      </c>
      <c r="J1706">
        <v>889783.09999999963</v>
      </c>
      <c r="K1706">
        <v>50508</v>
      </c>
      <c r="L1706">
        <f t="shared" si="157"/>
        <v>17.616676566088532</v>
      </c>
      <c r="M1706">
        <v>4209</v>
      </c>
      <c r="N1706" s="2">
        <f t="shared" si="162"/>
        <v>211.4001187930624</v>
      </c>
      <c r="O1706">
        <v>12</v>
      </c>
    </row>
    <row r="1707" spans="1:15" x14ac:dyDescent="0.25">
      <c r="A1707" t="s">
        <v>46</v>
      </c>
      <c r="B1707" t="s">
        <v>15</v>
      </c>
      <c r="C1707" t="s">
        <v>34</v>
      </c>
      <c r="D1707" t="str">
        <f t="shared" si="158"/>
        <v>FAB2_ Deslac Deslactosada 1 L</v>
      </c>
      <c r="E1707">
        <v>2022</v>
      </c>
      <c r="F1707">
        <v>14</v>
      </c>
      <c r="G1707">
        <f t="shared" si="159"/>
        <v>4</v>
      </c>
      <c r="H1707" s="1">
        <f t="shared" si="160"/>
        <v>44655</v>
      </c>
      <c r="I1707" s="1">
        <f t="shared" si="161"/>
        <v>44652</v>
      </c>
      <c r="J1707">
        <v>779872.32000000007</v>
      </c>
      <c r="K1707">
        <v>43032</v>
      </c>
      <c r="L1707">
        <f t="shared" si="157"/>
        <v>18.123078639152261</v>
      </c>
      <c r="M1707">
        <v>3586</v>
      </c>
      <c r="N1707" s="2">
        <f t="shared" si="162"/>
        <v>217.47694366982714</v>
      </c>
      <c r="O1707">
        <v>12</v>
      </c>
    </row>
    <row r="1708" spans="1:15" x14ac:dyDescent="0.25">
      <c r="A1708" t="s">
        <v>46</v>
      </c>
      <c r="B1708" t="s">
        <v>15</v>
      </c>
      <c r="C1708" t="s">
        <v>34</v>
      </c>
      <c r="D1708" t="str">
        <f t="shared" si="158"/>
        <v>FAB2_ Deslac Deslactosada 1 L</v>
      </c>
      <c r="E1708">
        <v>2022</v>
      </c>
      <c r="F1708">
        <v>15</v>
      </c>
      <c r="G1708">
        <f t="shared" si="159"/>
        <v>4</v>
      </c>
      <c r="H1708" s="1">
        <f t="shared" si="160"/>
        <v>44662</v>
      </c>
      <c r="I1708" s="1">
        <f t="shared" si="161"/>
        <v>44652</v>
      </c>
      <c r="J1708">
        <v>756389.69000000018</v>
      </c>
      <c r="K1708">
        <v>44076</v>
      </c>
      <c r="L1708">
        <f t="shared" si="157"/>
        <v>17.161032988474457</v>
      </c>
      <c r="M1708">
        <v>3673</v>
      </c>
      <c r="N1708" s="2">
        <f t="shared" si="162"/>
        <v>205.93239586169349</v>
      </c>
      <c r="O1708">
        <v>12</v>
      </c>
    </row>
    <row r="1709" spans="1:15" x14ac:dyDescent="0.25">
      <c r="A1709" t="s">
        <v>46</v>
      </c>
      <c r="B1709" t="s">
        <v>15</v>
      </c>
      <c r="C1709" t="s">
        <v>34</v>
      </c>
      <c r="D1709" t="str">
        <f t="shared" si="158"/>
        <v>FAB2_ Deslac Deslactosada 1 L</v>
      </c>
      <c r="E1709">
        <v>2022</v>
      </c>
      <c r="F1709">
        <v>16</v>
      </c>
      <c r="G1709">
        <f t="shared" si="159"/>
        <v>4</v>
      </c>
      <c r="H1709" s="1">
        <f t="shared" si="160"/>
        <v>44669</v>
      </c>
      <c r="I1709" s="1">
        <f t="shared" si="161"/>
        <v>44652</v>
      </c>
      <c r="J1709">
        <v>822862.14000000013</v>
      </c>
      <c r="K1709">
        <v>45984</v>
      </c>
      <c r="L1709">
        <f t="shared" si="157"/>
        <v>17.894531576200421</v>
      </c>
      <c r="M1709">
        <v>3832</v>
      </c>
      <c r="N1709" s="2">
        <f t="shared" si="162"/>
        <v>214.73437891440506</v>
      </c>
      <c r="O1709">
        <v>12</v>
      </c>
    </row>
    <row r="1710" spans="1:15" x14ac:dyDescent="0.25">
      <c r="A1710" t="s">
        <v>46</v>
      </c>
      <c r="B1710" t="s">
        <v>15</v>
      </c>
      <c r="C1710" t="s">
        <v>34</v>
      </c>
      <c r="D1710" t="str">
        <f t="shared" si="158"/>
        <v>FAB2_ Deslac Deslactosada 1 L</v>
      </c>
      <c r="E1710">
        <v>2022</v>
      </c>
      <c r="F1710">
        <v>17</v>
      </c>
      <c r="G1710">
        <f t="shared" si="159"/>
        <v>4</v>
      </c>
      <c r="H1710" s="1">
        <f t="shared" si="160"/>
        <v>44676</v>
      </c>
      <c r="I1710" s="1">
        <f t="shared" si="161"/>
        <v>44652</v>
      </c>
      <c r="J1710">
        <v>1107493.7400000005</v>
      </c>
      <c r="K1710">
        <v>65592</v>
      </c>
      <c r="L1710">
        <f t="shared" si="157"/>
        <v>16.884585620197591</v>
      </c>
      <c r="M1710">
        <v>5466</v>
      </c>
      <c r="N1710" s="2">
        <f t="shared" si="162"/>
        <v>202.61502744237112</v>
      </c>
      <c r="O1710">
        <v>12</v>
      </c>
    </row>
    <row r="1711" spans="1:15" x14ac:dyDescent="0.25">
      <c r="A1711" t="s">
        <v>46</v>
      </c>
      <c r="B1711" t="s">
        <v>15</v>
      </c>
      <c r="C1711" t="s">
        <v>34</v>
      </c>
      <c r="D1711" t="str">
        <f t="shared" si="158"/>
        <v>FAB2_ Deslac Deslactosada 1 L</v>
      </c>
      <c r="E1711">
        <v>2022</v>
      </c>
      <c r="F1711">
        <v>18</v>
      </c>
      <c r="G1711">
        <f t="shared" si="159"/>
        <v>5</v>
      </c>
      <c r="H1711" s="1">
        <f t="shared" si="160"/>
        <v>44683</v>
      </c>
      <c r="I1711" s="1">
        <f t="shared" si="161"/>
        <v>44682</v>
      </c>
      <c r="J1711">
        <v>1089939.4400000002</v>
      </c>
      <c r="K1711">
        <v>61956</v>
      </c>
      <c r="L1711">
        <f t="shared" si="157"/>
        <v>17.592153140938734</v>
      </c>
      <c r="M1711">
        <v>5163</v>
      </c>
      <c r="N1711" s="2">
        <f t="shared" si="162"/>
        <v>211.10583769126481</v>
      </c>
      <c r="O1711">
        <v>12</v>
      </c>
    </row>
    <row r="1712" spans="1:15" x14ac:dyDescent="0.25">
      <c r="A1712" t="s">
        <v>46</v>
      </c>
      <c r="B1712" t="s">
        <v>15</v>
      </c>
      <c r="C1712" t="s">
        <v>34</v>
      </c>
      <c r="D1712" t="str">
        <f t="shared" si="158"/>
        <v>FAB2_ Deslac Deslactosada 1 L</v>
      </c>
      <c r="E1712">
        <v>2022</v>
      </c>
      <c r="F1712">
        <v>19</v>
      </c>
      <c r="G1712">
        <f t="shared" si="159"/>
        <v>5</v>
      </c>
      <c r="H1712" s="1">
        <f t="shared" si="160"/>
        <v>44690</v>
      </c>
      <c r="I1712" s="1">
        <f t="shared" si="161"/>
        <v>44682</v>
      </c>
      <c r="J1712">
        <v>747704.47999999893</v>
      </c>
      <c r="K1712">
        <v>40932</v>
      </c>
      <c r="L1712">
        <f t="shared" si="157"/>
        <v>18.266991107202163</v>
      </c>
      <c r="M1712">
        <v>3411</v>
      </c>
      <c r="N1712" s="2">
        <f t="shared" si="162"/>
        <v>219.20389328642597</v>
      </c>
      <c r="O1712">
        <v>12</v>
      </c>
    </row>
    <row r="1713" spans="1:15" x14ac:dyDescent="0.25">
      <c r="A1713" t="s">
        <v>46</v>
      </c>
      <c r="B1713" t="s">
        <v>15</v>
      </c>
      <c r="C1713" t="s">
        <v>34</v>
      </c>
      <c r="D1713" t="str">
        <f t="shared" si="158"/>
        <v>FAB2_ Deslac Deslactosada 1 L</v>
      </c>
      <c r="E1713">
        <v>2022</v>
      </c>
      <c r="F1713">
        <v>20</v>
      </c>
      <c r="G1713">
        <f t="shared" si="159"/>
        <v>5</v>
      </c>
      <c r="H1713" s="1">
        <f t="shared" si="160"/>
        <v>44697</v>
      </c>
      <c r="I1713" s="1">
        <f t="shared" si="161"/>
        <v>44682</v>
      </c>
      <c r="J1713">
        <v>912308.46999999974</v>
      </c>
      <c r="K1713">
        <v>50928</v>
      </c>
      <c r="L1713">
        <f t="shared" si="157"/>
        <v>17.913691289663834</v>
      </c>
      <c r="M1713">
        <v>4244</v>
      </c>
      <c r="N1713" s="2">
        <f t="shared" si="162"/>
        <v>214.964295475966</v>
      </c>
      <c r="O1713">
        <v>12</v>
      </c>
    </row>
    <row r="1714" spans="1:15" x14ac:dyDescent="0.25">
      <c r="A1714" t="s">
        <v>46</v>
      </c>
      <c r="B1714" t="s">
        <v>15</v>
      </c>
      <c r="C1714" t="s">
        <v>34</v>
      </c>
      <c r="D1714" t="str">
        <f t="shared" si="158"/>
        <v>FAB2_ Deslac Deslactosada 1 L</v>
      </c>
      <c r="E1714">
        <v>2022</v>
      </c>
      <c r="F1714">
        <v>21</v>
      </c>
      <c r="G1714">
        <f t="shared" si="159"/>
        <v>5</v>
      </c>
      <c r="H1714" s="1">
        <f t="shared" si="160"/>
        <v>44704</v>
      </c>
      <c r="I1714" s="1">
        <f t="shared" si="161"/>
        <v>44682</v>
      </c>
      <c r="J1714">
        <v>707391.77999999956</v>
      </c>
      <c r="K1714">
        <v>39384</v>
      </c>
      <c r="L1714">
        <f t="shared" si="157"/>
        <v>17.961400060938441</v>
      </c>
      <c r="M1714">
        <v>3282</v>
      </c>
      <c r="N1714" s="2">
        <f t="shared" si="162"/>
        <v>215.53680073126128</v>
      </c>
      <c r="O1714">
        <v>12</v>
      </c>
    </row>
    <row r="1715" spans="1:15" x14ac:dyDescent="0.25">
      <c r="A1715" t="s">
        <v>46</v>
      </c>
      <c r="B1715" t="s">
        <v>15</v>
      </c>
      <c r="C1715" t="s">
        <v>34</v>
      </c>
      <c r="D1715" t="str">
        <f t="shared" si="158"/>
        <v>FAB2_ Deslac Deslactosada 1 L</v>
      </c>
      <c r="E1715">
        <v>2022</v>
      </c>
      <c r="F1715">
        <v>22</v>
      </c>
      <c r="G1715">
        <f t="shared" si="159"/>
        <v>6</v>
      </c>
      <c r="H1715" s="1">
        <f t="shared" si="160"/>
        <v>44711</v>
      </c>
      <c r="I1715" s="1">
        <f t="shared" si="161"/>
        <v>44713</v>
      </c>
      <c r="J1715">
        <v>1024938.1699999988</v>
      </c>
      <c r="K1715">
        <v>58320</v>
      </c>
      <c r="L1715">
        <f t="shared" si="157"/>
        <v>17.574385631001352</v>
      </c>
      <c r="M1715">
        <v>4860</v>
      </c>
      <c r="N1715" s="2">
        <f t="shared" si="162"/>
        <v>210.89262757201621</v>
      </c>
      <c r="O1715">
        <v>12</v>
      </c>
    </row>
    <row r="1716" spans="1:15" x14ac:dyDescent="0.25">
      <c r="A1716" t="s">
        <v>46</v>
      </c>
      <c r="B1716" t="s">
        <v>15</v>
      </c>
      <c r="C1716" t="s">
        <v>34</v>
      </c>
      <c r="D1716" t="str">
        <f t="shared" si="158"/>
        <v>FAB2_ Deslac Deslactosada 1 L</v>
      </c>
      <c r="E1716">
        <v>2022</v>
      </c>
      <c r="F1716">
        <v>23</v>
      </c>
      <c r="G1716">
        <f t="shared" si="159"/>
        <v>6</v>
      </c>
      <c r="H1716" s="1">
        <f t="shared" si="160"/>
        <v>44718</v>
      </c>
      <c r="I1716" s="1">
        <f t="shared" si="161"/>
        <v>44713</v>
      </c>
      <c r="J1716">
        <v>1021441.2099999991</v>
      </c>
      <c r="K1716">
        <v>61392</v>
      </c>
      <c r="L1716">
        <f t="shared" si="157"/>
        <v>16.638018145686722</v>
      </c>
      <c r="M1716">
        <v>5116</v>
      </c>
      <c r="N1716" s="2">
        <f t="shared" si="162"/>
        <v>199.65621774824064</v>
      </c>
      <c r="O1716">
        <v>12</v>
      </c>
    </row>
    <row r="1717" spans="1:15" x14ac:dyDescent="0.25">
      <c r="A1717" t="s">
        <v>46</v>
      </c>
      <c r="B1717" t="s">
        <v>15</v>
      </c>
      <c r="C1717" t="s">
        <v>34</v>
      </c>
      <c r="D1717" t="str">
        <f t="shared" si="158"/>
        <v>FAB2_ Deslac Deslactosada 1 L</v>
      </c>
      <c r="E1717">
        <v>2022</v>
      </c>
      <c r="F1717">
        <v>24</v>
      </c>
      <c r="G1717">
        <f t="shared" si="159"/>
        <v>6</v>
      </c>
      <c r="H1717" s="1">
        <f t="shared" si="160"/>
        <v>44725</v>
      </c>
      <c r="I1717" s="1">
        <f t="shared" si="161"/>
        <v>44713</v>
      </c>
      <c r="J1717">
        <v>1065995.1599999995</v>
      </c>
      <c r="K1717">
        <v>63888</v>
      </c>
      <c r="L1717">
        <f t="shared" si="157"/>
        <v>16.685373779113441</v>
      </c>
      <c r="M1717">
        <v>5324</v>
      </c>
      <c r="N1717" s="2">
        <f t="shared" si="162"/>
        <v>200.22448534936129</v>
      </c>
      <c r="O1717">
        <v>12</v>
      </c>
    </row>
    <row r="1718" spans="1:15" x14ac:dyDescent="0.25">
      <c r="A1718" t="s">
        <v>46</v>
      </c>
      <c r="B1718" t="s">
        <v>15</v>
      </c>
      <c r="C1718" t="s">
        <v>34</v>
      </c>
      <c r="D1718" t="str">
        <f t="shared" si="158"/>
        <v>FAB2_ Deslac Deslactosada 1 L</v>
      </c>
      <c r="E1718">
        <v>2022</v>
      </c>
      <c r="F1718">
        <v>25</v>
      </c>
      <c r="G1718">
        <f t="shared" si="159"/>
        <v>6</v>
      </c>
      <c r="H1718" s="1">
        <f t="shared" si="160"/>
        <v>44732</v>
      </c>
      <c r="I1718" s="1">
        <f t="shared" si="161"/>
        <v>44713</v>
      </c>
      <c r="J1718">
        <v>924848.85999999964</v>
      </c>
      <c r="K1718">
        <v>55596</v>
      </c>
      <c r="L1718">
        <f t="shared" si="157"/>
        <v>16.635169076912</v>
      </c>
      <c r="M1718">
        <v>4633</v>
      </c>
      <c r="N1718" s="2">
        <f t="shared" si="162"/>
        <v>199.62202892294403</v>
      </c>
      <c r="O1718">
        <v>12</v>
      </c>
    </row>
    <row r="1719" spans="1:15" x14ac:dyDescent="0.25">
      <c r="A1719" t="s">
        <v>46</v>
      </c>
      <c r="B1719" t="s">
        <v>15</v>
      </c>
      <c r="C1719" t="s">
        <v>34</v>
      </c>
      <c r="D1719" t="str">
        <f t="shared" si="158"/>
        <v>FAB2_ Deslac Deslactosada 1 L</v>
      </c>
      <c r="E1719">
        <v>2022</v>
      </c>
      <c r="F1719">
        <v>26</v>
      </c>
      <c r="G1719">
        <f t="shared" si="159"/>
        <v>6</v>
      </c>
      <c r="H1719" s="1">
        <f t="shared" si="160"/>
        <v>44739</v>
      </c>
      <c r="I1719" s="1">
        <f t="shared" si="161"/>
        <v>44713</v>
      </c>
      <c r="J1719">
        <v>931614.31</v>
      </c>
      <c r="K1719">
        <v>56424</v>
      </c>
      <c r="L1719">
        <f t="shared" si="157"/>
        <v>16.51095828016447</v>
      </c>
      <c r="M1719">
        <v>4702</v>
      </c>
      <c r="N1719" s="2">
        <f t="shared" si="162"/>
        <v>198.13149936197365</v>
      </c>
      <c r="O1719">
        <v>12</v>
      </c>
    </row>
    <row r="1720" spans="1:15" x14ac:dyDescent="0.25">
      <c r="A1720" t="s">
        <v>46</v>
      </c>
      <c r="B1720" t="s">
        <v>15</v>
      </c>
      <c r="C1720" t="s">
        <v>34</v>
      </c>
      <c r="D1720" t="str">
        <f t="shared" si="158"/>
        <v>FAB2_ Deslac Deslactosada 1 L</v>
      </c>
      <c r="E1720">
        <v>2022</v>
      </c>
      <c r="F1720">
        <v>27</v>
      </c>
      <c r="G1720">
        <f t="shared" si="159"/>
        <v>7</v>
      </c>
      <c r="H1720" s="1">
        <f t="shared" si="160"/>
        <v>44746</v>
      </c>
      <c r="I1720" s="1">
        <f t="shared" si="161"/>
        <v>44743</v>
      </c>
      <c r="J1720">
        <v>1148288.0399999993</v>
      </c>
      <c r="K1720">
        <v>69636</v>
      </c>
      <c r="L1720">
        <f t="shared" si="157"/>
        <v>16.489862140272262</v>
      </c>
      <c r="M1720">
        <v>5803</v>
      </c>
      <c r="N1720" s="2">
        <f t="shared" si="162"/>
        <v>197.87834568326716</v>
      </c>
      <c r="O1720">
        <v>12</v>
      </c>
    </row>
    <row r="1721" spans="1:15" x14ac:dyDescent="0.25">
      <c r="A1721" t="s">
        <v>46</v>
      </c>
      <c r="B1721" t="s">
        <v>15</v>
      </c>
      <c r="C1721" t="s">
        <v>34</v>
      </c>
      <c r="D1721" t="str">
        <f t="shared" si="158"/>
        <v>FAB2_ Deslac Deslactosada 1 L</v>
      </c>
      <c r="E1721">
        <v>2022</v>
      </c>
      <c r="F1721">
        <v>28</v>
      </c>
      <c r="G1721">
        <f t="shared" si="159"/>
        <v>7</v>
      </c>
      <c r="H1721" s="1">
        <f t="shared" si="160"/>
        <v>44753</v>
      </c>
      <c r="I1721" s="1">
        <f t="shared" si="161"/>
        <v>44743</v>
      </c>
      <c r="J1721">
        <v>905919.48999999964</v>
      </c>
      <c r="K1721">
        <v>56532</v>
      </c>
      <c r="L1721">
        <f t="shared" si="157"/>
        <v>16.024897226349673</v>
      </c>
      <c r="M1721">
        <v>4711</v>
      </c>
      <c r="N1721" s="2">
        <f t="shared" si="162"/>
        <v>192.29876671619607</v>
      </c>
      <c r="O1721">
        <v>12</v>
      </c>
    </row>
    <row r="1722" spans="1:15" x14ac:dyDescent="0.25">
      <c r="A1722" t="s">
        <v>46</v>
      </c>
      <c r="B1722" t="s">
        <v>15</v>
      </c>
      <c r="C1722" t="s">
        <v>34</v>
      </c>
      <c r="D1722" t="str">
        <f t="shared" si="158"/>
        <v>FAB2_ Deslac Deslactosada 1 L</v>
      </c>
      <c r="E1722">
        <v>2022</v>
      </c>
      <c r="F1722">
        <v>29</v>
      </c>
      <c r="G1722">
        <f t="shared" si="159"/>
        <v>7</v>
      </c>
      <c r="H1722" s="1">
        <f t="shared" si="160"/>
        <v>44760</v>
      </c>
      <c r="I1722" s="1">
        <f t="shared" si="161"/>
        <v>44743</v>
      </c>
      <c r="J1722">
        <v>878941.18999999971</v>
      </c>
      <c r="K1722">
        <v>49020</v>
      </c>
      <c r="L1722">
        <f t="shared" si="157"/>
        <v>17.930256833945322</v>
      </c>
      <c r="M1722">
        <v>4085</v>
      </c>
      <c r="N1722" s="2">
        <f t="shared" si="162"/>
        <v>215.16308200734386</v>
      </c>
      <c r="O1722">
        <v>12</v>
      </c>
    </row>
    <row r="1723" spans="1:15" x14ac:dyDescent="0.25">
      <c r="A1723" t="s">
        <v>46</v>
      </c>
      <c r="B1723" t="s">
        <v>15</v>
      </c>
      <c r="C1723" t="s">
        <v>34</v>
      </c>
      <c r="D1723" t="str">
        <f t="shared" si="158"/>
        <v>FAB2_ Deslac Deslactosada 1 L</v>
      </c>
      <c r="E1723">
        <v>2022</v>
      </c>
      <c r="F1723">
        <v>30</v>
      </c>
      <c r="G1723">
        <f t="shared" si="159"/>
        <v>7</v>
      </c>
      <c r="H1723" s="1">
        <f t="shared" si="160"/>
        <v>44767</v>
      </c>
      <c r="I1723" s="1">
        <f t="shared" si="161"/>
        <v>44743</v>
      </c>
      <c r="J1723">
        <v>748449.59999999939</v>
      </c>
      <c r="K1723">
        <v>41676</v>
      </c>
      <c r="L1723">
        <f t="shared" si="157"/>
        <v>17.958767636049512</v>
      </c>
      <c r="M1723">
        <v>3473</v>
      </c>
      <c r="N1723" s="2">
        <f t="shared" si="162"/>
        <v>215.50521163259413</v>
      </c>
      <c r="O1723">
        <v>12</v>
      </c>
    </row>
    <row r="1724" spans="1:15" x14ac:dyDescent="0.25">
      <c r="A1724" t="s">
        <v>46</v>
      </c>
      <c r="B1724" t="s">
        <v>15</v>
      </c>
      <c r="C1724" t="s">
        <v>34</v>
      </c>
      <c r="D1724" t="str">
        <f t="shared" si="158"/>
        <v>FAB2_ Deslac Deslactosada 1 L</v>
      </c>
      <c r="E1724">
        <v>2022</v>
      </c>
      <c r="F1724">
        <v>31</v>
      </c>
      <c r="G1724">
        <f t="shared" si="159"/>
        <v>8</v>
      </c>
      <c r="H1724" s="1">
        <f t="shared" si="160"/>
        <v>44774</v>
      </c>
      <c r="I1724" s="1">
        <f t="shared" si="161"/>
        <v>44774</v>
      </c>
      <c r="J1724">
        <v>1002996.1099999989</v>
      </c>
      <c r="K1724">
        <v>55824</v>
      </c>
      <c r="L1724">
        <f t="shared" si="157"/>
        <v>17.967112890513022</v>
      </c>
      <c r="M1724">
        <v>4652</v>
      </c>
      <c r="N1724" s="2">
        <f t="shared" si="162"/>
        <v>215.60535468615626</v>
      </c>
      <c r="O1724">
        <v>12</v>
      </c>
    </row>
    <row r="1725" spans="1:15" x14ac:dyDescent="0.25">
      <c r="A1725" t="s">
        <v>46</v>
      </c>
      <c r="B1725" t="s">
        <v>15</v>
      </c>
      <c r="C1725" t="s">
        <v>34</v>
      </c>
      <c r="D1725" t="str">
        <f t="shared" si="158"/>
        <v>FAB2_ Deslac Deslactosada 1 L</v>
      </c>
      <c r="E1725">
        <v>2022</v>
      </c>
      <c r="F1725">
        <v>32</v>
      </c>
      <c r="G1725">
        <f t="shared" si="159"/>
        <v>8</v>
      </c>
      <c r="H1725" s="1">
        <f t="shared" si="160"/>
        <v>44781</v>
      </c>
      <c r="I1725" s="1">
        <f t="shared" si="161"/>
        <v>44774</v>
      </c>
      <c r="J1725">
        <v>665974.17999999993</v>
      </c>
      <c r="K1725">
        <v>37032</v>
      </c>
      <c r="L1725">
        <f t="shared" si="157"/>
        <v>17.983748649816373</v>
      </c>
      <c r="M1725">
        <v>3086</v>
      </c>
      <c r="N1725" s="2">
        <f t="shared" si="162"/>
        <v>215.80498379779647</v>
      </c>
      <c r="O1725">
        <v>12</v>
      </c>
    </row>
    <row r="1726" spans="1:15" x14ac:dyDescent="0.25">
      <c r="A1726" t="s">
        <v>46</v>
      </c>
      <c r="B1726" t="s">
        <v>15</v>
      </c>
      <c r="C1726" t="s">
        <v>34</v>
      </c>
      <c r="D1726" t="str">
        <f t="shared" si="158"/>
        <v>FAB2_ Deslac Deslactosada 1 L</v>
      </c>
      <c r="E1726">
        <v>2022</v>
      </c>
      <c r="F1726">
        <v>33</v>
      </c>
      <c r="G1726">
        <f t="shared" si="159"/>
        <v>8</v>
      </c>
      <c r="H1726" s="1">
        <f t="shared" si="160"/>
        <v>44788</v>
      </c>
      <c r="I1726" s="1">
        <f t="shared" si="161"/>
        <v>44774</v>
      </c>
      <c r="J1726">
        <v>738670.31999999983</v>
      </c>
      <c r="K1726">
        <v>41100</v>
      </c>
      <c r="L1726">
        <f t="shared" ref="L1726:L1789" si="163">J1726/(M1726*O1726)</f>
        <v>17.972513868613134</v>
      </c>
      <c r="M1726">
        <v>3425</v>
      </c>
      <c r="N1726" s="2">
        <f t="shared" si="162"/>
        <v>215.67016642335761</v>
      </c>
      <c r="O1726">
        <v>12</v>
      </c>
    </row>
    <row r="1727" spans="1:15" x14ac:dyDescent="0.25">
      <c r="A1727" t="s">
        <v>46</v>
      </c>
      <c r="B1727" t="s">
        <v>15</v>
      </c>
      <c r="C1727" t="s">
        <v>34</v>
      </c>
      <c r="D1727" t="str">
        <f t="shared" si="158"/>
        <v>FAB2_ Deslac Deslactosada 1 L</v>
      </c>
      <c r="E1727">
        <v>2022</v>
      </c>
      <c r="F1727">
        <v>34</v>
      </c>
      <c r="G1727">
        <f t="shared" si="159"/>
        <v>8</v>
      </c>
      <c r="H1727" s="1">
        <f t="shared" si="160"/>
        <v>44795</v>
      </c>
      <c r="I1727" s="1">
        <f t="shared" si="161"/>
        <v>44774</v>
      </c>
      <c r="J1727">
        <v>598276.01000000024</v>
      </c>
      <c r="K1727">
        <v>31104</v>
      </c>
      <c r="L1727">
        <f t="shared" si="163"/>
        <v>19.234696823559677</v>
      </c>
      <c r="M1727">
        <v>2592</v>
      </c>
      <c r="N1727" s="2">
        <f t="shared" si="162"/>
        <v>230.81636188271614</v>
      </c>
      <c r="O1727">
        <v>12</v>
      </c>
    </row>
    <row r="1728" spans="1:15" x14ac:dyDescent="0.25">
      <c r="A1728" t="s">
        <v>46</v>
      </c>
      <c r="B1728" t="s">
        <v>15</v>
      </c>
      <c r="C1728" t="s">
        <v>34</v>
      </c>
      <c r="D1728" t="str">
        <f t="shared" si="158"/>
        <v>FAB2_ Deslac Deslactosada 1 L</v>
      </c>
      <c r="E1728">
        <v>2022</v>
      </c>
      <c r="F1728">
        <v>35</v>
      </c>
      <c r="G1728">
        <f t="shared" si="159"/>
        <v>9</v>
      </c>
      <c r="H1728" s="1">
        <f t="shared" si="160"/>
        <v>44802</v>
      </c>
      <c r="I1728" s="1">
        <f t="shared" si="161"/>
        <v>44805</v>
      </c>
      <c r="J1728">
        <v>858591.03999999992</v>
      </c>
      <c r="K1728">
        <v>44880</v>
      </c>
      <c r="L1728">
        <f t="shared" si="163"/>
        <v>19.130816399286985</v>
      </c>
      <c r="M1728">
        <v>3740</v>
      </c>
      <c r="N1728" s="2">
        <f t="shared" si="162"/>
        <v>229.56979679144382</v>
      </c>
      <c r="O1728">
        <v>12</v>
      </c>
    </row>
    <row r="1729" spans="1:15" x14ac:dyDescent="0.25">
      <c r="A1729" t="s">
        <v>46</v>
      </c>
      <c r="B1729" t="s">
        <v>15</v>
      </c>
      <c r="C1729" t="s">
        <v>34</v>
      </c>
      <c r="D1729" t="str">
        <f t="shared" si="158"/>
        <v>FAB2_ Deslac Deslactosada 1 L</v>
      </c>
      <c r="E1729">
        <v>2022</v>
      </c>
      <c r="F1729">
        <v>36</v>
      </c>
      <c r="G1729">
        <f t="shared" si="159"/>
        <v>9</v>
      </c>
      <c r="H1729" s="1">
        <f t="shared" si="160"/>
        <v>44809</v>
      </c>
      <c r="I1729" s="1">
        <f t="shared" si="161"/>
        <v>44805</v>
      </c>
      <c r="J1729">
        <v>752190.0399999998</v>
      </c>
      <c r="K1729">
        <v>39096</v>
      </c>
      <c r="L1729">
        <f t="shared" si="163"/>
        <v>19.23956517290771</v>
      </c>
      <c r="M1729">
        <v>3258</v>
      </c>
      <c r="N1729" s="2">
        <f t="shared" si="162"/>
        <v>230.87478207489252</v>
      </c>
      <c r="O1729">
        <v>12</v>
      </c>
    </row>
    <row r="1730" spans="1:15" x14ac:dyDescent="0.25">
      <c r="A1730" t="s">
        <v>46</v>
      </c>
      <c r="B1730" t="s">
        <v>15</v>
      </c>
      <c r="C1730" t="s">
        <v>34</v>
      </c>
      <c r="D1730" t="str">
        <f t="shared" si="158"/>
        <v>FAB2_ Deslac Deslactosada 1 L</v>
      </c>
      <c r="E1730">
        <v>2022</v>
      </c>
      <c r="F1730">
        <v>37</v>
      </c>
      <c r="G1730">
        <f t="shared" si="159"/>
        <v>9</v>
      </c>
      <c r="H1730" s="1">
        <f t="shared" si="160"/>
        <v>44816</v>
      </c>
      <c r="I1730" s="1">
        <f t="shared" si="161"/>
        <v>44805</v>
      </c>
      <c r="J1730">
        <v>874933.97</v>
      </c>
      <c r="K1730">
        <v>47232</v>
      </c>
      <c r="L1730">
        <f t="shared" si="163"/>
        <v>18.524177887872629</v>
      </c>
      <c r="M1730">
        <v>3936</v>
      </c>
      <c r="N1730" s="2">
        <f t="shared" si="162"/>
        <v>222.29013465447153</v>
      </c>
      <c r="O1730">
        <v>12</v>
      </c>
    </row>
    <row r="1731" spans="1:15" x14ac:dyDescent="0.25">
      <c r="A1731" t="s">
        <v>46</v>
      </c>
      <c r="B1731" t="s">
        <v>15</v>
      </c>
      <c r="C1731" t="s">
        <v>34</v>
      </c>
      <c r="D1731" t="str">
        <f t="shared" ref="D1731:D1794" si="164">B1731&amp;"_"&amp;C1731</f>
        <v>FAB2_ Deslac Deslactosada 1 L</v>
      </c>
      <c r="E1731">
        <v>2022</v>
      </c>
      <c r="F1731">
        <v>38</v>
      </c>
      <c r="G1731">
        <f t="shared" ref="G1731:G1794" si="165">MONTH(DATE(E1731,1,4)+(F1731-1)*7-WEEKDAY(DATE(E1731,1,4),2)+4)</f>
        <v>9</v>
      </c>
      <c r="H1731" s="1">
        <f t="shared" ref="H1731:H1794" si="166">DATE(E1731,1,-2)-WEEKDAY(DATE(E1731,1,3))+F1731*7</f>
        <v>44823</v>
      </c>
      <c r="I1731" s="1">
        <f t="shared" ref="I1731:I1794" si="167">DATE(E1731,G1731,1)</f>
        <v>44805</v>
      </c>
      <c r="J1731">
        <v>1071715.6499999997</v>
      </c>
      <c r="K1731">
        <v>59760</v>
      </c>
      <c r="L1731">
        <f t="shared" si="163"/>
        <v>17.933662148594372</v>
      </c>
      <c r="M1731">
        <v>4980</v>
      </c>
      <c r="N1731" s="2">
        <f t="shared" ref="N1731:N1794" si="168">J1731/M1731</f>
        <v>215.20394578313247</v>
      </c>
      <c r="O1731">
        <v>12</v>
      </c>
    </row>
    <row r="1732" spans="1:15" x14ac:dyDescent="0.25">
      <c r="A1732" t="s">
        <v>46</v>
      </c>
      <c r="B1732" t="s">
        <v>15</v>
      </c>
      <c r="C1732" t="s">
        <v>34</v>
      </c>
      <c r="D1732" t="str">
        <f t="shared" si="164"/>
        <v>FAB2_ Deslac Deslactosada 1 L</v>
      </c>
      <c r="E1732">
        <v>2022</v>
      </c>
      <c r="F1732">
        <v>39</v>
      </c>
      <c r="G1732">
        <f t="shared" si="165"/>
        <v>9</v>
      </c>
      <c r="H1732" s="1">
        <f t="shared" si="166"/>
        <v>44830</v>
      </c>
      <c r="I1732" s="1">
        <f t="shared" si="167"/>
        <v>44805</v>
      </c>
      <c r="J1732">
        <v>709990.98999999987</v>
      </c>
      <c r="K1732">
        <v>36792</v>
      </c>
      <c r="L1732">
        <f t="shared" si="163"/>
        <v>19.297428517068926</v>
      </c>
      <c r="M1732">
        <v>3066</v>
      </c>
      <c r="N1732" s="2">
        <f t="shared" si="168"/>
        <v>231.5691422048271</v>
      </c>
      <c r="O1732">
        <v>12</v>
      </c>
    </row>
    <row r="1733" spans="1:15" x14ac:dyDescent="0.25">
      <c r="A1733" t="s">
        <v>46</v>
      </c>
      <c r="B1733" t="s">
        <v>15</v>
      </c>
      <c r="C1733" t="s">
        <v>34</v>
      </c>
      <c r="D1733" t="str">
        <f t="shared" si="164"/>
        <v>FAB2_ Deslac Deslactosada 1 L</v>
      </c>
      <c r="E1733">
        <v>2022</v>
      </c>
      <c r="F1733">
        <v>40</v>
      </c>
      <c r="G1733">
        <f t="shared" si="165"/>
        <v>10</v>
      </c>
      <c r="H1733" s="1">
        <f t="shared" si="166"/>
        <v>44837</v>
      </c>
      <c r="I1733" s="1">
        <f t="shared" si="167"/>
        <v>44835</v>
      </c>
      <c r="J1733">
        <v>967104.88999999955</v>
      </c>
      <c r="K1733">
        <v>51912</v>
      </c>
      <c r="L1733">
        <f t="shared" si="163"/>
        <v>18.62969814301124</v>
      </c>
      <c r="M1733">
        <v>4326</v>
      </c>
      <c r="N1733" s="2">
        <f t="shared" si="168"/>
        <v>223.5563777161349</v>
      </c>
      <c r="O1733">
        <v>12</v>
      </c>
    </row>
    <row r="1734" spans="1:15" x14ac:dyDescent="0.25">
      <c r="A1734" t="s">
        <v>46</v>
      </c>
      <c r="B1734" t="s">
        <v>15</v>
      </c>
      <c r="C1734" t="s">
        <v>34</v>
      </c>
      <c r="D1734" t="str">
        <f t="shared" si="164"/>
        <v>FAB2_ Deslac Deslactosada 1 L</v>
      </c>
      <c r="E1734">
        <v>2022</v>
      </c>
      <c r="F1734">
        <v>41</v>
      </c>
      <c r="G1734">
        <f t="shared" si="165"/>
        <v>10</v>
      </c>
      <c r="H1734" s="1">
        <f t="shared" si="166"/>
        <v>44844</v>
      </c>
      <c r="I1734" s="1">
        <f t="shared" si="167"/>
        <v>44835</v>
      </c>
      <c r="J1734">
        <v>1222187.6100000006</v>
      </c>
      <c r="K1734">
        <v>69744</v>
      </c>
      <c r="L1734">
        <f t="shared" si="163"/>
        <v>17.523910443909163</v>
      </c>
      <c r="M1734">
        <v>5812</v>
      </c>
      <c r="N1734" s="2">
        <f t="shared" si="168"/>
        <v>210.28692532690994</v>
      </c>
      <c r="O1734">
        <v>12</v>
      </c>
    </row>
    <row r="1735" spans="1:15" x14ac:dyDescent="0.25">
      <c r="A1735" t="s">
        <v>46</v>
      </c>
      <c r="B1735" t="s">
        <v>15</v>
      </c>
      <c r="C1735" t="s">
        <v>34</v>
      </c>
      <c r="D1735" t="str">
        <f t="shared" si="164"/>
        <v>FAB2_ Deslac Deslactosada 1 L</v>
      </c>
      <c r="E1735">
        <v>2022</v>
      </c>
      <c r="F1735">
        <v>42</v>
      </c>
      <c r="G1735">
        <f t="shared" si="165"/>
        <v>10</v>
      </c>
      <c r="H1735" s="1">
        <f t="shared" si="166"/>
        <v>44851</v>
      </c>
      <c r="I1735" s="1">
        <f t="shared" si="167"/>
        <v>44835</v>
      </c>
      <c r="J1735">
        <v>1076088.0699999994</v>
      </c>
      <c r="K1735">
        <v>59496</v>
      </c>
      <c r="L1735">
        <f t="shared" si="163"/>
        <v>18.086729696114013</v>
      </c>
      <c r="M1735">
        <v>4958</v>
      </c>
      <c r="N1735" s="2">
        <f t="shared" si="168"/>
        <v>217.04075635336815</v>
      </c>
      <c r="O1735">
        <v>12</v>
      </c>
    </row>
    <row r="1736" spans="1:15" x14ac:dyDescent="0.25">
      <c r="A1736" t="s">
        <v>46</v>
      </c>
      <c r="B1736" t="s">
        <v>15</v>
      </c>
      <c r="C1736" t="s">
        <v>34</v>
      </c>
      <c r="D1736" t="str">
        <f t="shared" si="164"/>
        <v>FAB2_ Deslac Deslactosada 1 L</v>
      </c>
      <c r="E1736">
        <v>2022</v>
      </c>
      <c r="F1736">
        <v>43</v>
      </c>
      <c r="G1736">
        <f t="shared" si="165"/>
        <v>10</v>
      </c>
      <c r="H1736" s="1">
        <f t="shared" si="166"/>
        <v>44858</v>
      </c>
      <c r="I1736" s="1">
        <f t="shared" si="167"/>
        <v>44835</v>
      </c>
      <c r="J1736">
        <v>653144.38</v>
      </c>
      <c r="K1736">
        <v>33900</v>
      </c>
      <c r="L1736">
        <f t="shared" si="163"/>
        <v>19.26679587020649</v>
      </c>
      <c r="M1736">
        <v>2825</v>
      </c>
      <c r="N1736" s="2">
        <f t="shared" si="168"/>
        <v>231.20155044247787</v>
      </c>
      <c r="O1736">
        <v>12</v>
      </c>
    </row>
    <row r="1737" spans="1:15" x14ac:dyDescent="0.25">
      <c r="A1737" t="s">
        <v>46</v>
      </c>
      <c r="B1737" t="s">
        <v>15</v>
      </c>
      <c r="C1737" t="s">
        <v>34</v>
      </c>
      <c r="D1737" t="str">
        <f t="shared" si="164"/>
        <v>FAB2_ Deslac Deslactosada 1 L</v>
      </c>
      <c r="E1737">
        <v>2022</v>
      </c>
      <c r="F1737">
        <v>44</v>
      </c>
      <c r="G1737">
        <f t="shared" si="165"/>
        <v>11</v>
      </c>
      <c r="H1737" s="1">
        <f t="shared" si="166"/>
        <v>44865</v>
      </c>
      <c r="I1737" s="1">
        <f t="shared" si="167"/>
        <v>44866</v>
      </c>
      <c r="J1737">
        <v>860310.07999999973</v>
      </c>
      <c r="K1737">
        <v>46260</v>
      </c>
      <c r="L1737">
        <f t="shared" si="163"/>
        <v>18.597277993947248</v>
      </c>
      <c r="M1737">
        <v>3855</v>
      </c>
      <c r="N1737" s="2">
        <f t="shared" si="168"/>
        <v>223.16733592736699</v>
      </c>
      <c r="O1737">
        <v>12</v>
      </c>
    </row>
    <row r="1738" spans="1:15" x14ac:dyDescent="0.25">
      <c r="A1738" t="s">
        <v>46</v>
      </c>
      <c r="B1738" t="s">
        <v>15</v>
      </c>
      <c r="C1738" t="s">
        <v>34</v>
      </c>
      <c r="D1738" t="str">
        <f t="shared" si="164"/>
        <v>FAB2_ Deslac Deslactosada 1 L</v>
      </c>
      <c r="E1738">
        <v>2022</v>
      </c>
      <c r="F1738">
        <v>45</v>
      </c>
      <c r="G1738">
        <f t="shared" si="165"/>
        <v>11</v>
      </c>
      <c r="H1738" s="1">
        <f t="shared" si="166"/>
        <v>44872</v>
      </c>
      <c r="I1738" s="1">
        <f t="shared" si="167"/>
        <v>44866</v>
      </c>
      <c r="J1738">
        <v>800934.7</v>
      </c>
      <c r="K1738">
        <v>44616</v>
      </c>
      <c r="L1738">
        <f t="shared" si="163"/>
        <v>17.951737045006276</v>
      </c>
      <c r="M1738">
        <v>3718</v>
      </c>
      <c r="N1738" s="2">
        <f t="shared" si="168"/>
        <v>215.42084454007531</v>
      </c>
      <c r="O1738">
        <v>12</v>
      </c>
    </row>
    <row r="1739" spans="1:15" x14ac:dyDescent="0.25">
      <c r="A1739" t="s">
        <v>46</v>
      </c>
      <c r="B1739" t="s">
        <v>15</v>
      </c>
      <c r="C1739" t="s">
        <v>34</v>
      </c>
      <c r="D1739" t="str">
        <f t="shared" si="164"/>
        <v>FAB2_ Deslac Deslactosada 1 L</v>
      </c>
      <c r="E1739">
        <v>2022</v>
      </c>
      <c r="F1739">
        <v>46</v>
      </c>
      <c r="G1739">
        <f t="shared" si="165"/>
        <v>11</v>
      </c>
      <c r="H1739" s="1">
        <f t="shared" si="166"/>
        <v>44879</v>
      </c>
      <c r="I1739" s="1">
        <f t="shared" si="167"/>
        <v>44866</v>
      </c>
      <c r="J1739">
        <v>1104918.2699999998</v>
      </c>
      <c r="K1739">
        <v>60396</v>
      </c>
      <c r="L1739">
        <f t="shared" si="163"/>
        <v>18.294560401351081</v>
      </c>
      <c r="M1739">
        <v>5033</v>
      </c>
      <c r="N1739" s="2">
        <f t="shared" si="168"/>
        <v>219.53472481621296</v>
      </c>
      <c r="O1739">
        <v>12</v>
      </c>
    </row>
    <row r="1740" spans="1:15" x14ac:dyDescent="0.25">
      <c r="A1740" t="s">
        <v>46</v>
      </c>
      <c r="B1740" t="s">
        <v>15</v>
      </c>
      <c r="C1740" t="s">
        <v>34</v>
      </c>
      <c r="D1740" t="str">
        <f t="shared" si="164"/>
        <v>FAB2_ Deslac Deslactosada 1 L</v>
      </c>
      <c r="E1740">
        <v>2022</v>
      </c>
      <c r="F1740">
        <v>47</v>
      </c>
      <c r="G1740">
        <f t="shared" si="165"/>
        <v>11</v>
      </c>
      <c r="H1740" s="1">
        <f t="shared" si="166"/>
        <v>44886</v>
      </c>
      <c r="I1740" s="1">
        <f t="shared" si="167"/>
        <v>44866</v>
      </c>
      <c r="J1740">
        <v>1032957.6000000002</v>
      </c>
      <c r="K1740">
        <v>55632</v>
      </c>
      <c r="L1740">
        <f t="shared" si="163"/>
        <v>18.567687661777398</v>
      </c>
      <c r="M1740">
        <v>4636</v>
      </c>
      <c r="N1740" s="2">
        <f t="shared" si="168"/>
        <v>222.81225194132878</v>
      </c>
      <c r="O1740">
        <v>12</v>
      </c>
    </row>
    <row r="1741" spans="1:15" x14ac:dyDescent="0.25">
      <c r="A1741" t="s">
        <v>46</v>
      </c>
      <c r="B1741" t="s">
        <v>15</v>
      </c>
      <c r="C1741" t="s">
        <v>34</v>
      </c>
      <c r="D1741" t="str">
        <f t="shared" si="164"/>
        <v>FAB2_ Deslac Deslactosada 1 L</v>
      </c>
      <c r="E1741">
        <v>2022</v>
      </c>
      <c r="F1741">
        <v>48</v>
      </c>
      <c r="G1741">
        <f t="shared" si="165"/>
        <v>12</v>
      </c>
      <c r="H1741" s="1">
        <f t="shared" si="166"/>
        <v>44893</v>
      </c>
      <c r="I1741" s="1">
        <f t="shared" si="167"/>
        <v>44896</v>
      </c>
      <c r="J1741">
        <v>736575.74000000022</v>
      </c>
      <c r="K1741">
        <v>39564</v>
      </c>
      <c r="L1741">
        <f t="shared" si="163"/>
        <v>18.617322313214039</v>
      </c>
      <c r="M1741">
        <v>3297</v>
      </c>
      <c r="N1741" s="2">
        <f t="shared" si="168"/>
        <v>223.40786775856847</v>
      </c>
      <c r="O1741">
        <v>12</v>
      </c>
    </row>
    <row r="1742" spans="1:15" x14ac:dyDescent="0.25">
      <c r="A1742" t="s">
        <v>46</v>
      </c>
      <c r="B1742" t="s">
        <v>15</v>
      </c>
      <c r="C1742" t="s">
        <v>34</v>
      </c>
      <c r="D1742" t="str">
        <f t="shared" si="164"/>
        <v>FAB2_ Deslac Deslactosada 1 L</v>
      </c>
      <c r="E1742">
        <v>2022</v>
      </c>
      <c r="F1742">
        <v>49</v>
      </c>
      <c r="G1742">
        <f t="shared" si="165"/>
        <v>12</v>
      </c>
      <c r="H1742" s="1">
        <f t="shared" si="166"/>
        <v>44900</v>
      </c>
      <c r="I1742" s="1">
        <f t="shared" si="167"/>
        <v>44896</v>
      </c>
      <c r="J1742">
        <v>869352.14999999944</v>
      </c>
      <c r="K1742">
        <v>46272</v>
      </c>
      <c r="L1742">
        <f t="shared" si="163"/>
        <v>18.787866312240652</v>
      </c>
      <c r="M1742">
        <v>3856</v>
      </c>
      <c r="N1742" s="2">
        <f t="shared" si="168"/>
        <v>225.45439574688783</v>
      </c>
      <c r="O1742">
        <v>12</v>
      </c>
    </row>
    <row r="1743" spans="1:15" x14ac:dyDescent="0.25">
      <c r="A1743" t="s">
        <v>46</v>
      </c>
      <c r="B1743" t="s">
        <v>15</v>
      </c>
      <c r="C1743" t="s">
        <v>34</v>
      </c>
      <c r="D1743" t="str">
        <f t="shared" si="164"/>
        <v>FAB2_ Deslac Deslactosada 1 L</v>
      </c>
      <c r="E1743">
        <v>2022</v>
      </c>
      <c r="F1743">
        <v>50</v>
      </c>
      <c r="G1743">
        <f t="shared" si="165"/>
        <v>12</v>
      </c>
      <c r="H1743" s="1">
        <f t="shared" si="166"/>
        <v>44907</v>
      </c>
      <c r="I1743" s="1">
        <f t="shared" si="167"/>
        <v>44896</v>
      </c>
      <c r="J1743">
        <v>1019414.6</v>
      </c>
      <c r="K1743">
        <v>56196</v>
      </c>
      <c r="L1743">
        <f t="shared" si="163"/>
        <v>18.140340949533773</v>
      </c>
      <c r="M1743">
        <v>4683</v>
      </c>
      <c r="N1743" s="2">
        <f t="shared" si="168"/>
        <v>217.6840913944053</v>
      </c>
      <c r="O1743">
        <v>12</v>
      </c>
    </row>
    <row r="1744" spans="1:15" x14ac:dyDescent="0.25">
      <c r="A1744" t="s">
        <v>46</v>
      </c>
      <c r="B1744" t="s">
        <v>15</v>
      </c>
      <c r="C1744" t="s">
        <v>34</v>
      </c>
      <c r="D1744" t="str">
        <f t="shared" si="164"/>
        <v>FAB2_ Deslac Deslactosada 1 L</v>
      </c>
      <c r="E1744">
        <v>2022</v>
      </c>
      <c r="F1744">
        <v>51</v>
      </c>
      <c r="G1744">
        <f t="shared" si="165"/>
        <v>12</v>
      </c>
      <c r="H1744" s="1">
        <f t="shared" si="166"/>
        <v>44914</v>
      </c>
      <c r="I1744" s="1">
        <f t="shared" si="167"/>
        <v>44896</v>
      </c>
      <c r="J1744">
        <v>1006460.58</v>
      </c>
      <c r="K1744">
        <v>55464</v>
      </c>
      <c r="L1744">
        <f t="shared" si="163"/>
        <v>18.14619536996971</v>
      </c>
      <c r="M1744">
        <v>4622</v>
      </c>
      <c r="N1744" s="2">
        <f t="shared" si="168"/>
        <v>217.75434443963653</v>
      </c>
      <c r="O1744">
        <v>12</v>
      </c>
    </row>
    <row r="1745" spans="1:15" x14ac:dyDescent="0.25">
      <c r="A1745" t="s">
        <v>46</v>
      </c>
      <c r="B1745" t="s">
        <v>15</v>
      </c>
      <c r="C1745" t="s">
        <v>34</v>
      </c>
      <c r="D1745" t="str">
        <f t="shared" si="164"/>
        <v>FAB2_ Deslac Deslactosada 1 L</v>
      </c>
      <c r="E1745">
        <v>2022</v>
      </c>
      <c r="F1745">
        <v>52</v>
      </c>
      <c r="G1745">
        <f t="shared" si="165"/>
        <v>12</v>
      </c>
      <c r="H1745" s="1">
        <f t="shared" si="166"/>
        <v>44921</v>
      </c>
      <c r="I1745" s="1">
        <f t="shared" si="167"/>
        <v>44896</v>
      </c>
      <c r="J1745">
        <v>864114.3</v>
      </c>
      <c r="K1745">
        <v>47316</v>
      </c>
      <c r="L1745">
        <f t="shared" si="163"/>
        <v>18.262623636824753</v>
      </c>
      <c r="M1745">
        <v>3943</v>
      </c>
      <c r="N1745" s="2">
        <f t="shared" si="168"/>
        <v>219.15148364189704</v>
      </c>
      <c r="O1745">
        <v>12</v>
      </c>
    </row>
    <row r="1746" spans="1:15" x14ac:dyDescent="0.25">
      <c r="A1746" t="s">
        <v>46</v>
      </c>
      <c r="B1746" t="s">
        <v>15</v>
      </c>
      <c r="C1746" t="s">
        <v>34</v>
      </c>
      <c r="D1746" t="str">
        <f t="shared" si="164"/>
        <v>FAB2_ Deslac Deslactosada 1 L</v>
      </c>
      <c r="E1746">
        <v>2023</v>
      </c>
      <c r="F1746">
        <v>1</v>
      </c>
      <c r="G1746">
        <f t="shared" si="165"/>
        <v>1</v>
      </c>
      <c r="H1746" s="1">
        <f t="shared" si="166"/>
        <v>44928</v>
      </c>
      <c r="I1746" s="1">
        <f t="shared" si="167"/>
        <v>44927</v>
      </c>
      <c r="J1746">
        <v>958157.51999999979</v>
      </c>
      <c r="K1746">
        <v>51900</v>
      </c>
      <c r="L1746">
        <f t="shared" si="163"/>
        <v>18.461609248554907</v>
      </c>
      <c r="M1746">
        <v>4325</v>
      </c>
      <c r="N1746" s="2">
        <f t="shared" si="168"/>
        <v>221.53931098265892</v>
      </c>
      <c r="O1746">
        <v>12</v>
      </c>
    </row>
    <row r="1747" spans="1:15" x14ac:dyDescent="0.25">
      <c r="A1747" t="s">
        <v>46</v>
      </c>
      <c r="B1747" t="s">
        <v>15</v>
      </c>
      <c r="C1747" t="s">
        <v>34</v>
      </c>
      <c r="D1747" t="str">
        <f t="shared" si="164"/>
        <v>FAB2_ Deslac Deslactosada 1 L</v>
      </c>
      <c r="E1747">
        <v>2023</v>
      </c>
      <c r="F1747">
        <v>2</v>
      </c>
      <c r="G1747">
        <f t="shared" si="165"/>
        <v>1</v>
      </c>
      <c r="H1747" s="1">
        <f t="shared" si="166"/>
        <v>44935</v>
      </c>
      <c r="I1747" s="1">
        <f t="shared" si="167"/>
        <v>44927</v>
      </c>
      <c r="J1747">
        <v>768631.19000000006</v>
      </c>
      <c r="K1747">
        <v>42696</v>
      </c>
      <c r="L1747">
        <f t="shared" si="163"/>
        <v>18.00241685403785</v>
      </c>
      <c r="M1747">
        <v>3558</v>
      </c>
      <c r="N1747" s="2">
        <f t="shared" si="168"/>
        <v>216.02900224845419</v>
      </c>
      <c r="O1747">
        <v>12</v>
      </c>
    </row>
    <row r="1748" spans="1:15" x14ac:dyDescent="0.25">
      <c r="A1748" t="s">
        <v>46</v>
      </c>
      <c r="B1748" t="s">
        <v>15</v>
      </c>
      <c r="C1748" t="s">
        <v>34</v>
      </c>
      <c r="D1748" t="str">
        <f t="shared" si="164"/>
        <v>FAB2_ Deslac Deslactosada 1 L</v>
      </c>
      <c r="E1748">
        <v>2023</v>
      </c>
      <c r="F1748">
        <v>3</v>
      </c>
      <c r="G1748">
        <f t="shared" si="165"/>
        <v>1</v>
      </c>
      <c r="H1748" s="1">
        <f t="shared" si="166"/>
        <v>44942</v>
      </c>
      <c r="I1748" s="1">
        <f t="shared" si="167"/>
        <v>44927</v>
      </c>
      <c r="J1748">
        <v>925952.90999999992</v>
      </c>
      <c r="K1748">
        <v>51672</v>
      </c>
      <c r="L1748">
        <f t="shared" si="163"/>
        <v>17.919819437993496</v>
      </c>
      <c r="M1748">
        <v>4306</v>
      </c>
      <c r="N1748" s="2">
        <f t="shared" si="168"/>
        <v>215.03783325592195</v>
      </c>
      <c r="O1748">
        <v>12</v>
      </c>
    </row>
    <row r="1749" spans="1:15" x14ac:dyDescent="0.25">
      <c r="A1749" t="s">
        <v>46</v>
      </c>
      <c r="B1749" t="s">
        <v>15</v>
      </c>
      <c r="C1749" t="s">
        <v>34</v>
      </c>
      <c r="D1749" t="str">
        <f t="shared" si="164"/>
        <v>FAB2_ Deslac Deslactosada 1 L</v>
      </c>
      <c r="E1749">
        <v>2023</v>
      </c>
      <c r="F1749">
        <v>4</v>
      </c>
      <c r="G1749">
        <f t="shared" si="165"/>
        <v>1</v>
      </c>
      <c r="H1749" s="1">
        <f t="shared" si="166"/>
        <v>44949</v>
      </c>
      <c r="I1749" s="1">
        <f t="shared" si="167"/>
        <v>44927</v>
      </c>
      <c r="J1749">
        <v>807787.0199999999</v>
      </c>
      <c r="K1749">
        <v>44892</v>
      </c>
      <c r="L1749">
        <f t="shared" si="163"/>
        <v>17.994008286554394</v>
      </c>
      <c r="M1749">
        <v>3741</v>
      </c>
      <c r="N1749" s="2">
        <f t="shared" si="168"/>
        <v>215.92809943865274</v>
      </c>
      <c r="O1749">
        <v>12</v>
      </c>
    </row>
    <row r="1750" spans="1:15" x14ac:dyDescent="0.25">
      <c r="A1750" t="s">
        <v>46</v>
      </c>
      <c r="B1750" t="s">
        <v>15</v>
      </c>
      <c r="C1750" t="s">
        <v>34</v>
      </c>
      <c r="D1750" t="str">
        <f t="shared" si="164"/>
        <v>FAB2_ Deslac Deslactosada 1 L</v>
      </c>
      <c r="E1750">
        <v>2023</v>
      </c>
      <c r="F1750">
        <v>5</v>
      </c>
      <c r="G1750">
        <f t="shared" si="165"/>
        <v>2</v>
      </c>
      <c r="H1750" s="1">
        <f t="shared" si="166"/>
        <v>44956</v>
      </c>
      <c r="I1750" s="1">
        <f t="shared" si="167"/>
        <v>44958</v>
      </c>
      <c r="J1750">
        <v>1000691.7099999998</v>
      </c>
      <c r="K1750">
        <v>54084</v>
      </c>
      <c r="L1750">
        <f t="shared" si="163"/>
        <v>18.502546224391683</v>
      </c>
      <c r="M1750">
        <v>4507</v>
      </c>
      <c r="N1750" s="2">
        <f t="shared" si="168"/>
        <v>222.03055469270021</v>
      </c>
      <c r="O1750">
        <v>12</v>
      </c>
    </row>
    <row r="1751" spans="1:15" x14ac:dyDescent="0.25">
      <c r="A1751" t="s">
        <v>46</v>
      </c>
      <c r="B1751" t="s">
        <v>15</v>
      </c>
      <c r="C1751" t="s">
        <v>34</v>
      </c>
      <c r="D1751" t="str">
        <f t="shared" si="164"/>
        <v>FAB2_ Deslac Deslactosada 1 L</v>
      </c>
      <c r="E1751">
        <v>2023</v>
      </c>
      <c r="F1751">
        <v>6</v>
      </c>
      <c r="G1751">
        <f t="shared" si="165"/>
        <v>2</v>
      </c>
      <c r="H1751" s="1">
        <f t="shared" si="166"/>
        <v>44963</v>
      </c>
      <c r="I1751" s="1">
        <f t="shared" si="167"/>
        <v>44958</v>
      </c>
      <c r="J1751">
        <v>869809.79000000015</v>
      </c>
      <c r="K1751">
        <v>47112</v>
      </c>
      <c r="L1751">
        <f t="shared" si="163"/>
        <v>18.462595304805571</v>
      </c>
      <c r="M1751">
        <v>3926</v>
      </c>
      <c r="N1751" s="2">
        <f t="shared" si="168"/>
        <v>221.55114365766687</v>
      </c>
      <c r="O1751">
        <v>12</v>
      </c>
    </row>
    <row r="1752" spans="1:15" x14ac:dyDescent="0.25">
      <c r="A1752" t="s">
        <v>46</v>
      </c>
      <c r="B1752" t="s">
        <v>15</v>
      </c>
      <c r="C1752" t="s">
        <v>34</v>
      </c>
      <c r="D1752" t="str">
        <f t="shared" si="164"/>
        <v>FAB2_ Deslac Deslactosada 1 L</v>
      </c>
      <c r="E1752">
        <v>2023</v>
      </c>
      <c r="F1752">
        <v>7</v>
      </c>
      <c r="G1752">
        <f t="shared" si="165"/>
        <v>2</v>
      </c>
      <c r="H1752" s="1">
        <f t="shared" si="166"/>
        <v>44970</v>
      </c>
      <c r="I1752" s="1">
        <f t="shared" si="167"/>
        <v>44958</v>
      </c>
      <c r="J1752">
        <v>1466183.8100000005</v>
      </c>
      <c r="K1752">
        <v>83796</v>
      </c>
      <c r="L1752">
        <f t="shared" si="163"/>
        <v>17.49706203160056</v>
      </c>
      <c r="M1752">
        <v>6983</v>
      </c>
      <c r="N1752" s="2">
        <f t="shared" si="168"/>
        <v>209.96474437920671</v>
      </c>
      <c r="O1752">
        <v>12</v>
      </c>
    </row>
    <row r="1753" spans="1:15" x14ac:dyDescent="0.25">
      <c r="A1753" t="s">
        <v>46</v>
      </c>
      <c r="B1753" t="s">
        <v>15</v>
      </c>
      <c r="C1753" t="s">
        <v>34</v>
      </c>
      <c r="D1753" t="str">
        <f t="shared" si="164"/>
        <v>FAB2_ Deslac Deslactosada 1 L</v>
      </c>
      <c r="E1753">
        <v>2023</v>
      </c>
      <c r="F1753">
        <v>8</v>
      </c>
      <c r="G1753">
        <f t="shared" si="165"/>
        <v>2</v>
      </c>
      <c r="H1753" s="1">
        <f t="shared" si="166"/>
        <v>44977</v>
      </c>
      <c r="I1753" s="1">
        <f t="shared" si="167"/>
        <v>44958</v>
      </c>
      <c r="J1753">
        <v>657834.36999999988</v>
      </c>
      <c r="K1753">
        <v>35136</v>
      </c>
      <c r="L1753">
        <f t="shared" si="163"/>
        <v>18.722517361111109</v>
      </c>
      <c r="M1753">
        <v>2928</v>
      </c>
      <c r="N1753" s="2">
        <f t="shared" si="168"/>
        <v>224.67020833333328</v>
      </c>
      <c r="O1753">
        <v>12</v>
      </c>
    </row>
    <row r="1754" spans="1:15" x14ac:dyDescent="0.25">
      <c r="A1754" t="s">
        <v>46</v>
      </c>
      <c r="B1754" t="s">
        <v>15</v>
      </c>
      <c r="C1754" t="s">
        <v>34</v>
      </c>
      <c r="D1754" t="str">
        <f t="shared" si="164"/>
        <v>FAB2_ Deslac Deslactosada 1 L</v>
      </c>
      <c r="E1754">
        <v>2023</v>
      </c>
      <c r="F1754">
        <v>9</v>
      </c>
      <c r="G1754">
        <f t="shared" si="165"/>
        <v>3</v>
      </c>
      <c r="H1754" s="1">
        <f t="shared" si="166"/>
        <v>44984</v>
      </c>
      <c r="I1754" s="1">
        <f t="shared" si="167"/>
        <v>44986</v>
      </c>
      <c r="J1754">
        <v>936935.28999999992</v>
      </c>
      <c r="K1754">
        <v>50460</v>
      </c>
      <c r="L1754">
        <f t="shared" si="163"/>
        <v>18.567881292112563</v>
      </c>
      <c r="M1754">
        <v>4205</v>
      </c>
      <c r="N1754" s="2">
        <f t="shared" si="168"/>
        <v>222.81457550535075</v>
      </c>
      <c r="O1754">
        <v>12</v>
      </c>
    </row>
    <row r="1755" spans="1:15" x14ac:dyDescent="0.25">
      <c r="A1755" t="s">
        <v>46</v>
      </c>
      <c r="B1755" t="s">
        <v>15</v>
      </c>
      <c r="C1755" t="s">
        <v>34</v>
      </c>
      <c r="D1755" t="str">
        <f t="shared" si="164"/>
        <v>FAB2_ Deslac Deslactosada 1 L</v>
      </c>
      <c r="E1755">
        <v>2023</v>
      </c>
      <c r="F1755">
        <v>10</v>
      </c>
      <c r="G1755">
        <f t="shared" si="165"/>
        <v>3</v>
      </c>
      <c r="H1755" s="1">
        <f t="shared" si="166"/>
        <v>44991</v>
      </c>
      <c r="I1755" s="1">
        <f t="shared" si="167"/>
        <v>44986</v>
      </c>
      <c r="J1755">
        <v>766063.5400000005</v>
      </c>
      <c r="K1755">
        <v>40668</v>
      </c>
      <c r="L1755">
        <f t="shared" si="163"/>
        <v>18.837010425887687</v>
      </c>
      <c r="M1755">
        <v>3389</v>
      </c>
      <c r="N1755" s="2">
        <f t="shared" si="168"/>
        <v>226.04412511065226</v>
      </c>
      <c r="O1755">
        <v>12</v>
      </c>
    </row>
    <row r="1756" spans="1:15" x14ac:dyDescent="0.25">
      <c r="A1756" t="s">
        <v>46</v>
      </c>
      <c r="B1756" t="s">
        <v>15</v>
      </c>
      <c r="C1756" t="s">
        <v>34</v>
      </c>
      <c r="D1756" t="str">
        <f t="shared" si="164"/>
        <v>FAB2_ Deslac Deslactosada 1 L</v>
      </c>
      <c r="E1756">
        <v>2023</v>
      </c>
      <c r="F1756">
        <v>11</v>
      </c>
      <c r="G1756">
        <f t="shared" si="165"/>
        <v>3</v>
      </c>
      <c r="H1756" s="1">
        <f t="shared" si="166"/>
        <v>44998</v>
      </c>
      <c r="I1756" s="1">
        <f t="shared" si="167"/>
        <v>44986</v>
      </c>
      <c r="J1756">
        <v>1076115.55</v>
      </c>
      <c r="K1756">
        <v>57444</v>
      </c>
      <c r="L1756">
        <f t="shared" si="163"/>
        <v>18.733297646403454</v>
      </c>
      <c r="M1756">
        <v>4787</v>
      </c>
      <c r="N1756" s="2">
        <f t="shared" si="168"/>
        <v>224.79957175684146</v>
      </c>
      <c r="O1756">
        <v>12</v>
      </c>
    </row>
    <row r="1757" spans="1:15" x14ac:dyDescent="0.25">
      <c r="A1757" t="s">
        <v>46</v>
      </c>
      <c r="B1757" t="s">
        <v>15</v>
      </c>
      <c r="C1757" t="s">
        <v>34</v>
      </c>
      <c r="D1757" t="str">
        <f t="shared" si="164"/>
        <v>FAB2_ Deslac Deslactosada 1 L</v>
      </c>
      <c r="E1757">
        <v>2023</v>
      </c>
      <c r="F1757">
        <v>12</v>
      </c>
      <c r="G1757">
        <f t="shared" si="165"/>
        <v>3</v>
      </c>
      <c r="H1757" s="1">
        <f t="shared" si="166"/>
        <v>45005</v>
      </c>
      <c r="I1757" s="1">
        <f t="shared" si="167"/>
        <v>44986</v>
      </c>
      <c r="J1757">
        <v>956197.70000000007</v>
      </c>
      <c r="K1757">
        <v>50748</v>
      </c>
      <c r="L1757">
        <f t="shared" si="163"/>
        <v>18.842076535035865</v>
      </c>
      <c r="M1757">
        <v>4229</v>
      </c>
      <c r="N1757" s="2">
        <f t="shared" si="168"/>
        <v>226.10491842043038</v>
      </c>
      <c r="O1757">
        <v>12</v>
      </c>
    </row>
    <row r="1758" spans="1:15" x14ac:dyDescent="0.25">
      <c r="A1758" t="s">
        <v>46</v>
      </c>
      <c r="B1758" t="s">
        <v>15</v>
      </c>
      <c r="C1758" t="s">
        <v>34</v>
      </c>
      <c r="D1758" t="str">
        <f t="shared" si="164"/>
        <v>FAB2_ Deslac Deslactosada 1 L</v>
      </c>
      <c r="E1758">
        <v>2023</v>
      </c>
      <c r="F1758">
        <v>13</v>
      </c>
      <c r="G1758">
        <f t="shared" si="165"/>
        <v>3</v>
      </c>
      <c r="H1758" s="1">
        <f t="shared" si="166"/>
        <v>45012</v>
      </c>
      <c r="I1758" s="1">
        <f t="shared" si="167"/>
        <v>44986</v>
      </c>
      <c r="J1758">
        <v>942368.50999999978</v>
      </c>
      <c r="K1758">
        <v>51612</v>
      </c>
      <c r="L1758">
        <f t="shared" si="163"/>
        <v>18.258709408664647</v>
      </c>
      <c r="M1758">
        <v>4301</v>
      </c>
      <c r="N1758" s="2">
        <f t="shared" si="168"/>
        <v>219.10451290397577</v>
      </c>
      <c r="O1758">
        <v>12</v>
      </c>
    </row>
    <row r="1759" spans="1:15" x14ac:dyDescent="0.25">
      <c r="A1759" t="s">
        <v>46</v>
      </c>
      <c r="B1759" t="s">
        <v>15</v>
      </c>
      <c r="C1759" t="s">
        <v>34</v>
      </c>
      <c r="D1759" t="str">
        <f t="shared" si="164"/>
        <v>FAB2_ Deslac Deslactosada 1 L</v>
      </c>
      <c r="E1759">
        <v>2023</v>
      </c>
      <c r="F1759">
        <v>14</v>
      </c>
      <c r="G1759">
        <f t="shared" si="165"/>
        <v>4</v>
      </c>
      <c r="H1759" s="1">
        <f t="shared" si="166"/>
        <v>45019</v>
      </c>
      <c r="I1759" s="1">
        <f t="shared" si="167"/>
        <v>45017</v>
      </c>
      <c r="J1759">
        <v>899575.96000000031</v>
      </c>
      <c r="K1759">
        <v>48492</v>
      </c>
      <c r="L1759">
        <f t="shared" si="163"/>
        <v>18.551017899859776</v>
      </c>
      <c r="M1759">
        <v>4041</v>
      </c>
      <c r="N1759" s="2">
        <f t="shared" si="168"/>
        <v>222.61221479831732</v>
      </c>
      <c r="O1759">
        <v>12</v>
      </c>
    </row>
    <row r="1760" spans="1:15" x14ac:dyDescent="0.25">
      <c r="A1760" t="s">
        <v>46</v>
      </c>
      <c r="B1760" t="s">
        <v>15</v>
      </c>
      <c r="C1760" t="s">
        <v>34</v>
      </c>
      <c r="D1760" t="str">
        <f t="shared" si="164"/>
        <v>FAB2_ Deslac Deslactosada 1 L</v>
      </c>
      <c r="E1760">
        <v>2023</v>
      </c>
      <c r="F1760">
        <v>15</v>
      </c>
      <c r="G1760">
        <f t="shared" si="165"/>
        <v>4</v>
      </c>
      <c r="H1760" s="1">
        <f t="shared" si="166"/>
        <v>45026</v>
      </c>
      <c r="I1760" s="1">
        <f t="shared" si="167"/>
        <v>45017</v>
      </c>
      <c r="J1760">
        <v>734391.1</v>
      </c>
      <c r="K1760">
        <v>40308</v>
      </c>
      <c r="L1760">
        <f t="shared" si="163"/>
        <v>18.219487446660711</v>
      </c>
      <c r="M1760">
        <v>3359</v>
      </c>
      <c r="N1760" s="2">
        <f t="shared" si="168"/>
        <v>218.63384935992855</v>
      </c>
      <c r="O1760">
        <v>12</v>
      </c>
    </row>
    <row r="1761" spans="1:15" x14ac:dyDescent="0.25">
      <c r="A1761" t="s">
        <v>46</v>
      </c>
      <c r="B1761" t="s">
        <v>15</v>
      </c>
      <c r="C1761" t="s">
        <v>34</v>
      </c>
      <c r="D1761" t="str">
        <f t="shared" si="164"/>
        <v>FAB2_ Deslac Deslactosada 1 L</v>
      </c>
      <c r="E1761">
        <v>2023</v>
      </c>
      <c r="F1761">
        <v>16</v>
      </c>
      <c r="G1761">
        <f t="shared" si="165"/>
        <v>4</v>
      </c>
      <c r="H1761" s="1">
        <f t="shared" si="166"/>
        <v>45033</v>
      </c>
      <c r="I1761" s="1">
        <f t="shared" si="167"/>
        <v>45017</v>
      </c>
      <c r="J1761">
        <v>895396.67999999982</v>
      </c>
      <c r="K1761">
        <v>49296</v>
      </c>
      <c r="L1761">
        <f t="shared" si="163"/>
        <v>18.163678188899706</v>
      </c>
      <c r="M1761">
        <v>4108</v>
      </c>
      <c r="N1761" s="2">
        <f t="shared" si="168"/>
        <v>217.96413826679645</v>
      </c>
      <c r="O1761">
        <v>12</v>
      </c>
    </row>
    <row r="1762" spans="1:15" x14ac:dyDescent="0.25">
      <c r="A1762" t="s">
        <v>46</v>
      </c>
      <c r="B1762" t="s">
        <v>15</v>
      </c>
      <c r="C1762" t="s">
        <v>34</v>
      </c>
      <c r="D1762" t="str">
        <f t="shared" si="164"/>
        <v>FAB2_ Deslac Deslactosada 1 L</v>
      </c>
      <c r="E1762">
        <v>2023</v>
      </c>
      <c r="F1762">
        <v>17</v>
      </c>
      <c r="G1762">
        <f t="shared" si="165"/>
        <v>4</v>
      </c>
      <c r="H1762" s="1">
        <f t="shared" si="166"/>
        <v>45040</v>
      </c>
      <c r="I1762" s="1">
        <f t="shared" si="167"/>
        <v>45017</v>
      </c>
      <c r="J1762">
        <v>1168306.9200000009</v>
      </c>
      <c r="K1762">
        <v>70176</v>
      </c>
      <c r="L1762">
        <f t="shared" si="163"/>
        <v>16.648240424076619</v>
      </c>
      <c r="M1762">
        <v>5848</v>
      </c>
      <c r="N1762" s="2">
        <f t="shared" si="168"/>
        <v>199.77888508891942</v>
      </c>
      <c r="O1762">
        <v>12</v>
      </c>
    </row>
    <row r="1763" spans="1:15" x14ac:dyDescent="0.25">
      <c r="A1763" t="s">
        <v>46</v>
      </c>
      <c r="B1763" t="s">
        <v>15</v>
      </c>
      <c r="C1763" t="s">
        <v>34</v>
      </c>
      <c r="D1763" t="str">
        <f t="shared" si="164"/>
        <v>FAB2_ Deslac Deslactosada 1 L</v>
      </c>
      <c r="E1763">
        <v>2023</v>
      </c>
      <c r="F1763">
        <v>18</v>
      </c>
      <c r="G1763">
        <f t="shared" si="165"/>
        <v>5</v>
      </c>
      <c r="H1763" s="1">
        <f t="shared" si="166"/>
        <v>45047</v>
      </c>
      <c r="I1763" s="1">
        <f t="shared" si="167"/>
        <v>45047</v>
      </c>
      <c r="J1763">
        <v>1107789.1800000004</v>
      </c>
      <c r="K1763">
        <v>63960</v>
      </c>
      <c r="L1763">
        <f t="shared" si="163"/>
        <v>17.320030956848036</v>
      </c>
      <c r="M1763">
        <v>5330</v>
      </c>
      <c r="N1763" s="2">
        <f t="shared" si="168"/>
        <v>207.84037148217644</v>
      </c>
      <c r="O1763">
        <v>12</v>
      </c>
    </row>
    <row r="1764" spans="1:15" x14ac:dyDescent="0.25">
      <c r="A1764" t="s">
        <v>46</v>
      </c>
      <c r="B1764" t="s">
        <v>15</v>
      </c>
      <c r="C1764" t="s">
        <v>34</v>
      </c>
      <c r="D1764" t="str">
        <f t="shared" si="164"/>
        <v>FAB2_ Deslac Deslactosada 1 L</v>
      </c>
      <c r="E1764">
        <v>2023</v>
      </c>
      <c r="F1764">
        <v>19</v>
      </c>
      <c r="G1764">
        <f t="shared" si="165"/>
        <v>5</v>
      </c>
      <c r="H1764" s="1">
        <f t="shared" si="166"/>
        <v>45054</v>
      </c>
      <c r="I1764" s="1">
        <f t="shared" si="167"/>
        <v>45047</v>
      </c>
      <c r="J1764">
        <v>732658.92000000016</v>
      </c>
      <c r="K1764">
        <v>42408</v>
      </c>
      <c r="L1764">
        <f t="shared" si="163"/>
        <v>17.276431805319756</v>
      </c>
      <c r="M1764">
        <v>3534</v>
      </c>
      <c r="N1764" s="2">
        <f t="shared" si="168"/>
        <v>207.31718166383706</v>
      </c>
      <c r="O1764">
        <v>12</v>
      </c>
    </row>
    <row r="1765" spans="1:15" x14ac:dyDescent="0.25">
      <c r="A1765" t="s">
        <v>46</v>
      </c>
      <c r="B1765" t="s">
        <v>15</v>
      </c>
      <c r="C1765" t="s">
        <v>34</v>
      </c>
      <c r="D1765" t="str">
        <f t="shared" si="164"/>
        <v>FAB2_ Deslac Deslactosada 1 L</v>
      </c>
      <c r="E1765">
        <v>2023</v>
      </c>
      <c r="F1765">
        <v>20</v>
      </c>
      <c r="G1765">
        <f t="shared" si="165"/>
        <v>5</v>
      </c>
      <c r="H1765" s="1">
        <f t="shared" si="166"/>
        <v>45061</v>
      </c>
      <c r="I1765" s="1">
        <f t="shared" si="167"/>
        <v>45047</v>
      </c>
      <c r="J1765">
        <v>933687.6100000001</v>
      </c>
      <c r="K1765">
        <v>55308</v>
      </c>
      <c r="L1765">
        <f t="shared" si="163"/>
        <v>16.881601395819775</v>
      </c>
      <c r="M1765">
        <v>4609</v>
      </c>
      <c r="N1765" s="2">
        <f t="shared" si="168"/>
        <v>202.57921674983729</v>
      </c>
      <c r="O1765">
        <v>12</v>
      </c>
    </row>
    <row r="1766" spans="1:15" x14ac:dyDescent="0.25">
      <c r="A1766" t="s">
        <v>46</v>
      </c>
      <c r="B1766" t="s">
        <v>15</v>
      </c>
      <c r="C1766" t="s">
        <v>34</v>
      </c>
      <c r="D1766" t="str">
        <f t="shared" si="164"/>
        <v>FAB2_ Deslac Deslactosada 1 L</v>
      </c>
      <c r="E1766">
        <v>2023</v>
      </c>
      <c r="F1766">
        <v>21</v>
      </c>
      <c r="G1766">
        <f t="shared" si="165"/>
        <v>5</v>
      </c>
      <c r="H1766" s="1">
        <f t="shared" si="166"/>
        <v>45068</v>
      </c>
      <c r="I1766" s="1">
        <f t="shared" si="167"/>
        <v>45047</v>
      </c>
      <c r="J1766">
        <v>827090.81999999972</v>
      </c>
      <c r="K1766">
        <v>46392</v>
      </c>
      <c r="L1766">
        <f t="shared" si="163"/>
        <v>17.828307035695804</v>
      </c>
      <c r="M1766">
        <v>3866</v>
      </c>
      <c r="N1766" s="2">
        <f t="shared" si="168"/>
        <v>213.93968442834964</v>
      </c>
      <c r="O1766">
        <v>12</v>
      </c>
    </row>
    <row r="1767" spans="1:15" x14ac:dyDescent="0.25">
      <c r="A1767" t="s">
        <v>46</v>
      </c>
      <c r="B1767" t="s">
        <v>15</v>
      </c>
      <c r="C1767" t="s">
        <v>34</v>
      </c>
      <c r="D1767" t="str">
        <f t="shared" si="164"/>
        <v>FAB2_ Deslac Deslactosada 1 L</v>
      </c>
      <c r="E1767">
        <v>2023</v>
      </c>
      <c r="F1767">
        <v>22</v>
      </c>
      <c r="G1767">
        <f t="shared" si="165"/>
        <v>6</v>
      </c>
      <c r="H1767" s="1">
        <f t="shared" si="166"/>
        <v>45075</v>
      </c>
      <c r="I1767" s="1">
        <f t="shared" si="167"/>
        <v>45078</v>
      </c>
      <c r="J1767">
        <v>955565.39000000036</v>
      </c>
      <c r="K1767">
        <v>50832</v>
      </c>
      <c r="L1767">
        <f t="shared" si="163"/>
        <v>18.798500747560599</v>
      </c>
      <c r="M1767">
        <v>4236</v>
      </c>
      <c r="N1767" s="2">
        <f t="shared" si="168"/>
        <v>225.58200897072717</v>
      </c>
      <c r="O1767">
        <v>12</v>
      </c>
    </row>
    <row r="1768" spans="1:15" x14ac:dyDescent="0.25">
      <c r="A1768" t="s">
        <v>46</v>
      </c>
      <c r="B1768" t="s">
        <v>15</v>
      </c>
      <c r="C1768" t="s">
        <v>34</v>
      </c>
      <c r="D1768" t="str">
        <f t="shared" si="164"/>
        <v>FAB2_ Deslac Deslactosada 1 L</v>
      </c>
      <c r="E1768">
        <v>2023</v>
      </c>
      <c r="F1768">
        <v>23</v>
      </c>
      <c r="G1768">
        <f t="shared" si="165"/>
        <v>6</v>
      </c>
      <c r="H1768" s="1">
        <f t="shared" si="166"/>
        <v>45082</v>
      </c>
      <c r="I1768" s="1">
        <f t="shared" si="167"/>
        <v>45078</v>
      </c>
      <c r="J1768">
        <v>955146.87</v>
      </c>
      <c r="K1768">
        <v>50808</v>
      </c>
      <c r="L1768">
        <f t="shared" si="163"/>
        <v>18.799143245158241</v>
      </c>
      <c r="M1768">
        <v>4234</v>
      </c>
      <c r="N1768" s="2">
        <f t="shared" si="168"/>
        <v>225.58971894189892</v>
      </c>
      <c r="O1768">
        <v>12</v>
      </c>
    </row>
    <row r="1769" spans="1:15" x14ac:dyDescent="0.25">
      <c r="A1769" t="s">
        <v>46</v>
      </c>
      <c r="B1769" t="s">
        <v>15</v>
      </c>
      <c r="C1769" t="s">
        <v>34</v>
      </c>
      <c r="D1769" t="str">
        <f t="shared" si="164"/>
        <v>FAB2_ Deslac Deslactosada 1 L</v>
      </c>
      <c r="E1769">
        <v>2023</v>
      </c>
      <c r="F1769">
        <v>24</v>
      </c>
      <c r="G1769">
        <f t="shared" si="165"/>
        <v>6</v>
      </c>
      <c r="H1769" s="1">
        <f t="shared" si="166"/>
        <v>45089</v>
      </c>
      <c r="I1769" s="1">
        <f t="shared" si="167"/>
        <v>45078</v>
      </c>
      <c r="J1769">
        <v>990308.61</v>
      </c>
      <c r="K1769">
        <v>58128</v>
      </c>
      <c r="L1769">
        <f t="shared" si="163"/>
        <v>17.036688170933115</v>
      </c>
      <c r="M1769">
        <v>4844</v>
      </c>
      <c r="N1769" s="2">
        <f t="shared" si="168"/>
        <v>204.44025805119736</v>
      </c>
      <c r="O1769">
        <v>12</v>
      </c>
    </row>
    <row r="1770" spans="1:15" x14ac:dyDescent="0.25">
      <c r="A1770" t="s">
        <v>46</v>
      </c>
      <c r="B1770" t="s">
        <v>15</v>
      </c>
      <c r="C1770" t="s">
        <v>34</v>
      </c>
      <c r="D1770" t="str">
        <f t="shared" si="164"/>
        <v>FAB2_ Deslac Deslactosada 1 L</v>
      </c>
      <c r="E1770">
        <v>2023</v>
      </c>
      <c r="F1770">
        <v>25</v>
      </c>
      <c r="G1770">
        <f t="shared" si="165"/>
        <v>6</v>
      </c>
      <c r="H1770" s="1">
        <f t="shared" si="166"/>
        <v>45096</v>
      </c>
      <c r="I1770" s="1">
        <f t="shared" si="167"/>
        <v>45078</v>
      </c>
      <c r="J1770">
        <v>832186.19999999949</v>
      </c>
      <c r="K1770">
        <v>48468</v>
      </c>
      <c r="L1770">
        <f t="shared" si="163"/>
        <v>17.169806882891795</v>
      </c>
      <c r="M1770">
        <v>4039</v>
      </c>
      <c r="N1770" s="2">
        <f t="shared" si="168"/>
        <v>206.03768259470152</v>
      </c>
      <c r="O1770">
        <v>12</v>
      </c>
    </row>
    <row r="1771" spans="1:15" x14ac:dyDescent="0.25">
      <c r="A1771" t="s">
        <v>46</v>
      </c>
      <c r="B1771" t="s">
        <v>15</v>
      </c>
      <c r="C1771" t="s">
        <v>34</v>
      </c>
      <c r="D1771" t="str">
        <f t="shared" si="164"/>
        <v>FAB2_ Deslac Deslactosada 1 L</v>
      </c>
      <c r="E1771">
        <v>2023</v>
      </c>
      <c r="F1771">
        <v>26</v>
      </c>
      <c r="G1771">
        <f t="shared" si="165"/>
        <v>6</v>
      </c>
      <c r="H1771" s="1">
        <f t="shared" si="166"/>
        <v>45103</v>
      </c>
      <c r="I1771" s="1">
        <f t="shared" si="167"/>
        <v>45078</v>
      </c>
      <c r="J1771">
        <v>880842.28000000014</v>
      </c>
      <c r="K1771">
        <v>53376</v>
      </c>
      <c r="L1771">
        <f t="shared" si="163"/>
        <v>16.502590677458038</v>
      </c>
      <c r="M1771">
        <v>4448</v>
      </c>
      <c r="N1771" s="2">
        <f t="shared" si="168"/>
        <v>198.03108812949642</v>
      </c>
      <c r="O1771">
        <v>12</v>
      </c>
    </row>
    <row r="1772" spans="1:15" x14ac:dyDescent="0.25">
      <c r="A1772" t="s">
        <v>46</v>
      </c>
      <c r="B1772" t="s">
        <v>15</v>
      </c>
      <c r="C1772" t="s">
        <v>34</v>
      </c>
      <c r="D1772" t="str">
        <f t="shared" si="164"/>
        <v>FAB2_ Deslac Deslactosada 1 L</v>
      </c>
      <c r="E1772">
        <v>2023</v>
      </c>
      <c r="F1772">
        <v>27</v>
      </c>
      <c r="G1772">
        <f t="shared" si="165"/>
        <v>7</v>
      </c>
      <c r="H1772" s="1">
        <f t="shared" si="166"/>
        <v>45110</v>
      </c>
      <c r="I1772" s="1">
        <f t="shared" si="167"/>
        <v>45108</v>
      </c>
      <c r="J1772">
        <v>1076249.7899999993</v>
      </c>
      <c r="K1772">
        <v>63900</v>
      </c>
      <c r="L1772">
        <f t="shared" si="163"/>
        <v>16.842719718309848</v>
      </c>
      <c r="M1772">
        <v>5325</v>
      </c>
      <c r="N1772" s="2">
        <f t="shared" si="168"/>
        <v>202.11263661971819</v>
      </c>
      <c r="O1772">
        <v>12</v>
      </c>
    </row>
    <row r="1773" spans="1:15" x14ac:dyDescent="0.25">
      <c r="A1773" t="s">
        <v>46</v>
      </c>
      <c r="B1773" t="s">
        <v>15</v>
      </c>
      <c r="C1773" t="s">
        <v>34</v>
      </c>
      <c r="D1773" t="str">
        <f t="shared" si="164"/>
        <v>FAB2_ Deslac Deslactosada 1 L</v>
      </c>
      <c r="E1773">
        <v>2023</v>
      </c>
      <c r="F1773">
        <v>28</v>
      </c>
      <c r="G1773">
        <f t="shared" si="165"/>
        <v>7</v>
      </c>
      <c r="H1773" s="1">
        <f t="shared" si="166"/>
        <v>45117</v>
      </c>
      <c r="I1773" s="1">
        <f t="shared" si="167"/>
        <v>45108</v>
      </c>
      <c r="J1773">
        <v>720486.02999999956</v>
      </c>
      <c r="K1773">
        <v>38172</v>
      </c>
      <c r="L1773">
        <f t="shared" si="163"/>
        <v>18.874725715183892</v>
      </c>
      <c r="M1773">
        <v>3181</v>
      </c>
      <c r="N1773" s="2">
        <f t="shared" si="168"/>
        <v>226.49670858220671</v>
      </c>
      <c r="O1773">
        <v>12</v>
      </c>
    </row>
    <row r="1774" spans="1:15" x14ac:dyDescent="0.25">
      <c r="A1774" t="s">
        <v>46</v>
      </c>
      <c r="B1774" t="s">
        <v>15</v>
      </c>
      <c r="C1774" t="s">
        <v>34</v>
      </c>
      <c r="D1774" t="str">
        <f t="shared" si="164"/>
        <v>FAB2_ Deslac Deslactosada 1 L</v>
      </c>
      <c r="E1774">
        <v>2023</v>
      </c>
      <c r="F1774">
        <v>29</v>
      </c>
      <c r="G1774">
        <f t="shared" si="165"/>
        <v>7</v>
      </c>
      <c r="H1774" s="1">
        <f t="shared" si="166"/>
        <v>45124</v>
      </c>
      <c r="I1774" s="1">
        <f t="shared" si="167"/>
        <v>45108</v>
      </c>
      <c r="J1774">
        <v>975742.62999999954</v>
      </c>
      <c r="K1774">
        <v>55752</v>
      </c>
      <c r="L1774">
        <f t="shared" si="163"/>
        <v>17.501482099296879</v>
      </c>
      <c r="M1774">
        <v>4646</v>
      </c>
      <c r="N1774" s="2">
        <f t="shared" si="168"/>
        <v>210.01778519156252</v>
      </c>
      <c r="O1774">
        <v>12</v>
      </c>
    </row>
    <row r="1775" spans="1:15" x14ac:dyDescent="0.25">
      <c r="A1775" t="s">
        <v>46</v>
      </c>
      <c r="B1775" t="s">
        <v>15</v>
      </c>
      <c r="C1775" t="s">
        <v>34</v>
      </c>
      <c r="D1775" t="str">
        <f t="shared" si="164"/>
        <v>FAB2_ Deslac Deslactosada 1 L</v>
      </c>
      <c r="E1775">
        <v>2023</v>
      </c>
      <c r="F1775">
        <v>30</v>
      </c>
      <c r="G1775">
        <f t="shared" si="165"/>
        <v>7</v>
      </c>
      <c r="H1775" s="1">
        <f t="shared" si="166"/>
        <v>45131</v>
      </c>
      <c r="I1775" s="1">
        <f t="shared" si="167"/>
        <v>45108</v>
      </c>
      <c r="J1775">
        <v>741852.14999999979</v>
      </c>
      <c r="K1775">
        <v>41052</v>
      </c>
      <c r="L1775">
        <f t="shared" si="163"/>
        <v>18.071035515931008</v>
      </c>
      <c r="M1775">
        <v>3421</v>
      </c>
      <c r="N1775" s="2">
        <f t="shared" si="168"/>
        <v>216.8524261911721</v>
      </c>
      <c r="O1775">
        <v>12</v>
      </c>
    </row>
    <row r="1776" spans="1:15" x14ac:dyDescent="0.25">
      <c r="A1776" t="s">
        <v>46</v>
      </c>
      <c r="B1776" t="s">
        <v>15</v>
      </c>
      <c r="C1776" t="s">
        <v>34</v>
      </c>
      <c r="D1776" t="str">
        <f t="shared" si="164"/>
        <v>FAB2_ Deslac Deslactosada 1 L</v>
      </c>
      <c r="E1776">
        <v>2023</v>
      </c>
      <c r="F1776">
        <v>31</v>
      </c>
      <c r="G1776">
        <f t="shared" si="165"/>
        <v>8</v>
      </c>
      <c r="H1776" s="1">
        <f t="shared" si="166"/>
        <v>45138</v>
      </c>
      <c r="I1776" s="1">
        <f t="shared" si="167"/>
        <v>45139</v>
      </c>
      <c r="J1776">
        <v>940972.10999999964</v>
      </c>
      <c r="K1776">
        <v>48624</v>
      </c>
      <c r="L1776">
        <f t="shared" si="163"/>
        <v>19.352009501480744</v>
      </c>
      <c r="M1776">
        <v>4052</v>
      </c>
      <c r="N1776" s="2">
        <f t="shared" si="168"/>
        <v>232.22411401776893</v>
      </c>
      <c r="O1776">
        <v>12</v>
      </c>
    </row>
    <row r="1777" spans="1:15" x14ac:dyDescent="0.25">
      <c r="A1777" t="s">
        <v>46</v>
      </c>
      <c r="B1777" t="s">
        <v>15</v>
      </c>
      <c r="C1777" t="s">
        <v>34</v>
      </c>
      <c r="D1777" t="str">
        <f t="shared" si="164"/>
        <v>FAB2_ Deslac Deslactosada 1 L</v>
      </c>
      <c r="E1777">
        <v>2023</v>
      </c>
      <c r="F1777">
        <v>32</v>
      </c>
      <c r="G1777">
        <f t="shared" si="165"/>
        <v>8</v>
      </c>
      <c r="H1777" s="1">
        <f t="shared" si="166"/>
        <v>45145</v>
      </c>
      <c r="I1777" s="1">
        <f t="shared" si="167"/>
        <v>45139</v>
      </c>
      <c r="J1777">
        <v>740308.99999999977</v>
      </c>
      <c r="K1777">
        <v>36468</v>
      </c>
      <c r="L1777">
        <f t="shared" si="163"/>
        <v>20.300235823187446</v>
      </c>
      <c r="M1777">
        <v>3039</v>
      </c>
      <c r="N1777" s="2">
        <f t="shared" si="168"/>
        <v>243.60282987824934</v>
      </c>
      <c r="O1777">
        <v>12</v>
      </c>
    </row>
    <row r="1778" spans="1:15" x14ac:dyDescent="0.25">
      <c r="A1778" t="s">
        <v>46</v>
      </c>
      <c r="B1778" t="s">
        <v>15</v>
      </c>
      <c r="C1778" t="s">
        <v>34</v>
      </c>
      <c r="D1778" t="str">
        <f t="shared" si="164"/>
        <v>FAB2_ Deslac Deslactosada 1 L</v>
      </c>
      <c r="E1778">
        <v>2023</v>
      </c>
      <c r="F1778">
        <v>33</v>
      </c>
      <c r="G1778">
        <f t="shared" si="165"/>
        <v>8</v>
      </c>
      <c r="H1778" s="1">
        <f t="shared" si="166"/>
        <v>45152</v>
      </c>
      <c r="I1778" s="1">
        <f t="shared" si="167"/>
        <v>45139</v>
      </c>
      <c r="J1778">
        <v>959827.68999999948</v>
      </c>
      <c r="K1778">
        <v>49140</v>
      </c>
      <c r="L1778">
        <f t="shared" si="163"/>
        <v>19.532513024013014</v>
      </c>
      <c r="M1778">
        <v>4095</v>
      </c>
      <c r="N1778" s="2">
        <f t="shared" si="168"/>
        <v>234.39015628815616</v>
      </c>
      <c r="O1778">
        <v>12</v>
      </c>
    </row>
    <row r="1779" spans="1:15" x14ac:dyDescent="0.25">
      <c r="A1779" t="s">
        <v>46</v>
      </c>
      <c r="B1779" t="s">
        <v>15</v>
      </c>
      <c r="C1779" t="s">
        <v>34</v>
      </c>
      <c r="D1779" t="str">
        <f t="shared" si="164"/>
        <v>FAB2_ Deslac Deslactosada 1 L</v>
      </c>
      <c r="E1779">
        <v>2023</v>
      </c>
      <c r="F1779">
        <v>34</v>
      </c>
      <c r="G1779">
        <f t="shared" si="165"/>
        <v>8</v>
      </c>
      <c r="H1779" s="1">
        <f t="shared" si="166"/>
        <v>45159</v>
      </c>
      <c r="I1779" s="1">
        <f t="shared" si="167"/>
        <v>45139</v>
      </c>
      <c r="J1779">
        <v>918706.23999999964</v>
      </c>
      <c r="K1779">
        <v>48300</v>
      </c>
      <c r="L1779">
        <f t="shared" si="163"/>
        <v>19.02083312629399</v>
      </c>
      <c r="M1779">
        <v>4025</v>
      </c>
      <c r="N1779" s="2">
        <f t="shared" si="168"/>
        <v>228.24999751552787</v>
      </c>
      <c r="O1779">
        <v>12</v>
      </c>
    </row>
    <row r="1780" spans="1:15" x14ac:dyDescent="0.25">
      <c r="A1780" t="s">
        <v>46</v>
      </c>
      <c r="B1780" t="s">
        <v>15</v>
      </c>
      <c r="C1780" t="s">
        <v>34</v>
      </c>
      <c r="D1780" t="str">
        <f t="shared" si="164"/>
        <v>FAB2_ Deslac Deslactosada 1 L</v>
      </c>
      <c r="E1780">
        <v>2023</v>
      </c>
      <c r="F1780">
        <v>35</v>
      </c>
      <c r="G1780">
        <f t="shared" si="165"/>
        <v>8</v>
      </c>
      <c r="H1780" s="1">
        <f t="shared" si="166"/>
        <v>45166</v>
      </c>
      <c r="I1780" s="1">
        <f t="shared" si="167"/>
        <v>45139</v>
      </c>
      <c r="J1780">
        <v>776354.31999999972</v>
      </c>
      <c r="K1780">
        <v>38232</v>
      </c>
      <c r="L1780">
        <f t="shared" si="163"/>
        <v>20.306400920694699</v>
      </c>
      <c r="M1780">
        <v>3186</v>
      </c>
      <c r="N1780" s="2">
        <f t="shared" si="168"/>
        <v>243.67681104833639</v>
      </c>
      <c r="O1780">
        <v>12</v>
      </c>
    </row>
    <row r="1781" spans="1:15" x14ac:dyDescent="0.25">
      <c r="A1781" t="s">
        <v>46</v>
      </c>
      <c r="B1781" t="s">
        <v>15</v>
      </c>
      <c r="C1781" t="s">
        <v>34</v>
      </c>
      <c r="D1781" t="str">
        <f t="shared" si="164"/>
        <v>FAB2_ Deslac Deslactosada 1 L</v>
      </c>
      <c r="E1781">
        <v>2023</v>
      </c>
      <c r="F1781">
        <v>36</v>
      </c>
      <c r="G1781">
        <f t="shared" si="165"/>
        <v>9</v>
      </c>
      <c r="H1781" s="1">
        <f t="shared" si="166"/>
        <v>45173</v>
      </c>
      <c r="I1781" s="1">
        <f t="shared" si="167"/>
        <v>45170</v>
      </c>
      <c r="J1781">
        <v>838404.48999999976</v>
      </c>
      <c r="K1781">
        <v>41016</v>
      </c>
      <c r="L1781">
        <f t="shared" si="163"/>
        <v>20.440913058318699</v>
      </c>
      <c r="M1781">
        <v>3418</v>
      </c>
      <c r="N1781" s="2">
        <f t="shared" si="168"/>
        <v>245.29095669982439</v>
      </c>
      <c r="O1781">
        <v>12</v>
      </c>
    </row>
    <row r="1782" spans="1:15" x14ac:dyDescent="0.25">
      <c r="A1782" t="s">
        <v>46</v>
      </c>
      <c r="B1782" t="s">
        <v>15</v>
      </c>
      <c r="C1782" t="s">
        <v>34</v>
      </c>
      <c r="D1782" t="str">
        <f t="shared" si="164"/>
        <v>FAB2_ Deslac Deslactosada 1 L</v>
      </c>
      <c r="E1782">
        <v>2023</v>
      </c>
      <c r="F1782">
        <v>37</v>
      </c>
      <c r="G1782">
        <f t="shared" si="165"/>
        <v>9</v>
      </c>
      <c r="H1782" s="1">
        <f t="shared" si="166"/>
        <v>45180</v>
      </c>
      <c r="I1782" s="1">
        <f t="shared" si="167"/>
        <v>45170</v>
      </c>
      <c r="J1782">
        <v>950330.39999999932</v>
      </c>
      <c r="K1782">
        <v>48972</v>
      </c>
      <c r="L1782">
        <f t="shared" si="163"/>
        <v>19.40558686596421</v>
      </c>
      <c r="M1782">
        <v>4081</v>
      </c>
      <c r="N1782" s="2">
        <f t="shared" si="168"/>
        <v>232.86704239157052</v>
      </c>
      <c r="O1782">
        <v>12</v>
      </c>
    </row>
    <row r="1783" spans="1:15" x14ac:dyDescent="0.25">
      <c r="A1783" t="s">
        <v>46</v>
      </c>
      <c r="B1783" t="s">
        <v>15</v>
      </c>
      <c r="C1783" t="s">
        <v>34</v>
      </c>
      <c r="D1783" t="str">
        <f t="shared" si="164"/>
        <v>FAB2_ Deslac Deslactosada 1 L</v>
      </c>
      <c r="E1783">
        <v>2023</v>
      </c>
      <c r="F1783">
        <v>38</v>
      </c>
      <c r="G1783">
        <f t="shared" si="165"/>
        <v>9</v>
      </c>
      <c r="H1783" s="1">
        <f t="shared" si="166"/>
        <v>45187</v>
      </c>
      <c r="I1783" s="1">
        <f t="shared" si="167"/>
        <v>45170</v>
      </c>
      <c r="J1783">
        <v>1157658.5299999998</v>
      </c>
      <c r="K1783">
        <v>59616</v>
      </c>
      <c r="L1783">
        <f t="shared" si="163"/>
        <v>19.418587795222756</v>
      </c>
      <c r="M1783">
        <v>4968</v>
      </c>
      <c r="N1783" s="2">
        <f t="shared" si="168"/>
        <v>233.02305354267307</v>
      </c>
      <c r="O1783">
        <v>12</v>
      </c>
    </row>
    <row r="1784" spans="1:15" x14ac:dyDescent="0.25">
      <c r="A1784" t="s">
        <v>46</v>
      </c>
      <c r="B1784" t="s">
        <v>15</v>
      </c>
      <c r="C1784" t="s">
        <v>34</v>
      </c>
      <c r="D1784" t="str">
        <f t="shared" si="164"/>
        <v>FAB2_ Deslac Deslactosada 1 L</v>
      </c>
      <c r="E1784">
        <v>2023</v>
      </c>
      <c r="F1784">
        <v>39</v>
      </c>
      <c r="G1784">
        <f t="shared" si="165"/>
        <v>9</v>
      </c>
      <c r="H1784" s="1">
        <f t="shared" si="166"/>
        <v>45194</v>
      </c>
      <c r="I1784" s="1">
        <f t="shared" si="167"/>
        <v>45170</v>
      </c>
      <c r="J1784">
        <v>838395.55999999924</v>
      </c>
      <c r="K1784">
        <v>42144</v>
      </c>
      <c r="L1784">
        <f t="shared" si="163"/>
        <v>19.893592444950627</v>
      </c>
      <c r="M1784">
        <v>3512</v>
      </c>
      <c r="N1784" s="2">
        <f t="shared" si="168"/>
        <v>238.72310933940753</v>
      </c>
      <c r="O1784">
        <v>12</v>
      </c>
    </row>
    <row r="1785" spans="1:15" x14ac:dyDescent="0.25">
      <c r="A1785" t="s">
        <v>46</v>
      </c>
      <c r="B1785" t="s">
        <v>15</v>
      </c>
      <c r="C1785" t="s">
        <v>34</v>
      </c>
      <c r="D1785" t="str">
        <f t="shared" si="164"/>
        <v>FAB2_ Deslac Deslactosada 1 L</v>
      </c>
      <c r="E1785">
        <v>2023</v>
      </c>
      <c r="F1785">
        <v>40</v>
      </c>
      <c r="G1785">
        <f t="shared" si="165"/>
        <v>10</v>
      </c>
      <c r="H1785" s="1">
        <f t="shared" si="166"/>
        <v>45201</v>
      </c>
      <c r="I1785" s="1">
        <f t="shared" si="167"/>
        <v>45200</v>
      </c>
      <c r="J1785">
        <v>1023732.2299999996</v>
      </c>
      <c r="K1785">
        <v>51180</v>
      </c>
      <c r="L1785">
        <f t="shared" si="163"/>
        <v>20.002583626416563</v>
      </c>
      <c r="M1785">
        <v>4265</v>
      </c>
      <c r="N1785" s="2">
        <f t="shared" si="168"/>
        <v>240.03100351699874</v>
      </c>
      <c r="O1785">
        <v>12</v>
      </c>
    </row>
    <row r="1786" spans="1:15" x14ac:dyDescent="0.25">
      <c r="A1786" t="s">
        <v>46</v>
      </c>
      <c r="B1786" t="s">
        <v>15</v>
      </c>
      <c r="C1786" t="s">
        <v>34</v>
      </c>
      <c r="D1786" t="str">
        <f t="shared" si="164"/>
        <v>FAB2_ Deslac Deslactosada 1 L</v>
      </c>
      <c r="E1786">
        <v>2023</v>
      </c>
      <c r="F1786">
        <v>41</v>
      </c>
      <c r="G1786">
        <f t="shared" si="165"/>
        <v>10</v>
      </c>
      <c r="H1786" s="1">
        <f t="shared" si="166"/>
        <v>45208</v>
      </c>
      <c r="I1786" s="1">
        <f t="shared" si="167"/>
        <v>45200</v>
      </c>
      <c r="J1786">
        <v>1021060.9499999994</v>
      </c>
      <c r="K1786">
        <v>51924</v>
      </c>
      <c r="L1786">
        <f t="shared" si="163"/>
        <v>19.664527963947297</v>
      </c>
      <c r="M1786">
        <v>4327</v>
      </c>
      <c r="N1786" s="2">
        <f t="shared" si="168"/>
        <v>235.97433556736755</v>
      </c>
      <c r="O1786">
        <v>12</v>
      </c>
    </row>
    <row r="1787" spans="1:15" x14ac:dyDescent="0.25">
      <c r="A1787" t="s">
        <v>46</v>
      </c>
      <c r="B1787" t="s">
        <v>15</v>
      </c>
      <c r="C1787" t="s">
        <v>34</v>
      </c>
      <c r="D1787" t="str">
        <f t="shared" si="164"/>
        <v>FAB2_ Deslac Deslactosada 1 L</v>
      </c>
      <c r="E1787">
        <v>2023</v>
      </c>
      <c r="F1787">
        <v>42</v>
      </c>
      <c r="G1787">
        <f t="shared" si="165"/>
        <v>10</v>
      </c>
      <c r="H1787" s="1">
        <f t="shared" si="166"/>
        <v>45215</v>
      </c>
      <c r="I1787" s="1">
        <f t="shared" si="167"/>
        <v>45200</v>
      </c>
      <c r="J1787">
        <v>1375657.9800000007</v>
      </c>
      <c r="K1787">
        <v>72456</v>
      </c>
      <c r="L1787">
        <f t="shared" si="163"/>
        <v>18.986115435574703</v>
      </c>
      <c r="M1787">
        <v>6038</v>
      </c>
      <c r="N1787" s="2">
        <f t="shared" si="168"/>
        <v>227.83338522689644</v>
      </c>
      <c r="O1787">
        <v>12</v>
      </c>
    </row>
    <row r="1788" spans="1:15" x14ac:dyDescent="0.25">
      <c r="A1788" t="s">
        <v>46</v>
      </c>
      <c r="B1788" t="s">
        <v>15</v>
      </c>
      <c r="C1788" t="s">
        <v>34</v>
      </c>
      <c r="D1788" t="str">
        <f t="shared" si="164"/>
        <v>FAB2_ Deslac Deslactosada 1 L</v>
      </c>
      <c r="E1788">
        <v>2023</v>
      </c>
      <c r="F1788">
        <v>43</v>
      </c>
      <c r="G1788">
        <f t="shared" si="165"/>
        <v>10</v>
      </c>
      <c r="H1788" s="1">
        <f t="shared" si="166"/>
        <v>45222</v>
      </c>
      <c r="I1788" s="1">
        <f t="shared" si="167"/>
        <v>45200</v>
      </c>
      <c r="J1788">
        <v>883715.80999999959</v>
      </c>
      <c r="K1788">
        <v>45984</v>
      </c>
      <c r="L1788">
        <f t="shared" si="163"/>
        <v>19.217897747042439</v>
      </c>
      <c r="M1788">
        <v>3832</v>
      </c>
      <c r="N1788" s="2">
        <f t="shared" si="168"/>
        <v>230.61477296450929</v>
      </c>
      <c r="O1788">
        <v>12</v>
      </c>
    </row>
    <row r="1789" spans="1:15" x14ac:dyDescent="0.25">
      <c r="A1789" t="s">
        <v>46</v>
      </c>
      <c r="B1789" t="s">
        <v>15</v>
      </c>
      <c r="C1789" t="s">
        <v>34</v>
      </c>
      <c r="D1789" t="str">
        <f t="shared" si="164"/>
        <v>FAB2_ Deslac Deslactosada 1 L</v>
      </c>
      <c r="E1789">
        <v>2023</v>
      </c>
      <c r="F1789">
        <v>44</v>
      </c>
      <c r="G1789">
        <f t="shared" si="165"/>
        <v>11</v>
      </c>
      <c r="H1789" s="1">
        <f t="shared" si="166"/>
        <v>45229</v>
      </c>
      <c r="I1789" s="1">
        <f t="shared" si="167"/>
        <v>45231</v>
      </c>
      <c r="J1789">
        <v>1106563.4499999995</v>
      </c>
      <c r="K1789">
        <v>58392</v>
      </c>
      <c r="L1789">
        <f t="shared" si="163"/>
        <v>18.95060025345937</v>
      </c>
      <c r="M1789">
        <v>4866</v>
      </c>
      <c r="N1789" s="2">
        <f t="shared" si="168"/>
        <v>227.40720304151242</v>
      </c>
      <c r="O1789">
        <v>12</v>
      </c>
    </row>
    <row r="1790" spans="1:15" x14ac:dyDescent="0.25">
      <c r="A1790" t="s">
        <v>46</v>
      </c>
      <c r="B1790" t="s">
        <v>15</v>
      </c>
      <c r="C1790" t="s">
        <v>34</v>
      </c>
      <c r="D1790" t="str">
        <f t="shared" si="164"/>
        <v>FAB2_ Deslac Deslactosada 1 L</v>
      </c>
      <c r="E1790">
        <v>2023</v>
      </c>
      <c r="F1790">
        <v>45</v>
      </c>
      <c r="G1790">
        <f t="shared" si="165"/>
        <v>11</v>
      </c>
      <c r="H1790" s="1">
        <f t="shared" si="166"/>
        <v>45236</v>
      </c>
      <c r="I1790" s="1">
        <f t="shared" si="167"/>
        <v>45231</v>
      </c>
      <c r="J1790">
        <v>1089028.5200000003</v>
      </c>
      <c r="K1790">
        <v>58368</v>
      </c>
      <c r="L1790">
        <f t="shared" ref="L1790:L1853" si="169">J1790/(M1790*O1790)</f>
        <v>18.657972176535093</v>
      </c>
      <c r="M1790">
        <v>4864</v>
      </c>
      <c r="N1790" s="2">
        <f t="shared" si="168"/>
        <v>223.8956661184211</v>
      </c>
      <c r="O1790">
        <v>12</v>
      </c>
    </row>
    <row r="1791" spans="1:15" x14ac:dyDescent="0.25">
      <c r="A1791" t="s">
        <v>46</v>
      </c>
      <c r="B1791" t="s">
        <v>15</v>
      </c>
      <c r="C1791" t="s">
        <v>34</v>
      </c>
      <c r="D1791" t="str">
        <f t="shared" si="164"/>
        <v>FAB2_ Deslac Deslactosada 1 L</v>
      </c>
      <c r="E1791">
        <v>2023</v>
      </c>
      <c r="F1791">
        <v>46</v>
      </c>
      <c r="G1791">
        <f t="shared" si="165"/>
        <v>11</v>
      </c>
      <c r="H1791" s="1">
        <f t="shared" si="166"/>
        <v>45243</v>
      </c>
      <c r="I1791" s="1">
        <f t="shared" si="167"/>
        <v>45231</v>
      </c>
      <c r="J1791">
        <v>1152168.2399999998</v>
      </c>
      <c r="K1791">
        <v>61128</v>
      </c>
      <c r="L1791">
        <f t="shared" si="169"/>
        <v>18.848453082057318</v>
      </c>
      <c r="M1791">
        <v>5094</v>
      </c>
      <c r="N1791" s="2">
        <f t="shared" si="168"/>
        <v>226.18143698468782</v>
      </c>
      <c r="O1791">
        <v>12</v>
      </c>
    </row>
    <row r="1792" spans="1:15" x14ac:dyDescent="0.25">
      <c r="A1792" t="s">
        <v>46</v>
      </c>
      <c r="B1792" t="s">
        <v>15</v>
      </c>
      <c r="C1792" t="s">
        <v>34</v>
      </c>
      <c r="D1792" t="str">
        <f t="shared" si="164"/>
        <v>FAB2_ Deslac Deslactosada 1 L</v>
      </c>
      <c r="E1792">
        <v>2023</v>
      </c>
      <c r="F1792">
        <v>47</v>
      </c>
      <c r="G1792">
        <f t="shared" si="165"/>
        <v>11</v>
      </c>
      <c r="H1792" s="1">
        <f t="shared" si="166"/>
        <v>45250</v>
      </c>
      <c r="I1792" s="1">
        <f t="shared" si="167"/>
        <v>45231</v>
      </c>
      <c r="J1792">
        <v>1248623.0599999994</v>
      </c>
      <c r="K1792">
        <v>66120</v>
      </c>
      <c r="L1792">
        <f t="shared" si="169"/>
        <v>18.884196309739856</v>
      </c>
      <c r="M1792">
        <v>5510</v>
      </c>
      <c r="N1792" s="2">
        <f t="shared" si="168"/>
        <v>226.61035571687827</v>
      </c>
      <c r="O1792">
        <v>12</v>
      </c>
    </row>
    <row r="1793" spans="1:15" x14ac:dyDescent="0.25">
      <c r="A1793" t="s">
        <v>46</v>
      </c>
      <c r="B1793" t="s">
        <v>15</v>
      </c>
      <c r="C1793" t="s">
        <v>34</v>
      </c>
      <c r="D1793" t="str">
        <f t="shared" si="164"/>
        <v>FAB2_ Deslac Deslactosada 1 L</v>
      </c>
      <c r="E1793">
        <v>2023</v>
      </c>
      <c r="F1793">
        <v>48</v>
      </c>
      <c r="G1793">
        <f t="shared" si="165"/>
        <v>11</v>
      </c>
      <c r="H1793" s="1">
        <f t="shared" si="166"/>
        <v>45257</v>
      </c>
      <c r="I1793" s="1">
        <f t="shared" si="167"/>
        <v>45231</v>
      </c>
      <c r="J1793">
        <v>1131700.3100000008</v>
      </c>
      <c r="K1793">
        <v>61752</v>
      </c>
      <c r="L1793">
        <f t="shared" si="169"/>
        <v>18.3265369542687</v>
      </c>
      <c r="M1793">
        <v>5146</v>
      </c>
      <c r="N1793" s="2">
        <f t="shared" si="168"/>
        <v>219.91844345122439</v>
      </c>
      <c r="O1793">
        <v>12</v>
      </c>
    </row>
    <row r="1794" spans="1:15" x14ac:dyDescent="0.25">
      <c r="A1794" t="s">
        <v>46</v>
      </c>
      <c r="B1794" t="s">
        <v>15</v>
      </c>
      <c r="C1794" t="s">
        <v>34</v>
      </c>
      <c r="D1794" t="str">
        <f t="shared" si="164"/>
        <v>FAB2_ Deslac Deslactosada 1 L</v>
      </c>
      <c r="E1794">
        <v>2023</v>
      </c>
      <c r="F1794">
        <v>49</v>
      </c>
      <c r="G1794">
        <f t="shared" si="165"/>
        <v>12</v>
      </c>
      <c r="H1794" s="1">
        <f t="shared" si="166"/>
        <v>45264</v>
      </c>
      <c r="I1794" s="1">
        <f t="shared" si="167"/>
        <v>45261</v>
      </c>
      <c r="J1794">
        <v>1004431.3500000007</v>
      </c>
      <c r="K1794">
        <v>53004</v>
      </c>
      <c r="L1794">
        <f t="shared" si="169"/>
        <v>18.950104709078573</v>
      </c>
      <c r="M1794">
        <v>4417</v>
      </c>
      <c r="N1794" s="2">
        <f t="shared" si="168"/>
        <v>227.40125650894288</v>
      </c>
      <c r="O1794">
        <v>12</v>
      </c>
    </row>
    <row r="1795" spans="1:15" x14ac:dyDescent="0.25">
      <c r="A1795" t="s">
        <v>46</v>
      </c>
      <c r="B1795" t="s">
        <v>15</v>
      </c>
      <c r="C1795" t="s">
        <v>34</v>
      </c>
      <c r="D1795" t="str">
        <f t="shared" ref="D1795:D1858" si="170">B1795&amp;"_"&amp;C1795</f>
        <v>FAB2_ Deslac Deslactosada 1 L</v>
      </c>
      <c r="E1795">
        <v>2023</v>
      </c>
      <c r="F1795">
        <v>50</v>
      </c>
      <c r="G1795">
        <f t="shared" ref="G1795:G1858" si="171">MONTH(DATE(E1795,1,4)+(F1795-1)*7-WEEKDAY(DATE(E1795,1,4),2)+4)</f>
        <v>12</v>
      </c>
      <c r="H1795" s="1">
        <f t="shared" ref="H1795:H1858" si="172">DATE(E1795,1,-2)-WEEKDAY(DATE(E1795,1,3))+F1795*7</f>
        <v>45271</v>
      </c>
      <c r="I1795" s="1">
        <f t="shared" ref="I1795:I1858" si="173">DATE(E1795,G1795,1)</f>
        <v>45261</v>
      </c>
      <c r="J1795">
        <v>1019070.7500000006</v>
      </c>
      <c r="K1795">
        <v>51468</v>
      </c>
      <c r="L1795">
        <f t="shared" si="169"/>
        <v>19.800084518535801</v>
      </c>
      <c r="M1795">
        <v>4289</v>
      </c>
      <c r="N1795" s="2">
        <f t="shared" ref="N1795:N1858" si="174">J1795/M1795</f>
        <v>237.6010142224296</v>
      </c>
      <c r="O1795">
        <v>12</v>
      </c>
    </row>
    <row r="1796" spans="1:15" x14ac:dyDescent="0.25">
      <c r="A1796" t="s">
        <v>46</v>
      </c>
      <c r="B1796" t="s">
        <v>15</v>
      </c>
      <c r="C1796" t="s">
        <v>34</v>
      </c>
      <c r="D1796" t="str">
        <f t="shared" si="170"/>
        <v>FAB2_ Deslac Deslactosada 1 L</v>
      </c>
      <c r="E1796">
        <v>2023</v>
      </c>
      <c r="F1796">
        <v>51</v>
      </c>
      <c r="G1796">
        <f t="shared" si="171"/>
        <v>12</v>
      </c>
      <c r="H1796" s="1">
        <f t="shared" si="172"/>
        <v>45278</v>
      </c>
      <c r="I1796" s="1">
        <f t="shared" si="173"/>
        <v>45261</v>
      </c>
      <c r="J1796">
        <v>1120374.0299999998</v>
      </c>
      <c r="K1796">
        <v>60096</v>
      </c>
      <c r="L1796">
        <f t="shared" si="169"/>
        <v>18.643071585463254</v>
      </c>
      <c r="M1796">
        <v>5008</v>
      </c>
      <c r="N1796" s="2">
        <f t="shared" si="174"/>
        <v>223.71685902555907</v>
      </c>
      <c r="O1796">
        <v>12</v>
      </c>
    </row>
    <row r="1797" spans="1:15" x14ac:dyDescent="0.25">
      <c r="A1797" t="s">
        <v>46</v>
      </c>
      <c r="B1797" t="s">
        <v>15</v>
      </c>
      <c r="C1797" t="s">
        <v>34</v>
      </c>
      <c r="D1797" t="str">
        <f t="shared" si="170"/>
        <v>FAB2_ Deslac Deslactosada 1 L</v>
      </c>
      <c r="E1797">
        <v>2023</v>
      </c>
      <c r="F1797">
        <v>52</v>
      </c>
      <c r="G1797">
        <f t="shared" si="171"/>
        <v>12</v>
      </c>
      <c r="H1797" s="1">
        <f t="shared" si="172"/>
        <v>45285</v>
      </c>
      <c r="I1797" s="1">
        <f t="shared" si="173"/>
        <v>45261</v>
      </c>
      <c r="J1797">
        <v>952332.59000000008</v>
      </c>
      <c r="K1797">
        <v>49788</v>
      </c>
      <c r="L1797">
        <f t="shared" si="169"/>
        <v>19.12775347473287</v>
      </c>
      <c r="M1797">
        <v>4149</v>
      </c>
      <c r="N1797" s="2">
        <f t="shared" si="174"/>
        <v>229.53304169679444</v>
      </c>
      <c r="O1797">
        <v>12</v>
      </c>
    </row>
    <row r="1798" spans="1:15" x14ac:dyDescent="0.25">
      <c r="A1798" t="s">
        <v>46</v>
      </c>
      <c r="B1798" t="s">
        <v>15</v>
      </c>
      <c r="C1798" t="s">
        <v>34</v>
      </c>
      <c r="D1798" t="str">
        <f t="shared" si="170"/>
        <v>FAB2_ Deslac Deslactosada 1 L</v>
      </c>
      <c r="E1798">
        <v>2024</v>
      </c>
      <c r="F1798">
        <v>1</v>
      </c>
      <c r="G1798">
        <f t="shared" si="171"/>
        <v>1</v>
      </c>
      <c r="H1798" s="1">
        <f t="shared" si="172"/>
        <v>45292</v>
      </c>
      <c r="I1798" s="1">
        <f t="shared" si="173"/>
        <v>45292</v>
      </c>
      <c r="J1798">
        <v>905723.89999999979</v>
      </c>
      <c r="K1798">
        <v>43908</v>
      </c>
      <c r="L1798">
        <f t="shared" si="169"/>
        <v>20.627764872005098</v>
      </c>
      <c r="M1798">
        <v>3659</v>
      </c>
      <c r="N1798" s="2">
        <f t="shared" si="174"/>
        <v>247.53317846406117</v>
      </c>
      <c r="O1798">
        <v>12</v>
      </c>
    </row>
    <row r="1799" spans="1:15" x14ac:dyDescent="0.25">
      <c r="A1799" t="s">
        <v>46</v>
      </c>
      <c r="B1799" t="s">
        <v>15</v>
      </c>
      <c r="C1799" t="s">
        <v>34</v>
      </c>
      <c r="D1799" t="str">
        <f t="shared" si="170"/>
        <v>FAB2_ Deslac Deslactosada 1 L</v>
      </c>
      <c r="E1799">
        <v>2024</v>
      </c>
      <c r="F1799">
        <v>2</v>
      </c>
      <c r="G1799">
        <f t="shared" si="171"/>
        <v>1</v>
      </c>
      <c r="H1799" s="1">
        <f t="shared" si="172"/>
        <v>45299</v>
      </c>
      <c r="I1799" s="1">
        <f t="shared" si="173"/>
        <v>45292</v>
      </c>
      <c r="J1799">
        <v>747427.11999999953</v>
      </c>
      <c r="K1799">
        <v>36228</v>
      </c>
      <c r="L1799">
        <f t="shared" si="169"/>
        <v>20.631200176658925</v>
      </c>
      <c r="M1799">
        <v>3019</v>
      </c>
      <c r="N1799" s="2">
        <f t="shared" si="174"/>
        <v>247.57440211990709</v>
      </c>
      <c r="O1799">
        <v>12</v>
      </c>
    </row>
    <row r="1800" spans="1:15" x14ac:dyDescent="0.25">
      <c r="A1800" t="s">
        <v>46</v>
      </c>
      <c r="B1800" t="s">
        <v>15</v>
      </c>
      <c r="C1800" t="s">
        <v>34</v>
      </c>
      <c r="D1800" t="str">
        <f t="shared" si="170"/>
        <v>FAB2_ Deslac Deslactosada 1 L</v>
      </c>
      <c r="E1800">
        <v>2024</v>
      </c>
      <c r="F1800">
        <v>3</v>
      </c>
      <c r="G1800">
        <f t="shared" si="171"/>
        <v>1</v>
      </c>
      <c r="H1800" s="1">
        <f t="shared" si="172"/>
        <v>45306</v>
      </c>
      <c r="I1800" s="1">
        <f t="shared" si="173"/>
        <v>45292</v>
      </c>
      <c r="J1800">
        <v>811510.68999999948</v>
      </c>
      <c r="K1800">
        <v>39864</v>
      </c>
      <c r="L1800">
        <f t="shared" si="169"/>
        <v>20.356980985350177</v>
      </c>
      <c r="M1800">
        <v>3322</v>
      </c>
      <c r="N1800" s="2">
        <f t="shared" si="174"/>
        <v>244.28377182420212</v>
      </c>
      <c r="O1800">
        <v>12</v>
      </c>
    </row>
    <row r="1801" spans="1:15" x14ac:dyDescent="0.25">
      <c r="A1801" t="s">
        <v>46</v>
      </c>
      <c r="B1801" t="s">
        <v>15</v>
      </c>
      <c r="C1801" t="s">
        <v>34</v>
      </c>
      <c r="D1801" t="str">
        <f t="shared" si="170"/>
        <v>FAB2_ Deslac Deslactosada 1 L</v>
      </c>
      <c r="E1801">
        <v>2024</v>
      </c>
      <c r="F1801">
        <v>4</v>
      </c>
      <c r="G1801">
        <f t="shared" si="171"/>
        <v>1</v>
      </c>
      <c r="H1801" s="1">
        <f t="shared" si="172"/>
        <v>45313</v>
      </c>
      <c r="I1801" s="1">
        <f t="shared" si="173"/>
        <v>45292</v>
      </c>
      <c r="J1801">
        <v>710219.1399999999</v>
      </c>
      <c r="K1801">
        <v>34140</v>
      </c>
      <c r="L1801">
        <f t="shared" si="169"/>
        <v>20.803138254247216</v>
      </c>
      <c r="M1801">
        <v>2845</v>
      </c>
      <c r="N1801" s="2">
        <f t="shared" si="174"/>
        <v>249.63765905096656</v>
      </c>
      <c r="O1801">
        <v>12</v>
      </c>
    </row>
    <row r="1802" spans="1:15" x14ac:dyDescent="0.25">
      <c r="A1802" t="s">
        <v>46</v>
      </c>
      <c r="B1802" t="s">
        <v>15</v>
      </c>
      <c r="C1802" t="s">
        <v>34</v>
      </c>
      <c r="D1802" t="str">
        <f t="shared" si="170"/>
        <v>FAB2_ Deslac Deslactosada 1 L</v>
      </c>
      <c r="E1802">
        <v>2024</v>
      </c>
      <c r="F1802">
        <v>5</v>
      </c>
      <c r="G1802">
        <f t="shared" si="171"/>
        <v>2</v>
      </c>
      <c r="H1802" s="1">
        <f t="shared" si="172"/>
        <v>45320</v>
      </c>
      <c r="I1802" s="1">
        <f t="shared" si="173"/>
        <v>45323</v>
      </c>
      <c r="J1802">
        <v>937328.2799999998</v>
      </c>
      <c r="K1802">
        <v>45084</v>
      </c>
      <c r="L1802">
        <f t="shared" si="169"/>
        <v>20.790708011711466</v>
      </c>
      <c r="M1802">
        <v>3757</v>
      </c>
      <c r="N1802" s="2">
        <f t="shared" si="174"/>
        <v>249.48849614053762</v>
      </c>
      <c r="O1802">
        <v>12</v>
      </c>
    </row>
    <row r="1803" spans="1:15" x14ac:dyDescent="0.25">
      <c r="A1803" t="s">
        <v>46</v>
      </c>
      <c r="B1803" t="s">
        <v>15</v>
      </c>
      <c r="C1803" t="s">
        <v>34</v>
      </c>
      <c r="D1803" t="str">
        <f t="shared" si="170"/>
        <v>FAB2_ Deslac Deslactosada 1 L</v>
      </c>
      <c r="E1803">
        <v>2024</v>
      </c>
      <c r="F1803">
        <v>6</v>
      </c>
      <c r="G1803">
        <f t="shared" si="171"/>
        <v>2</v>
      </c>
      <c r="H1803" s="1">
        <f t="shared" si="172"/>
        <v>45327</v>
      </c>
      <c r="I1803" s="1">
        <f t="shared" si="173"/>
        <v>45323</v>
      </c>
      <c r="J1803">
        <v>798097.03000000014</v>
      </c>
      <c r="K1803">
        <v>38628</v>
      </c>
      <c r="L1803">
        <f t="shared" si="169"/>
        <v>20.661101532567052</v>
      </c>
      <c r="M1803">
        <v>3219</v>
      </c>
      <c r="N1803" s="2">
        <f t="shared" si="174"/>
        <v>247.93321839080465</v>
      </c>
      <c r="O1803">
        <v>12</v>
      </c>
    </row>
    <row r="1804" spans="1:15" x14ac:dyDescent="0.25">
      <c r="A1804" t="s">
        <v>46</v>
      </c>
      <c r="B1804" t="s">
        <v>15</v>
      </c>
      <c r="C1804" t="s">
        <v>34</v>
      </c>
      <c r="D1804" t="str">
        <f t="shared" si="170"/>
        <v>FAB2_ Deslac Deslactosada 1 L</v>
      </c>
      <c r="E1804">
        <v>2024</v>
      </c>
      <c r="F1804">
        <v>7</v>
      </c>
      <c r="G1804">
        <f t="shared" si="171"/>
        <v>2</v>
      </c>
      <c r="H1804" s="1">
        <f t="shared" si="172"/>
        <v>45334</v>
      </c>
      <c r="I1804" s="1">
        <f t="shared" si="173"/>
        <v>45323</v>
      </c>
      <c r="J1804">
        <v>773523.46999999986</v>
      </c>
      <c r="K1804">
        <v>36264</v>
      </c>
      <c r="L1804">
        <f t="shared" si="169"/>
        <v>21.330340558129269</v>
      </c>
      <c r="M1804">
        <v>3022</v>
      </c>
      <c r="N1804" s="2">
        <f t="shared" si="174"/>
        <v>255.96408669755124</v>
      </c>
      <c r="O1804">
        <v>12</v>
      </c>
    </row>
    <row r="1805" spans="1:15" x14ac:dyDescent="0.25">
      <c r="A1805" t="s">
        <v>46</v>
      </c>
      <c r="B1805" t="s">
        <v>15</v>
      </c>
      <c r="C1805" t="s">
        <v>34</v>
      </c>
      <c r="D1805" t="str">
        <f t="shared" si="170"/>
        <v>FAB2_ Deslac Deslactosada 1 L</v>
      </c>
      <c r="E1805">
        <v>2024</v>
      </c>
      <c r="F1805">
        <v>8</v>
      </c>
      <c r="G1805">
        <f t="shared" si="171"/>
        <v>2</v>
      </c>
      <c r="H1805" s="1">
        <f t="shared" si="172"/>
        <v>45341</v>
      </c>
      <c r="I1805" s="1">
        <f t="shared" si="173"/>
        <v>45323</v>
      </c>
      <c r="J1805">
        <v>826292.1099999994</v>
      </c>
      <c r="K1805">
        <v>39228</v>
      </c>
      <c r="L1805">
        <f t="shared" si="169"/>
        <v>21.063834760885065</v>
      </c>
      <c r="M1805">
        <v>3269</v>
      </c>
      <c r="N1805" s="2">
        <f t="shared" si="174"/>
        <v>252.76601713062081</v>
      </c>
      <c r="O1805">
        <v>12</v>
      </c>
    </row>
    <row r="1806" spans="1:15" x14ac:dyDescent="0.25">
      <c r="A1806" t="s">
        <v>46</v>
      </c>
      <c r="B1806" t="s">
        <v>15</v>
      </c>
      <c r="C1806" t="s">
        <v>34</v>
      </c>
      <c r="D1806" t="str">
        <f t="shared" si="170"/>
        <v>FAB2_ Deslac Deslactosada 1 L</v>
      </c>
      <c r="E1806">
        <v>2024</v>
      </c>
      <c r="F1806">
        <v>9</v>
      </c>
      <c r="G1806">
        <f t="shared" si="171"/>
        <v>2</v>
      </c>
      <c r="H1806" s="1">
        <f t="shared" si="172"/>
        <v>45348</v>
      </c>
      <c r="I1806" s="1">
        <f t="shared" si="173"/>
        <v>45323</v>
      </c>
      <c r="J1806">
        <v>790991.43999999925</v>
      </c>
      <c r="K1806">
        <v>36720</v>
      </c>
      <c r="L1806">
        <f t="shared" si="169"/>
        <v>21.541161220043552</v>
      </c>
      <c r="M1806">
        <v>3060</v>
      </c>
      <c r="N1806" s="2">
        <f t="shared" si="174"/>
        <v>258.49393464052264</v>
      </c>
      <c r="O1806">
        <v>12</v>
      </c>
    </row>
    <row r="1807" spans="1:15" x14ac:dyDescent="0.25">
      <c r="A1807" t="s">
        <v>46</v>
      </c>
      <c r="B1807" t="s">
        <v>15</v>
      </c>
      <c r="C1807" t="s">
        <v>34</v>
      </c>
      <c r="D1807" t="str">
        <f t="shared" si="170"/>
        <v>FAB2_ Deslac Deslactosada 1 L</v>
      </c>
      <c r="E1807">
        <v>2024</v>
      </c>
      <c r="F1807">
        <v>10</v>
      </c>
      <c r="G1807">
        <f t="shared" si="171"/>
        <v>3</v>
      </c>
      <c r="H1807" s="1">
        <f t="shared" si="172"/>
        <v>45355</v>
      </c>
      <c r="I1807" s="1">
        <f t="shared" si="173"/>
        <v>45352</v>
      </c>
      <c r="J1807">
        <v>932523.5899999995</v>
      </c>
      <c r="K1807">
        <v>43704</v>
      </c>
      <c r="L1807">
        <f t="shared" si="169"/>
        <v>21.337259518579522</v>
      </c>
      <c r="M1807">
        <v>3642</v>
      </c>
      <c r="N1807" s="2">
        <f t="shared" si="174"/>
        <v>256.04711422295429</v>
      </c>
      <c r="O1807">
        <v>12</v>
      </c>
    </row>
    <row r="1808" spans="1:15" x14ac:dyDescent="0.25">
      <c r="A1808" t="s">
        <v>46</v>
      </c>
      <c r="B1808" t="s">
        <v>15</v>
      </c>
      <c r="C1808" t="s">
        <v>34</v>
      </c>
      <c r="D1808" t="str">
        <f t="shared" si="170"/>
        <v>FAB2_ Deslac Deslactosada 1 L</v>
      </c>
      <c r="E1808">
        <v>2024</v>
      </c>
      <c r="F1808">
        <v>11</v>
      </c>
      <c r="G1808">
        <f t="shared" si="171"/>
        <v>3</v>
      </c>
      <c r="H1808" s="1">
        <f t="shared" si="172"/>
        <v>45362</v>
      </c>
      <c r="I1808" s="1">
        <f t="shared" si="173"/>
        <v>45352</v>
      </c>
      <c r="J1808">
        <v>967410.2100000002</v>
      </c>
      <c r="K1808">
        <v>46884</v>
      </c>
      <c r="L1808">
        <f t="shared" si="169"/>
        <v>20.634122728436143</v>
      </c>
      <c r="M1808">
        <v>3907</v>
      </c>
      <c r="N1808" s="2">
        <f t="shared" si="174"/>
        <v>247.60947274123373</v>
      </c>
      <c r="O1808">
        <v>12</v>
      </c>
    </row>
    <row r="1809" spans="1:15" x14ac:dyDescent="0.25">
      <c r="A1809" t="s">
        <v>46</v>
      </c>
      <c r="B1809" t="s">
        <v>15</v>
      </c>
      <c r="C1809" t="s">
        <v>34</v>
      </c>
      <c r="D1809" t="str">
        <f t="shared" si="170"/>
        <v>FAB2_ Deslac Deslactosada 1 L</v>
      </c>
      <c r="E1809">
        <v>2024</v>
      </c>
      <c r="F1809">
        <v>12</v>
      </c>
      <c r="G1809">
        <f t="shared" si="171"/>
        <v>3</v>
      </c>
      <c r="H1809" s="1">
        <f t="shared" si="172"/>
        <v>45369</v>
      </c>
      <c r="I1809" s="1">
        <f t="shared" si="173"/>
        <v>45352</v>
      </c>
      <c r="J1809">
        <v>914630.31999999937</v>
      </c>
      <c r="K1809">
        <v>45360</v>
      </c>
      <c r="L1809">
        <f t="shared" si="169"/>
        <v>20.163807760141079</v>
      </c>
      <c r="M1809">
        <v>3780</v>
      </c>
      <c r="N1809" s="2">
        <f t="shared" si="174"/>
        <v>241.96569312169296</v>
      </c>
      <c r="O1809">
        <v>12</v>
      </c>
    </row>
    <row r="1810" spans="1:15" x14ac:dyDescent="0.25">
      <c r="A1810" t="s">
        <v>46</v>
      </c>
      <c r="B1810" t="s">
        <v>15</v>
      </c>
      <c r="C1810" t="s">
        <v>34</v>
      </c>
      <c r="D1810" t="str">
        <f t="shared" si="170"/>
        <v>FAB2_ Deslac Deslactosada 1 L</v>
      </c>
      <c r="E1810">
        <v>2024</v>
      </c>
      <c r="F1810">
        <v>13</v>
      </c>
      <c r="G1810">
        <f t="shared" si="171"/>
        <v>3</v>
      </c>
      <c r="H1810" s="1">
        <f t="shared" si="172"/>
        <v>45376</v>
      </c>
      <c r="I1810" s="1">
        <f t="shared" si="173"/>
        <v>45352</v>
      </c>
      <c r="J1810">
        <v>808097.69</v>
      </c>
      <c r="K1810">
        <v>39360</v>
      </c>
      <c r="L1810">
        <f t="shared" si="169"/>
        <v>20.530937245934958</v>
      </c>
      <c r="M1810">
        <v>3280</v>
      </c>
      <c r="N1810" s="2">
        <f t="shared" si="174"/>
        <v>246.37124695121949</v>
      </c>
      <c r="O1810">
        <v>12</v>
      </c>
    </row>
    <row r="1811" spans="1:15" x14ac:dyDescent="0.25">
      <c r="A1811" t="s">
        <v>46</v>
      </c>
      <c r="B1811" t="s">
        <v>15</v>
      </c>
      <c r="C1811" t="s">
        <v>34</v>
      </c>
      <c r="D1811" t="str">
        <f t="shared" si="170"/>
        <v>FAB2_ Deslac Deslactosada 1 L</v>
      </c>
      <c r="E1811">
        <v>2024</v>
      </c>
      <c r="F1811">
        <v>14</v>
      </c>
      <c r="G1811">
        <f t="shared" si="171"/>
        <v>4</v>
      </c>
      <c r="H1811" s="1">
        <f t="shared" si="172"/>
        <v>45383</v>
      </c>
      <c r="I1811" s="1">
        <f t="shared" si="173"/>
        <v>45383</v>
      </c>
      <c r="J1811">
        <v>909467.29999999981</v>
      </c>
      <c r="K1811">
        <v>43248</v>
      </c>
      <c r="L1811">
        <f t="shared" si="169"/>
        <v>21.029118109507952</v>
      </c>
      <c r="M1811">
        <v>3604</v>
      </c>
      <c r="N1811" s="2">
        <f t="shared" si="174"/>
        <v>252.3494173140954</v>
      </c>
      <c r="O1811">
        <v>12</v>
      </c>
    </row>
    <row r="1812" spans="1:15" x14ac:dyDescent="0.25">
      <c r="A1812" t="s">
        <v>46</v>
      </c>
      <c r="B1812" t="s">
        <v>15</v>
      </c>
      <c r="C1812" t="s">
        <v>34</v>
      </c>
      <c r="D1812" t="str">
        <f t="shared" si="170"/>
        <v>FAB2_ Deslac Deslactosada 1 L</v>
      </c>
      <c r="E1812">
        <v>2024</v>
      </c>
      <c r="F1812">
        <v>15</v>
      </c>
      <c r="G1812">
        <f t="shared" si="171"/>
        <v>4</v>
      </c>
      <c r="H1812" s="1">
        <f t="shared" si="172"/>
        <v>45390</v>
      </c>
      <c r="I1812" s="1">
        <f t="shared" si="173"/>
        <v>45383</v>
      </c>
      <c r="J1812">
        <v>738392.48</v>
      </c>
      <c r="K1812">
        <v>35076</v>
      </c>
      <c r="L1812">
        <f t="shared" si="169"/>
        <v>21.051216786406659</v>
      </c>
      <c r="M1812">
        <v>2923</v>
      </c>
      <c r="N1812" s="2">
        <f t="shared" si="174"/>
        <v>252.61460143687992</v>
      </c>
      <c r="O1812">
        <v>12</v>
      </c>
    </row>
    <row r="1813" spans="1:15" x14ac:dyDescent="0.25">
      <c r="A1813" t="s">
        <v>46</v>
      </c>
      <c r="B1813" t="s">
        <v>15</v>
      </c>
      <c r="C1813" t="s">
        <v>34</v>
      </c>
      <c r="D1813" t="str">
        <f t="shared" si="170"/>
        <v>FAB2_ Deslac Deslactosada 1 L</v>
      </c>
      <c r="E1813">
        <v>2024</v>
      </c>
      <c r="F1813">
        <v>16</v>
      </c>
      <c r="G1813">
        <f t="shared" si="171"/>
        <v>4</v>
      </c>
      <c r="H1813" s="1">
        <f t="shared" si="172"/>
        <v>45397</v>
      </c>
      <c r="I1813" s="1">
        <f t="shared" si="173"/>
        <v>45383</v>
      </c>
      <c r="J1813">
        <v>833287.1099999994</v>
      </c>
      <c r="K1813">
        <v>39564</v>
      </c>
      <c r="L1813">
        <f t="shared" si="169"/>
        <v>21.061750834091583</v>
      </c>
      <c r="M1813">
        <v>3297</v>
      </c>
      <c r="N1813" s="2">
        <f t="shared" si="174"/>
        <v>252.741010009099</v>
      </c>
      <c r="O1813">
        <v>12</v>
      </c>
    </row>
    <row r="1814" spans="1:15" x14ac:dyDescent="0.25">
      <c r="A1814" t="s">
        <v>46</v>
      </c>
      <c r="B1814" t="s">
        <v>15</v>
      </c>
      <c r="C1814" t="s">
        <v>34</v>
      </c>
      <c r="D1814" t="str">
        <f t="shared" si="170"/>
        <v>FAB2_ Deslac Deslactosada 1 L</v>
      </c>
      <c r="E1814">
        <v>2024</v>
      </c>
      <c r="F1814">
        <v>17</v>
      </c>
      <c r="G1814">
        <f t="shared" si="171"/>
        <v>4</v>
      </c>
      <c r="H1814" s="1">
        <f t="shared" si="172"/>
        <v>45404</v>
      </c>
      <c r="I1814" s="1">
        <f t="shared" si="173"/>
        <v>45383</v>
      </c>
      <c r="J1814">
        <v>952984.55999999947</v>
      </c>
      <c r="K1814">
        <v>48084</v>
      </c>
      <c r="L1814">
        <f t="shared" si="169"/>
        <v>19.819161467431982</v>
      </c>
      <c r="M1814">
        <v>4007</v>
      </c>
      <c r="N1814" s="2">
        <f t="shared" si="174"/>
        <v>237.82993760918379</v>
      </c>
      <c r="O1814">
        <v>12</v>
      </c>
    </row>
    <row r="1815" spans="1:15" x14ac:dyDescent="0.25">
      <c r="A1815" t="s">
        <v>46</v>
      </c>
      <c r="B1815" t="s">
        <v>15</v>
      </c>
      <c r="C1815" t="s">
        <v>34</v>
      </c>
      <c r="D1815" t="str">
        <f t="shared" si="170"/>
        <v>FAB2_ Deslac Deslactosada 1 L</v>
      </c>
      <c r="E1815">
        <v>2024</v>
      </c>
      <c r="F1815">
        <v>18</v>
      </c>
      <c r="G1815">
        <f t="shared" si="171"/>
        <v>5</v>
      </c>
      <c r="H1815" s="1">
        <f t="shared" si="172"/>
        <v>45411</v>
      </c>
      <c r="I1815" s="1">
        <f t="shared" si="173"/>
        <v>45413</v>
      </c>
      <c r="J1815">
        <v>1248789.6600000006</v>
      </c>
      <c r="K1815">
        <v>65004</v>
      </c>
      <c r="L1815">
        <f t="shared" si="169"/>
        <v>19.210966402067573</v>
      </c>
      <c r="M1815">
        <v>5417</v>
      </c>
      <c r="N1815" s="2">
        <f t="shared" si="174"/>
        <v>230.53159682481089</v>
      </c>
      <c r="O1815">
        <v>12</v>
      </c>
    </row>
    <row r="1816" spans="1:15" x14ac:dyDescent="0.25">
      <c r="A1816" t="s">
        <v>46</v>
      </c>
      <c r="B1816" t="s">
        <v>15</v>
      </c>
      <c r="C1816" t="s">
        <v>34</v>
      </c>
      <c r="D1816" t="str">
        <f t="shared" si="170"/>
        <v>FAB2_ Deslac Deslactosada 1 L</v>
      </c>
      <c r="E1816">
        <v>2024</v>
      </c>
      <c r="F1816">
        <v>19</v>
      </c>
      <c r="G1816">
        <f t="shared" si="171"/>
        <v>5</v>
      </c>
      <c r="H1816" s="1">
        <f t="shared" si="172"/>
        <v>45418</v>
      </c>
      <c r="I1816" s="1">
        <f t="shared" si="173"/>
        <v>45413</v>
      </c>
      <c r="J1816">
        <v>970844.8</v>
      </c>
      <c r="K1816">
        <v>49884</v>
      </c>
      <c r="L1816">
        <f t="shared" si="169"/>
        <v>19.462047951246895</v>
      </c>
      <c r="M1816">
        <v>4157</v>
      </c>
      <c r="N1816" s="2">
        <f t="shared" si="174"/>
        <v>233.54457541496274</v>
      </c>
      <c r="O1816">
        <v>12</v>
      </c>
    </row>
    <row r="1817" spans="1:15" x14ac:dyDescent="0.25">
      <c r="A1817" t="s">
        <v>46</v>
      </c>
      <c r="B1817" t="s">
        <v>15</v>
      </c>
      <c r="C1817" t="s">
        <v>34</v>
      </c>
      <c r="D1817" t="str">
        <f t="shared" si="170"/>
        <v>FAB2_ Deslac Deslactosada 1 L</v>
      </c>
      <c r="E1817">
        <v>2024</v>
      </c>
      <c r="F1817">
        <v>20</v>
      </c>
      <c r="G1817">
        <f t="shared" si="171"/>
        <v>5</v>
      </c>
      <c r="H1817" s="1">
        <f t="shared" si="172"/>
        <v>45425</v>
      </c>
      <c r="I1817" s="1">
        <f t="shared" si="173"/>
        <v>45413</v>
      </c>
      <c r="J1817">
        <v>943659.67999999935</v>
      </c>
      <c r="K1817">
        <v>48444</v>
      </c>
      <c r="L1817">
        <f t="shared" si="169"/>
        <v>19.479392288002629</v>
      </c>
      <c r="M1817">
        <v>4037</v>
      </c>
      <c r="N1817" s="2">
        <f t="shared" si="174"/>
        <v>233.75270745603154</v>
      </c>
      <c r="O1817">
        <v>12</v>
      </c>
    </row>
    <row r="1818" spans="1:15" x14ac:dyDescent="0.25">
      <c r="A1818" t="s">
        <v>46</v>
      </c>
      <c r="B1818" t="s">
        <v>15</v>
      </c>
      <c r="C1818" t="s">
        <v>34</v>
      </c>
      <c r="D1818" t="str">
        <f t="shared" si="170"/>
        <v>FAB2_ Deslac Deslactosada 1 L</v>
      </c>
      <c r="E1818">
        <v>2024</v>
      </c>
      <c r="F1818">
        <v>21</v>
      </c>
      <c r="G1818">
        <f t="shared" si="171"/>
        <v>5</v>
      </c>
      <c r="H1818" s="1">
        <f t="shared" si="172"/>
        <v>45432</v>
      </c>
      <c r="I1818" s="1">
        <f t="shared" si="173"/>
        <v>45413</v>
      </c>
      <c r="J1818">
        <v>898067.43999999936</v>
      </c>
      <c r="K1818">
        <v>46356</v>
      </c>
      <c r="L1818">
        <f t="shared" si="169"/>
        <v>19.373272931227874</v>
      </c>
      <c r="M1818">
        <v>3863</v>
      </c>
      <c r="N1818" s="2">
        <f t="shared" si="174"/>
        <v>232.47927517473451</v>
      </c>
      <c r="O1818">
        <v>12</v>
      </c>
    </row>
    <row r="1819" spans="1:15" x14ac:dyDescent="0.25">
      <c r="A1819" t="s">
        <v>46</v>
      </c>
      <c r="B1819" t="s">
        <v>15</v>
      </c>
      <c r="C1819" t="s">
        <v>34</v>
      </c>
      <c r="D1819" t="str">
        <f t="shared" si="170"/>
        <v>FAB2_ Deslac Deslactosada 1 L</v>
      </c>
      <c r="E1819">
        <v>2024</v>
      </c>
      <c r="F1819">
        <v>22</v>
      </c>
      <c r="G1819">
        <f t="shared" si="171"/>
        <v>5</v>
      </c>
      <c r="H1819" s="1">
        <f t="shared" si="172"/>
        <v>45439</v>
      </c>
      <c r="I1819" s="1">
        <f t="shared" si="173"/>
        <v>45413</v>
      </c>
      <c r="J1819">
        <v>1009275.3499999993</v>
      </c>
      <c r="K1819">
        <v>52152</v>
      </c>
      <c r="L1819">
        <f t="shared" si="169"/>
        <v>19.352572288694571</v>
      </c>
      <c r="M1819">
        <v>4346</v>
      </c>
      <c r="N1819" s="2">
        <f t="shared" si="174"/>
        <v>232.23086746433486</v>
      </c>
      <c r="O1819">
        <v>12</v>
      </c>
    </row>
    <row r="1820" spans="1:15" x14ac:dyDescent="0.25">
      <c r="A1820" t="s">
        <v>46</v>
      </c>
      <c r="B1820" t="s">
        <v>15</v>
      </c>
      <c r="C1820" t="s">
        <v>34</v>
      </c>
      <c r="D1820" t="str">
        <f t="shared" si="170"/>
        <v>FAB2_ Deslac Deslactosada 1 L</v>
      </c>
      <c r="E1820">
        <v>2024</v>
      </c>
      <c r="F1820">
        <v>23</v>
      </c>
      <c r="G1820">
        <f t="shared" si="171"/>
        <v>6</v>
      </c>
      <c r="H1820" s="1">
        <f t="shared" si="172"/>
        <v>45446</v>
      </c>
      <c r="I1820" s="1">
        <f t="shared" si="173"/>
        <v>45444</v>
      </c>
      <c r="J1820">
        <v>1192710.4300000004</v>
      </c>
      <c r="K1820">
        <v>62760</v>
      </c>
      <c r="L1820">
        <f t="shared" si="169"/>
        <v>19.004308954748254</v>
      </c>
      <c r="M1820">
        <v>5230</v>
      </c>
      <c r="N1820" s="2">
        <f t="shared" si="174"/>
        <v>228.05170745697905</v>
      </c>
      <c r="O1820">
        <v>12</v>
      </c>
    </row>
    <row r="1821" spans="1:15" x14ac:dyDescent="0.25">
      <c r="A1821" t="s">
        <v>46</v>
      </c>
      <c r="B1821" t="s">
        <v>15</v>
      </c>
      <c r="C1821" t="s">
        <v>34</v>
      </c>
      <c r="D1821" t="str">
        <f t="shared" si="170"/>
        <v>FAB2_ Deslac Deslactosada 1 L</v>
      </c>
      <c r="E1821">
        <v>2024</v>
      </c>
      <c r="F1821">
        <v>24</v>
      </c>
      <c r="G1821">
        <f t="shared" si="171"/>
        <v>6</v>
      </c>
      <c r="H1821" s="1">
        <f t="shared" si="172"/>
        <v>45453</v>
      </c>
      <c r="I1821" s="1">
        <f t="shared" si="173"/>
        <v>45444</v>
      </c>
      <c r="J1821">
        <v>1045293.6499999996</v>
      </c>
      <c r="K1821">
        <v>54408</v>
      </c>
      <c r="L1821">
        <f t="shared" si="169"/>
        <v>19.21213148801646</v>
      </c>
      <c r="M1821">
        <v>4534</v>
      </c>
      <c r="N1821" s="2">
        <f t="shared" si="174"/>
        <v>230.54557785619753</v>
      </c>
      <c r="O1821">
        <v>12</v>
      </c>
    </row>
    <row r="1822" spans="1:15" x14ac:dyDescent="0.25">
      <c r="A1822" t="s">
        <v>46</v>
      </c>
      <c r="B1822" t="s">
        <v>15</v>
      </c>
      <c r="C1822" t="s">
        <v>34</v>
      </c>
      <c r="D1822" t="str">
        <f t="shared" si="170"/>
        <v>FAB2_ Deslac Deslactosada 1 L</v>
      </c>
      <c r="E1822">
        <v>2024</v>
      </c>
      <c r="F1822">
        <v>25</v>
      </c>
      <c r="G1822">
        <f t="shared" si="171"/>
        <v>6</v>
      </c>
      <c r="H1822" s="1">
        <f t="shared" si="172"/>
        <v>45460</v>
      </c>
      <c r="I1822" s="1">
        <f t="shared" si="173"/>
        <v>45444</v>
      </c>
      <c r="J1822">
        <v>894213.84999999916</v>
      </c>
      <c r="K1822">
        <v>45324</v>
      </c>
      <c r="L1822">
        <f t="shared" si="169"/>
        <v>19.729367443297132</v>
      </c>
      <c r="M1822">
        <v>3777</v>
      </c>
      <c r="N1822" s="2">
        <f t="shared" si="174"/>
        <v>236.75240931956557</v>
      </c>
      <c r="O1822">
        <v>12</v>
      </c>
    </row>
    <row r="1823" spans="1:15" x14ac:dyDescent="0.25">
      <c r="A1823" t="s">
        <v>46</v>
      </c>
      <c r="B1823" t="s">
        <v>15</v>
      </c>
      <c r="C1823" t="s">
        <v>34</v>
      </c>
      <c r="D1823" t="str">
        <f t="shared" si="170"/>
        <v>FAB2_ Deslac Deslactosada 1 L</v>
      </c>
      <c r="E1823">
        <v>2024</v>
      </c>
      <c r="F1823">
        <v>26</v>
      </c>
      <c r="G1823">
        <f t="shared" si="171"/>
        <v>6</v>
      </c>
      <c r="H1823" s="1">
        <f t="shared" si="172"/>
        <v>45467</v>
      </c>
      <c r="I1823" s="1">
        <f t="shared" si="173"/>
        <v>45444</v>
      </c>
      <c r="J1823">
        <v>822988.2799999998</v>
      </c>
      <c r="K1823">
        <v>42276</v>
      </c>
      <c r="L1823">
        <f t="shared" si="169"/>
        <v>19.467032831866774</v>
      </c>
      <c r="M1823">
        <v>3523</v>
      </c>
      <c r="N1823" s="2">
        <f t="shared" si="174"/>
        <v>233.60439398240129</v>
      </c>
      <c r="O1823">
        <v>12</v>
      </c>
    </row>
    <row r="1824" spans="1:15" x14ac:dyDescent="0.25">
      <c r="A1824" t="s">
        <v>46</v>
      </c>
      <c r="B1824" t="s">
        <v>15</v>
      </c>
      <c r="C1824" t="s">
        <v>34</v>
      </c>
      <c r="D1824" t="str">
        <f t="shared" si="170"/>
        <v>FAB2_ Deslac Deslactosada 1 L</v>
      </c>
      <c r="E1824">
        <v>2024</v>
      </c>
      <c r="F1824">
        <v>27</v>
      </c>
      <c r="G1824">
        <f t="shared" si="171"/>
        <v>7</v>
      </c>
      <c r="H1824" s="1">
        <f t="shared" si="172"/>
        <v>45474</v>
      </c>
      <c r="I1824" s="1">
        <f t="shared" si="173"/>
        <v>45474</v>
      </c>
      <c r="J1824">
        <v>1042795.5099999997</v>
      </c>
      <c r="K1824">
        <v>51384</v>
      </c>
      <c r="L1824">
        <f t="shared" si="169"/>
        <v>20.294167639732205</v>
      </c>
      <c r="M1824">
        <v>4282</v>
      </c>
      <c r="N1824" s="2">
        <f t="shared" si="174"/>
        <v>243.53001167678647</v>
      </c>
      <c r="O1824">
        <v>12</v>
      </c>
    </row>
    <row r="1825" spans="1:15" x14ac:dyDescent="0.25">
      <c r="A1825" t="s">
        <v>46</v>
      </c>
      <c r="B1825" t="s">
        <v>15</v>
      </c>
      <c r="C1825" t="s">
        <v>34</v>
      </c>
      <c r="D1825" t="str">
        <f t="shared" si="170"/>
        <v>FAB2_ Deslac Deslactosada 1 L</v>
      </c>
      <c r="E1825">
        <v>2024</v>
      </c>
      <c r="F1825">
        <v>28</v>
      </c>
      <c r="G1825">
        <f t="shared" si="171"/>
        <v>7</v>
      </c>
      <c r="H1825" s="1">
        <f t="shared" si="172"/>
        <v>45481</v>
      </c>
      <c r="I1825" s="1">
        <f t="shared" si="173"/>
        <v>45474</v>
      </c>
      <c r="J1825">
        <v>787637.55999999971</v>
      </c>
      <c r="K1825">
        <v>38220</v>
      </c>
      <c r="L1825">
        <f t="shared" si="169"/>
        <v>20.607994767137615</v>
      </c>
      <c r="M1825">
        <v>3185</v>
      </c>
      <c r="N1825" s="2">
        <f t="shared" si="174"/>
        <v>247.2959372056514</v>
      </c>
      <c r="O1825">
        <v>12</v>
      </c>
    </row>
    <row r="1826" spans="1:15" x14ac:dyDescent="0.25">
      <c r="A1826" t="s">
        <v>46</v>
      </c>
      <c r="B1826" t="s">
        <v>15</v>
      </c>
      <c r="C1826" t="s">
        <v>34</v>
      </c>
      <c r="D1826" t="str">
        <f t="shared" si="170"/>
        <v>FAB2_ Deslac Deslactosada 1 L</v>
      </c>
      <c r="E1826">
        <v>2024</v>
      </c>
      <c r="F1826">
        <v>29</v>
      </c>
      <c r="G1826">
        <f t="shared" si="171"/>
        <v>7</v>
      </c>
      <c r="H1826" s="1">
        <f t="shared" si="172"/>
        <v>45488</v>
      </c>
      <c r="I1826" s="1">
        <f t="shared" si="173"/>
        <v>45474</v>
      </c>
      <c r="J1826">
        <v>997248.08999999985</v>
      </c>
      <c r="K1826">
        <v>47916</v>
      </c>
      <c r="L1826">
        <f t="shared" si="169"/>
        <v>20.812423616328573</v>
      </c>
      <c r="M1826">
        <v>3993</v>
      </c>
      <c r="N1826" s="2">
        <f t="shared" si="174"/>
        <v>249.74908339594288</v>
      </c>
      <c r="O1826">
        <v>12</v>
      </c>
    </row>
    <row r="1827" spans="1:15" x14ac:dyDescent="0.25">
      <c r="A1827" t="s">
        <v>46</v>
      </c>
      <c r="B1827" t="s">
        <v>15</v>
      </c>
      <c r="C1827" t="s">
        <v>34</v>
      </c>
      <c r="D1827" t="str">
        <f t="shared" si="170"/>
        <v>FAB2_ Deslac Deslactosada 1 L</v>
      </c>
      <c r="E1827">
        <v>2024</v>
      </c>
      <c r="F1827">
        <v>30</v>
      </c>
      <c r="G1827">
        <f t="shared" si="171"/>
        <v>7</v>
      </c>
      <c r="H1827" s="1">
        <f t="shared" si="172"/>
        <v>45495</v>
      </c>
      <c r="I1827" s="1">
        <f t="shared" si="173"/>
        <v>45474</v>
      </c>
      <c r="J1827">
        <v>771701.14000000025</v>
      </c>
      <c r="K1827">
        <v>37704</v>
      </c>
      <c r="L1827">
        <f t="shared" si="169"/>
        <v>20.467354657330795</v>
      </c>
      <c r="M1827">
        <v>3142</v>
      </c>
      <c r="N1827" s="2">
        <f t="shared" si="174"/>
        <v>245.60825588796953</v>
      </c>
      <c r="O1827">
        <v>12</v>
      </c>
    </row>
    <row r="1828" spans="1:15" x14ac:dyDescent="0.25">
      <c r="A1828" t="s">
        <v>46</v>
      </c>
      <c r="B1828" t="s">
        <v>15</v>
      </c>
      <c r="C1828" t="s">
        <v>34</v>
      </c>
      <c r="D1828" t="str">
        <f t="shared" si="170"/>
        <v>FAB2_ Deslac Deslactosada 1 L</v>
      </c>
      <c r="E1828">
        <v>2024</v>
      </c>
      <c r="F1828">
        <v>31</v>
      </c>
      <c r="G1828">
        <f t="shared" si="171"/>
        <v>8</v>
      </c>
      <c r="H1828" s="1">
        <f t="shared" si="172"/>
        <v>45502</v>
      </c>
      <c r="I1828" s="1">
        <f t="shared" si="173"/>
        <v>45505</v>
      </c>
      <c r="J1828">
        <v>978639.98999999964</v>
      </c>
      <c r="K1828">
        <v>47412</v>
      </c>
      <c r="L1828">
        <f t="shared" si="169"/>
        <v>20.641187674006574</v>
      </c>
      <c r="M1828">
        <v>3951</v>
      </c>
      <c r="N1828" s="2">
        <f t="shared" si="174"/>
        <v>247.69425208807888</v>
      </c>
      <c r="O1828">
        <v>12</v>
      </c>
    </row>
    <row r="1829" spans="1:15" x14ac:dyDescent="0.25">
      <c r="A1829" t="s">
        <v>46</v>
      </c>
      <c r="B1829" t="s">
        <v>15</v>
      </c>
      <c r="C1829" t="s">
        <v>34</v>
      </c>
      <c r="D1829" t="str">
        <f t="shared" si="170"/>
        <v>FAB2_ Deslac Deslactosada 1 L</v>
      </c>
      <c r="E1829">
        <v>2024</v>
      </c>
      <c r="F1829">
        <v>32</v>
      </c>
      <c r="G1829">
        <f t="shared" si="171"/>
        <v>8</v>
      </c>
      <c r="H1829" s="1">
        <f t="shared" si="172"/>
        <v>45509</v>
      </c>
      <c r="I1829" s="1">
        <f t="shared" si="173"/>
        <v>45505</v>
      </c>
      <c r="J1829">
        <v>777208.10999999975</v>
      </c>
      <c r="K1829">
        <v>36048</v>
      </c>
      <c r="L1829">
        <f t="shared" si="169"/>
        <v>21.560367010652456</v>
      </c>
      <c r="M1829">
        <v>3004</v>
      </c>
      <c r="N1829" s="2">
        <f t="shared" si="174"/>
        <v>258.72440412782947</v>
      </c>
      <c r="O1829">
        <v>12</v>
      </c>
    </row>
    <row r="1830" spans="1:15" x14ac:dyDescent="0.25">
      <c r="A1830" t="s">
        <v>46</v>
      </c>
      <c r="B1830" t="s">
        <v>15</v>
      </c>
      <c r="C1830" t="s">
        <v>34</v>
      </c>
      <c r="D1830" t="str">
        <f t="shared" si="170"/>
        <v>FAB2_ Deslac Deslactosada 1 L</v>
      </c>
      <c r="E1830">
        <v>2024</v>
      </c>
      <c r="F1830">
        <v>33</v>
      </c>
      <c r="G1830">
        <f t="shared" si="171"/>
        <v>8</v>
      </c>
      <c r="H1830" s="1">
        <f t="shared" si="172"/>
        <v>45516</v>
      </c>
      <c r="I1830" s="1">
        <f t="shared" si="173"/>
        <v>45505</v>
      </c>
      <c r="J1830">
        <v>829426.53999999992</v>
      </c>
      <c r="K1830">
        <v>39516</v>
      </c>
      <c r="L1830">
        <f t="shared" si="169"/>
        <v>20.989638121267333</v>
      </c>
      <c r="M1830">
        <v>3293</v>
      </c>
      <c r="N1830" s="2">
        <f t="shared" si="174"/>
        <v>251.875657455208</v>
      </c>
      <c r="O1830">
        <v>12</v>
      </c>
    </row>
    <row r="1831" spans="1:15" x14ac:dyDescent="0.25">
      <c r="A1831" t="s">
        <v>46</v>
      </c>
      <c r="B1831" t="s">
        <v>15</v>
      </c>
      <c r="C1831" t="s">
        <v>34</v>
      </c>
      <c r="D1831" t="str">
        <f t="shared" si="170"/>
        <v>FAB2_ Deslac Deslactosada 1 L</v>
      </c>
      <c r="E1831">
        <v>2024</v>
      </c>
      <c r="F1831">
        <v>34</v>
      </c>
      <c r="G1831">
        <f t="shared" si="171"/>
        <v>8</v>
      </c>
      <c r="H1831" s="1">
        <f t="shared" si="172"/>
        <v>45523</v>
      </c>
      <c r="I1831" s="1">
        <f t="shared" si="173"/>
        <v>45505</v>
      </c>
      <c r="J1831">
        <v>704485.35999999987</v>
      </c>
      <c r="K1831">
        <v>32160</v>
      </c>
      <c r="L1831">
        <f t="shared" si="169"/>
        <v>21.905639303482584</v>
      </c>
      <c r="M1831">
        <v>2680</v>
      </c>
      <c r="N1831" s="2">
        <f t="shared" si="174"/>
        <v>262.86767164179099</v>
      </c>
      <c r="O1831">
        <v>12</v>
      </c>
    </row>
    <row r="1832" spans="1:15" x14ac:dyDescent="0.25">
      <c r="A1832" t="s">
        <v>46</v>
      </c>
      <c r="B1832" t="s">
        <v>15</v>
      </c>
      <c r="C1832" t="s">
        <v>34</v>
      </c>
      <c r="D1832" t="str">
        <f t="shared" si="170"/>
        <v>FAB2_ Deslac Deslactosada 1 L</v>
      </c>
      <c r="E1832">
        <v>2024</v>
      </c>
      <c r="F1832">
        <v>35</v>
      </c>
      <c r="G1832">
        <f t="shared" si="171"/>
        <v>8</v>
      </c>
      <c r="H1832" s="1">
        <f t="shared" si="172"/>
        <v>45530</v>
      </c>
      <c r="I1832" s="1">
        <f t="shared" si="173"/>
        <v>45505</v>
      </c>
      <c r="J1832">
        <v>682753.88</v>
      </c>
      <c r="K1832">
        <v>31572</v>
      </c>
      <c r="L1832">
        <f t="shared" si="169"/>
        <v>21.625297098695047</v>
      </c>
      <c r="M1832">
        <v>2631</v>
      </c>
      <c r="N1832" s="2">
        <f t="shared" si="174"/>
        <v>259.50356518434057</v>
      </c>
      <c r="O1832">
        <v>12</v>
      </c>
    </row>
    <row r="1833" spans="1:15" x14ac:dyDescent="0.25">
      <c r="A1833" t="s">
        <v>46</v>
      </c>
      <c r="B1833" t="s">
        <v>15</v>
      </c>
      <c r="C1833" t="s">
        <v>34</v>
      </c>
      <c r="D1833" t="str">
        <f t="shared" si="170"/>
        <v>FAB2_ Deslac Deslactosada 1 L</v>
      </c>
      <c r="E1833">
        <v>2024</v>
      </c>
      <c r="F1833">
        <v>36</v>
      </c>
      <c r="G1833">
        <f t="shared" si="171"/>
        <v>9</v>
      </c>
      <c r="H1833" s="1">
        <f t="shared" si="172"/>
        <v>45537</v>
      </c>
      <c r="I1833" s="1">
        <f t="shared" si="173"/>
        <v>45536</v>
      </c>
      <c r="J1833">
        <v>839145.50999999978</v>
      </c>
      <c r="K1833">
        <v>39168</v>
      </c>
      <c r="L1833">
        <f t="shared" si="169"/>
        <v>21.424262408088229</v>
      </c>
      <c r="M1833">
        <v>3264</v>
      </c>
      <c r="N1833" s="2">
        <f t="shared" si="174"/>
        <v>257.09114889705876</v>
      </c>
      <c r="O1833">
        <v>12</v>
      </c>
    </row>
    <row r="1834" spans="1:15" x14ac:dyDescent="0.25">
      <c r="A1834" t="s">
        <v>46</v>
      </c>
      <c r="B1834" t="s">
        <v>15</v>
      </c>
      <c r="C1834" t="s">
        <v>34</v>
      </c>
      <c r="D1834" t="str">
        <f t="shared" si="170"/>
        <v>FAB2_ Deslac Deslactosada 1 L</v>
      </c>
      <c r="E1834">
        <v>2024</v>
      </c>
      <c r="F1834">
        <v>37</v>
      </c>
      <c r="G1834">
        <f t="shared" si="171"/>
        <v>9</v>
      </c>
      <c r="H1834" s="1">
        <f t="shared" si="172"/>
        <v>45544</v>
      </c>
      <c r="I1834" s="1">
        <f t="shared" si="173"/>
        <v>45536</v>
      </c>
      <c r="J1834">
        <v>625867.21000000008</v>
      </c>
      <c r="K1834">
        <v>28452</v>
      </c>
      <c r="L1834">
        <f t="shared" si="169"/>
        <v>21.997301068466193</v>
      </c>
      <c r="M1834">
        <v>2371</v>
      </c>
      <c r="N1834" s="2">
        <f t="shared" si="174"/>
        <v>263.96761282159429</v>
      </c>
      <c r="O1834">
        <v>12</v>
      </c>
    </row>
    <row r="1835" spans="1:15" x14ac:dyDescent="0.25">
      <c r="A1835" t="s">
        <v>46</v>
      </c>
      <c r="B1835" t="s">
        <v>15</v>
      </c>
      <c r="C1835" t="s">
        <v>34</v>
      </c>
      <c r="D1835" t="str">
        <f t="shared" si="170"/>
        <v>FAB2_ Deslac Deslactosada 1 L</v>
      </c>
      <c r="E1835">
        <v>2024</v>
      </c>
      <c r="F1835">
        <v>38</v>
      </c>
      <c r="G1835">
        <f t="shared" si="171"/>
        <v>9</v>
      </c>
      <c r="H1835" s="1">
        <f t="shared" si="172"/>
        <v>45551</v>
      </c>
      <c r="I1835" s="1">
        <f t="shared" si="173"/>
        <v>45536</v>
      </c>
      <c r="J1835">
        <v>926316.12999999977</v>
      </c>
      <c r="K1835">
        <v>45408</v>
      </c>
      <c r="L1835">
        <f t="shared" si="169"/>
        <v>20.399844300563771</v>
      </c>
      <c r="M1835">
        <v>3784</v>
      </c>
      <c r="N1835" s="2">
        <f t="shared" si="174"/>
        <v>244.79813160676528</v>
      </c>
      <c r="O1835">
        <v>12</v>
      </c>
    </row>
    <row r="1836" spans="1:15" x14ac:dyDescent="0.25">
      <c r="A1836" t="s">
        <v>46</v>
      </c>
      <c r="B1836" t="s">
        <v>15</v>
      </c>
      <c r="C1836" t="s">
        <v>34</v>
      </c>
      <c r="D1836" t="str">
        <f t="shared" si="170"/>
        <v>FAB2_ Deslac Deslactosada 1 L</v>
      </c>
      <c r="E1836">
        <v>2024</v>
      </c>
      <c r="F1836">
        <v>39</v>
      </c>
      <c r="G1836">
        <f t="shared" si="171"/>
        <v>9</v>
      </c>
      <c r="H1836" s="1">
        <f t="shared" si="172"/>
        <v>45558</v>
      </c>
      <c r="I1836" s="1">
        <f t="shared" si="173"/>
        <v>45536</v>
      </c>
      <c r="J1836">
        <v>597675.21000000008</v>
      </c>
      <c r="K1836">
        <v>27252</v>
      </c>
      <c r="L1836">
        <f t="shared" si="169"/>
        <v>21.931425583443421</v>
      </c>
      <c r="M1836">
        <v>2271</v>
      </c>
      <c r="N1836" s="2">
        <f t="shared" si="174"/>
        <v>263.17710700132102</v>
      </c>
      <c r="O1836">
        <v>12</v>
      </c>
    </row>
    <row r="1837" spans="1:15" x14ac:dyDescent="0.25">
      <c r="A1837" t="s">
        <v>46</v>
      </c>
      <c r="B1837" t="s">
        <v>15</v>
      </c>
      <c r="C1837" t="s">
        <v>34</v>
      </c>
      <c r="D1837" t="str">
        <f t="shared" si="170"/>
        <v>FAB2_ Deslac Deslactosada 1 L</v>
      </c>
      <c r="E1837">
        <v>2024</v>
      </c>
      <c r="F1837">
        <v>40</v>
      </c>
      <c r="G1837">
        <f t="shared" si="171"/>
        <v>10</v>
      </c>
      <c r="H1837" s="1">
        <f t="shared" si="172"/>
        <v>45565</v>
      </c>
      <c r="I1837" s="1">
        <f t="shared" si="173"/>
        <v>45566</v>
      </c>
      <c r="J1837">
        <v>619912.57999999996</v>
      </c>
      <c r="K1837">
        <v>28332</v>
      </c>
      <c r="L1837">
        <f t="shared" si="169"/>
        <v>21.88029719045602</v>
      </c>
      <c r="M1837">
        <v>2361</v>
      </c>
      <c r="N1837" s="2">
        <f t="shared" si="174"/>
        <v>262.56356628547223</v>
      </c>
      <c r="O1837">
        <v>12</v>
      </c>
    </row>
    <row r="1838" spans="1:15" x14ac:dyDescent="0.25">
      <c r="A1838" t="s">
        <v>46</v>
      </c>
      <c r="B1838" t="s">
        <v>15</v>
      </c>
      <c r="C1838" t="s">
        <v>34</v>
      </c>
      <c r="D1838" t="str">
        <f t="shared" si="170"/>
        <v>FAB2_ Deslac Deslactosada 1 L</v>
      </c>
      <c r="E1838">
        <v>2024</v>
      </c>
      <c r="F1838">
        <v>41</v>
      </c>
      <c r="G1838">
        <f t="shared" si="171"/>
        <v>10</v>
      </c>
      <c r="H1838" s="1">
        <f t="shared" si="172"/>
        <v>45572</v>
      </c>
      <c r="I1838" s="1">
        <f t="shared" si="173"/>
        <v>45566</v>
      </c>
      <c r="J1838">
        <v>620834.70000000007</v>
      </c>
      <c r="K1838">
        <v>27672</v>
      </c>
      <c r="L1838">
        <f t="shared" si="169"/>
        <v>22.435483521248919</v>
      </c>
      <c r="M1838">
        <v>2306</v>
      </c>
      <c r="N1838" s="2">
        <f t="shared" si="174"/>
        <v>269.225802254987</v>
      </c>
      <c r="O1838">
        <v>12</v>
      </c>
    </row>
    <row r="1839" spans="1:15" x14ac:dyDescent="0.25">
      <c r="A1839" t="s">
        <v>46</v>
      </c>
      <c r="B1839" t="s">
        <v>15</v>
      </c>
      <c r="C1839" t="s">
        <v>34</v>
      </c>
      <c r="D1839" t="str">
        <f t="shared" si="170"/>
        <v>FAB2_ Deslac Deslactosada 1 L</v>
      </c>
      <c r="E1839">
        <v>2024</v>
      </c>
      <c r="F1839">
        <v>42</v>
      </c>
      <c r="G1839">
        <f t="shared" si="171"/>
        <v>10</v>
      </c>
      <c r="H1839" s="1">
        <f t="shared" si="172"/>
        <v>45579</v>
      </c>
      <c r="I1839" s="1">
        <f t="shared" si="173"/>
        <v>45566</v>
      </c>
      <c r="J1839">
        <v>920348.33000000042</v>
      </c>
      <c r="K1839">
        <v>44100</v>
      </c>
      <c r="L1839">
        <f t="shared" si="169"/>
        <v>20.869576643990939</v>
      </c>
      <c r="M1839">
        <v>3675</v>
      </c>
      <c r="N1839" s="2">
        <f t="shared" si="174"/>
        <v>250.43491972789127</v>
      </c>
      <c r="O1839">
        <v>12</v>
      </c>
    </row>
    <row r="1840" spans="1:15" x14ac:dyDescent="0.25">
      <c r="A1840" t="s">
        <v>46</v>
      </c>
      <c r="B1840" t="s">
        <v>15</v>
      </c>
      <c r="C1840" t="s">
        <v>34</v>
      </c>
      <c r="D1840" t="str">
        <f t="shared" si="170"/>
        <v>FAB2_ Deslac Deslactosada 1 L</v>
      </c>
      <c r="E1840">
        <v>2024</v>
      </c>
      <c r="F1840">
        <v>43</v>
      </c>
      <c r="G1840">
        <f t="shared" si="171"/>
        <v>10</v>
      </c>
      <c r="H1840" s="1">
        <f t="shared" si="172"/>
        <v>45586</v>
      </c>
      <c r="I1840" s="1">
        <f t="shared" si="173"/>
        <v>45566</v>
      </c>
      <c r="J1840">
        <v>562918.42000000016</v>
      </c>
      <c r="K1840">
        <v>27168</v>
      </c>
      <c r="L1840">
        <f t="shared" si="169"/>
        <v>20.719906507656074</v>
      </c>
      <c r="M1840">
        <v>2264</v>
      </c>
      <c r="N1840" s="2">
        <f t="shared" si="174"/>
        <v>248.63887809187287</v>
      </c>
      <c r="O1840">
        <v>12</v>
      </c>
    </row>
    <row r="1841" spans="1:15" x14ac:dyDescent="0.25">
      <c r="A1841" t="s">
        <v>46</v>
      </c>
      <c r="B1841" t="s">
        <v>15</v>
      </c>
      <c r="C1841" t="s">
        <v>34</v>
      </c>
      <c r="D1841" t="str">
        <f t="shared" si="170"/>
        <v>FAB2_ Deslac Deslactosada 1 L</v>
      </c>
      <c r="E1841">
        <v>2024</v>
      </c>
      <c r="F1841">
        <v>44</v>
      </c>
      <c r="G1841">
        <f t="shared" si="171"/>
        <v>10</v>
      </c>
      <c r="H1841" s="1">
        <f t="shared" si="172"/>
        <v>45593</v>
      </c>
      <c r="I1841" s="1">
        <f t="shared" si="173"/>
        <v>45566</v>
      </c>
      <c r="J1841">
        <v>518153.29999999987</v>
      </c>
      <c r="K1841">
        <v>23352</v>
      </c>
      <c r="L1841">
        <f t="shared" si="169"/>
        <v>22.188818944844119</v>
      </c>
      <c r="M1841">
        <v>1946</v>
      </c>
      <c r="N1841" s="2">
        <f t="shared" si="174"/>
        <v>266.26582733812944</v>
      </c>
      <c r="O1841">
        <v>12</v>
      </c>
    </row>
    <row r="1842" spans="1:15" x14ac:dyDescent="0.25">
      <c r="A1842" t="s">
        <v>46</v>
      </c>
      <c r="B1842" t="s">
        <v>15</v>
      </c>
      <c r="C1842" t="s">
        <v>34</v>
      </c>
      <c r="D1842" t="str">
        <f t="shared" si="170"/>
        <v>FAB2_ Deslac Deslactosada 1 L</v>
      </c>
      <c r="E1842">
        <v>2024</v>
      </c>
      <c r="F1842">
        <v>45</v>
      </c>
      <c r="G1842">
        <f t="shared" si="171"/>
        <v>11</v>
      </c>
      <c r="H1842" s="1">
        <f t="shared" si="172"/>
        <v>45600</v>
      </c>
      <c r="I1842" s="1">
        <f t="shared" si="173"/>
        <v>45597</v>
      </c>
      <c r="J1842">
        <v>537081.19999999972</v>
      </c>
      <c r="K1842">
        <v>24420</v>
      </c>
      <c r="L1842">
        <f t="shared" si="169"/>
        <v>21.993497133497122</v>
      </c>
      <c r="M1842">
        <v>2035</v>
      </c>
      <c r="N1842" s="2">
        <f t="shared" si="174"/>
        <v>263.92196560196544</v>
      </c>
      <c r="O1842">
        <v>12</v>
      </c>
    </row>
    <row r="1843" spans="1:15" x14ac:dyDescent="0.25">
      <c r="A1843" t="s">
        <v>46</v>
      </c>
      <c r="B1843" t="s">
        <v>15</v>
      </c>
      <c r="C1843" t="s">
        <v>34</v>
      </c>
      <c r="D1843" t="str">
        <f t="shared" si="170"/>
        <v>FAB2_ Deslac Deslactosada 1 L</v>
      </c>
      <c r="E1843">
        <v>2024</v>
      </c>
      <c r="F1843">
        <v>46</v>
      </c>
      <c r="G1843">
        <f t="shared" si="171"/>
        <v>11</v>
      </c>
      <c r="H1843" s="1">
        <f t="shared" si="172"/>
        <v>45607</v>
      </c>
      <c r="I1843" s="1">
        <f t="shared" si="173"/>
        <v>45597</v>
      </c>
      <c r="J1843">
        <v>449892.96</v>
      </c>
      <c r="K1843">
        <v>19332</v>
      </c>
      <c r="L1843">
        <f t="shared" si="169"/>
        <v>23.271930477963998</v>
      </c>
      <c r="M1843">
        <v>1611</v>
      </c>
      <c r="N1843" s="2">
        <f t="shared" si="174"/>
        <v>279.26316573556801</v>
      </c>
      <c r="O1843">
        <v>12</v>
      </c>
    </row>
    <row r="1844" spans="1:15" x14ac:dyDescent="0.25">
      <c r="A1844" t="s">
        <v>46</v>
      </c>
      <c r="B1844" t="s">
        <v>15</v>
      </c>
      <c r="C1844" t="s">
        <v>34</v>
      </c>
      <c r="D1844" t="str">
        <f t="shared" si="170"/>
        <v>FAB2_ Deslac Deslactosada 1 L</v>
      </c>
      <c r="E1844">
        <v>2024</v>
      </c>
      <c r="F1844">
        <v>47</v>
      </c>
      <c r="G1844">
        <f t="shared" si="171"/>
        <v>11</v>
      </c>
      <c r="H1844" s="1">
        <f t="shared" si="172"/>
        <v>45614</v>
      </c>
      <c r="I1844" s="1">
        <f t="shared" si="173"/>
        <v>45597</v>
      </c>
      <c r="J1844">
        <v>647401.1100000001</v>
      </c>
      <c r="K1844">
        <v>32340</v>
      </c>
      <c r="L1844">
        <f t="shared" si="169"/>
        <v>20.018587198515775</v>
      </c>
      <c r="M1844">
        <v>2695</v>
      </c>
      <c r="N1844" s="2">
        <f t="shared" si="174"/>
        <v>240.22304638218927</v>
      </c>
      <c r="O1844">
        <v>12</v>
      </c>
    </row>
    <row r="1845" spans="1:15" x14ac:dyDescent="0.25">
      <c r="A1845" t="s">
        <v>46</v>
      </c>
      <c r="B1845" t="s">
        <v>15</v>
      </c>
      <c r="C1845" t="s">
        <v>34</v>
      </c>
      <c r="D1845" t="str">
        <f t="shared" si="170"/>
        <v>FAB2_ Deslac Deslactosada 1 L</v>
      </c>
      <c r="E1845">
        <v>2024</v>
      </c>
      <c r="F1845">
        <v>48</v>
      </c>
      <c r="G1845">
        <f t="shared" si="171"/>
        <v>11</v>
      </c>
      <c r="H1845" s="1">
        <f t="shared" si="172"/>
        <v>45621</v>
      </c>
      <c r="I1845" s="1">
        <f t="shared" si="173"/>
        <v>45597</v>
      </c>
      <c r="J1845">
        <v>539419.89</v>
      </c>
      <c r="K1845">
        <v>27588</v>
      </c>
      <c r="L1845">
        <f t="shared" si="169"/>
        <v>19.552700086994346</v>
      </c>
      <c r="M1845">
        <v>2299</v>
      </c>
      <c r="N1845" s="2">
        <f t="shared" si="174"/>
        <v>234.63240104393216</v>
      </c>
      <c r="O1845">
        <v>12</v>
      </c>
    </row>
    <row r="1846" spans="1:15" x14ac:dyDescent="0.25">
      <c r="A1846" t="s">
        <v>46</v>
      </c>
      <c r="B1846" t="s">
        <v>15</v>
      </c>
      <c r="C1846" t="s">
        <v>34</v>
      </c>
      <c r="D1846" t="str">
        <f t="shared" si="170"/>
        <v>FAB2_ Deslac Deslactosada 1 L</v>
      </c>
      <c r="E1846">
        <v>2024</v>
      </c>
      <c r="F1846">
        <v>49</v>
      </c>
      <c r="G1846">
        <f t="shared" si="171"/>
        <v>12</v>
      </c>
      <c r="H1846" s="1">
        <f t="shared" si="172"/>
        <v>45628</v>
      </c>
      <c r="I1846" s="1">
        <f t="shared" si="173"/>
        <v>45627</v>
      </c>
      <c r="J1846">
        <v>508113.78000000009</v>
      </c>
      <c r="K1846">
        <v>23916</v>
      </c>
      <c r="L1846">
        <f t="shared" si="169"/>
        <v>21.24576768690417</v>
      </c>
      <c r="M1846">
        <v>1993</v>
      </c>
      <c r="N1846" s="2">
        <f t="shared" si="174"/>
        <v>254.94921224285002</v>
      </c>
      <c r="O1846">
        <v>12</v>
      </c>
    </row>
    <row r="1847" spans="1:15" x14ac:dyDescent="0.25">
      <c r="A1847" t="s">
        <v>46</v>
      </c>
      <c r="B1847" t="s">
        <v>15</v>
      </c>
      <c r="C1847" t="s">
        <v>34</v>
      </c>
      <c r="D1847" t="str">
        <f t="shared" si="170"/>
        <v>FAB2_ Deslac Deslactosada 1 L</v>
      </c>
      <c r="E1847">
        <v>2024</v>
      </c>
      <c r="F1847">
        <v>50</v>
      </c>
      <c r="G1847">
        <f t="shared" si="171"/>
        <v>12</v>
      </c>
      <c r="H1847" s="1">
        <f t="shared" si="172"/>
        <v>45635</v>
      </c>
      <c r="I1847" s="1">
        <f t="shared" si="173"/>
        <v>45627</v>
      </c>
      <c r="J1847">
        <v>543045.94000000029</v>
      </c>
      <c r="K1847">
        <v>24360</v>
      </c>
      <c r="L1847">
        <f t="shared" si="169"/>
        <v>22.292526272578009</v>
      </c>
      <c r="M1847">
        <v>2030</v>
      </c>
      <c r="N1847" s="2">
        <f t="shared" si="174"/>
        <v>267.51031527093613</v>
      </c>
      <c r="O1847">
        <v>12</v>
      </c>
    </row>
    <row r="1848" spans="1:15" x14ac:dyDescent="0.25">
      <c r="A1848" t="s">
        <v>46</v>
      </c>
      <c r="B1848" t="s">
        <v>15</v>
      </c>
      <c r="C1848" t="s">
        <v>34</v>
      </c>
      <c r="D1848" t="str">
        <f t="shared" si="170"/>
        <v>FAB2_ Deslac Deslactosada 1 L</v>
      </c>
      <c r="E1848">
        <v>2024</v>
      </c>
      <c r="F1848">
        <v>51</v>
      </c>
      <c r="G1848">
        <f t="shared" si="171"/>
        <v>12</v>
      </c>
      <c r="H1848" s="1">
        <f t="shared" si="172"/>
        <v>45642</v>
      </c>
      <c r="I1848" s="1">
        <f t="shared" si="173"/>
        <v>45627</v>
      </c>
      <c r="J1848">
        <v>680406.25</v>
      </c>
      <c r="K1848">
        <v>31836</v>
      </c>
      <c r="L1848">
        <f t="shared" si="169"/>
        <v>21.372227980902125</v>
      </c>
      <c r="M1848">
        <v>2653</v>
      </c>
      <c r="N1848" s="2">
        <f t="shared" si="174"/>
        <v>256.46673577082549</v>
      </c>
      <c r="O1848">
        <v>12</v>
      </c>
    </row>
    <row r="1849" spans="1:15" x14ac:dyDescent="0.25">
      <c r="A1849" t="s">
        <v>46</v>
      </c>
      <c r="B1849" t="s">
        <v>15</v>
      </c>
      <c r="C1849" t="s">
        <v>34</v>
      </c>
      <c r="D1849" t="str">
        <f t="shared" si="170"/>
        <v>FAB2_ Deslac Deslactosada 1 L</v>
      </c>
      <c r="E1849">
        <v>2024</v>
      </c>
      <c r="F1849">
        <v>52</v>
      </c>
      <c r="G1849">
        <f t="shared" si="171"/>
        <v>12</v>
      </c>
      <c r="H1849" s="1">
        <f t="shared" si="172"/>
        <v>45649</v>
      </c>
      <c r="I1849" s="1">
        <f t="shared" si="173"/>
        <v>45627</v>
      </c>
      <c r="J1849">
        <v>515173.23999999993</v>
      </c>
      <c r="K1849">
        <v>23952</v>
      </c>
      <c r="L1849">
        <f t="shared" si="169"/>
        <v>21.508568804275214</v>
      </c>
      <c r="M1849">
        <v>1996</v>
      </c>
      <c r="N1849" s="2">
        <f t="shared" si="174"/>
        <v>258.10282565130257</v>
      </c>
      <c r="O1849">
        <v>12</v>
      </c>
    </row>
    <row r="1850" spans="1:15" x14ac:dyDescent="0.25">
      <c r="A1850" t="s">
        <v>46</v>
      </c>
      <c r="B1850" t="s">
        <v>15</v>
      </c>
      <c r="C1850" t="s">
        <v>34</v>
      </c>
      <c r="D1850" t="str">
        <f t="shared" si="170"/>
        <v>FAB2_ Deslac Deslactosada 1 L</v>
      </c>
      <c r="E1850">
        <v>2025</v>
      </c>
      <c r="F1850">
        <v>1</v>
      </c>
      <c r="G1850">
        <f t="shared" si="171"/>
        <v>1</v>
      </c>
      <c r="H1850" s="1">
        <f t="shared" si="172"/>
        <v>45656</v>
      </c>
      <c r="I1850" s="1">
        <f t="shared" si="173"/>
        <v>45658</v>
      </c>
      <c r="J1850">
        <v>462715.85000000003</v>
      </c>
      <c r="K1850">
        <v>19668</v>
      </c>
      <c r="L1850">
        <f t="shared" si="169"/>
        <v>23.526329570876552</v>
      </c>
      <c r="M1850">
        <v>1639</v>
      </c>
      <c r="N1850" s="2">
        <f t="shared" si="174"/>
        <v>282.31595485051861</v>
      </c>
      <c r="O1850">
        <v>12</v>
      </c>
    </row>
    <row r="1851" spans="1:15" x14ac:dyDescent="0.25">
      <c r="A1851" t="s">
        <v>46</v>
      </c>
      <c r="B1851" t="s">
        <v>15</v>
      </c>
      <c r="C1851" t="s">
        <v>34</v>
      </c>
      <c r="D1851" t="str">
        <f t="shared" si="170"/>
        <v>FAB2_ Deslac Deslactosada 1 L</v>
      </c>
      <c r="E1851">
        <v>2025</v>
      </c>
      <c r="F1851">
        <v>2</v>
      </c>
      <c r="G1851">
        <f t="shared" si="171"/>
        <v>1</v>
      </c>
      <c r="H1851" s="1">
        <f t="shared" si="172"/>
        <v>45663</v>
      </c>
      <c r="I1851" s="1">
        <f t="shared" si="173"/>
        <v>45658</v>
      </c>
      <c r="J1851">
        <v>410594.28000000014</v>
      </c>
      <c r="K1851">
        <v>17520</v>
      </c>
      <c r="L1851">
        <f t="shared" si="169"/>
        <v>23.435746575342474</v>
      </c>
      <c r="M1851">
        <v>1460</v>
      </c>
      <c r="N1851" s="2">
        <f t="shared" si="174"/>
        <v>281.22895890410967</v>
      </c>
      <c r="O1851">
        <v>12</v>
      </c>
    </row>
    <row r="1852" spans="1:15" x14ac:dyDescent="0.25">
      <c r="A1852" t="s">
        <v>46</v>
      </c>
      <c r="B1852" t="s">
        <v>15</v>
      </c>
      <c r="C1852" t="s">
        <v>34</v>
      </c>
      <c r="D1852" t="str">
        <f t="shared" si="170"/>
        <v>FAB2_ Deslac Deslactosada 1 L</v>
      </c>
      <c r="E1852">
        <v>2025</v>
      </c>
      <c r="F1852">
        <v>3</v>
      </c>
      <c r="G1852">
        <f t="shared" si="171"/>
        <v>1</v>
      </c>
      <c r="H1852" s="1">
        <f t="shared" si="172"/>
        <v>45670</v>
      </c>
      <c r="I1852" s="1">
        <f t="shared" si="173"/>
        <v>45658</v>
      </c>
      <c r="J1852">
        <v>357601.72000000003</v>
      </c>
      <c r="K1852">
        <v>15696</v>
      </c>
      <c r="L1852">
        <f t="shared" si="169"/>
        <v>22.782984199796129</v>
      </c>
      <c r="M1852">
        <v>1308</v>
      </c>
      <c r="N1852" s="2">
        <f t="shared" si="174"/>
        <v>273.39581039755353</v>
      </c>
      <c r="O1852">
        <v>12</v>
      </c>
    </row>
    <row r="1853" spans="1:15" x14ac:dyDescent="0.25">
      <c r="A1853" t="s">
        <v>46</v>
      </c>
      <c r="B1853" t="s">
        <v>15</v>
      </c>
      <c r="C1853" t="s">
        <v>34</v>
      </c>
      <c r="D1853" t="str">
        <f t="shared" si="170"/>
        <v>FAB2_ Deslac Deslactosada 1 L</v>
      </c>
      <c r="E1853">
        <v>2025</v>
      </c>
      <c r="F1853">
        <v>4</v>
      </c>
      <c r="G1853">
        <f t="shared" si="171"/>
        <v>1</v>
      </c>
      <c r="H1853" s="1">
        <f t="shared" si="172"/>
        <v>45677</v>
      </c>
      <c r="I1853" s="1">
        <f t="shared" si="173"/>
        <v>45658</v>
      </c>
      <c r="J1853">
        <v>408565.7099999999</v>
      </c>
      <c r="K1853">
        <v>18180</v>
      </c>
      <c r="L1853">
        <f t="shared" si="169"/>
        <v>22.47336138613861</v>
      </c>
      <c r="M1853">
        <v>1515</v>
      </c>
      <c r="N1853" s="2">
        <f t="shared" si="174"/>
        <v>269.68033663366333</v>
      </c>
      <c r="O1853">
        <v>12</v>
      </c>
    </row>
    <row r="1854" spans="1:15" x14ac:dyDescent="0.25">
      <c r="A1854" t="s">
        <v>46</v>
      </c>
      <c r="B1854" t="s">
        <v>15</v>
      </c>
      <c r="C1854" t="s">
        <v>34</v>
      </c>
      <c r="D1854" t="str">
        <f t="shared" si="170"/>
        <v>FAB2_ Deslac Deslactosada 1 L</v>
      </c>
      <c r="E1854">
        <v>2025</v>
      </c>
      <c r="F1854">
        <v>5</v>
      </c>
      <c r="G1854">
        <f t="shared" si="171"/>
        <v>1</v>
      </c>
      <c r="H1854" s="1">
        <f t="shared" si="172"/>
        <v>45684</v>
      </c>
      <c r="I1854" s="1">
        <f t="shared" si="173"/>
        <v>45658</v>
      </c>
      <c r="J1854">
        <v>477724.26</v>
      </c>
      <c r="K1854">
        <v>20844</v>
      </c>
      <c r="L1854">
        <f t="shared" ref="L1854:L1917" si="175">J1854/(M1854*O1854)</f>
        <v>22.919029936672423</v>
      </c>
      <c r="M1854">
        <v>1737</v>
      </c>
      <c r="N1854" s="2">
        <f t="shared" si="174"/>
        <v>275.02835924006911</v>
      </c>
      <c r="O1854">
        <v>12</v>
      </c>
    </row>
    <row r="1855" spans="1:15" x14ac:dyDescent="0.25">
      <c r="A1855" t="s">
        <v>46</v>
      </c>
      <c r="B1855" t="s">
        <v>15</v>
      </c>
      <c r="C1855" t="s">
        <v>34</v>
      </c>
      <c r="D1855" t="str">
        <f t="shared" si="170"/>
        <v>FAB2_ Deslac Deslactosada 1 L</v>
      </c>
      <c r="E1855">
        <v>2025</v>
      </c>
      <c r="F1855">
        <v>6</v>
      </c>
      <c r="G1855">
        <f t="shared" si="171"/>
        <v>2</v>
      </c>
      <c r="H1855" s="1">
        <f t="shared" si="172"/>
        <v>45691</v>
      </c>
      <c r="I1855" s="1">
        <f t="shared" si="173"/>
        <v>45689</v>
      </c>
      <c r="J1855">
        <v>415608.05</v>
      </c>
      <c r="K1855">
        <v>17496</v>
      </c>
      <c r="L1855">
        <f t="shared" si="175"/>
        <v>23.754461019661637</v>
      </c>
      <c r="M1855">
        <v>1458</v>
      </c>
      <c r="N1855" s="2">
        <f t="shared" si="174"/>
        <v>285.05353223593966</v>
      </c>
      <c r="O1855">
        <v>12</v>
      </c>
    </row>
    <row r="1856" spans="1:15" x14ac:dyDescent="0.25">
      <c r="A1856" t="s">
        <v>46</v>
      </c>
      <c r="B1856" t="s">
        <v>15</v>
      </c>
      <c r="C1856" t="s">
        <v>34</v>
      </c>
      <c r="D1856" t="str">
        <f t="shared" si="170"/>
        <v>FAB2_ Deslac Deslactosada 1 L</v>
      </c>
      <c r="E1856">
        <v>2025</v>
      </c>
      <c r="F1856">
        <v>7</v>
      </c>
      <c r="G1856">
        <f t="shared" si="171"/>
        <v>2</v>
      </c>
      <c r="H1856" s="1">
        <f t="shared" si="172"/>
        <v>45698</v>
      </c>
      <c r="I1856" s="1">
        <f t="shared" si="173"/>
        <v>45689</v>
      </c>
      <c r="J1856">
        <v>549271.81999999995</v>
      </c>
      <c r="K1856">
        <v>24816</v>
      </c>
      <c r="L1856">
        <f t="shared" si="175"/>
        <v>22.133777401676337</v>
      </c>
      <c r="M1856">
        <v>2068</v>
      </c>
      <c r="N1856" s="2">
        <f t="shared" si="174"/>
        <v>265.60532882011603</v>
      </c>
      <c r="O1856">
        <v>12</v>
      </c>
    </row>
    <row r="1857" spans="1:15" x14ac:dyDescent="0.25">
      <c r="A1857" t="s">
        <v>46</v>
      </c>
      <c r="B1857" t="s">
        <v>15</v>
      </c>
      <c r="C1857" t="s">
        <v>34</v>
      </c>
      <c r="D1857" t="str">
        <f t="shared" si="170"/>
        <v>FAB2_ Deslac Deslactosada 1 L</v>
      </c>
      <c r="E1857">
        <v>2025</v>
      </c>
      <c r="F1857">
        <v>8</v>
      </c>
      <c r="G1857">
        <f t="shared" si="171"/>
        <v>2</v>
      </c>
      <c r="H1857" s="1">
        <f t="shared" si="172"/>
        <v>45705</v>
      </c>
      <c r="I1857" s="1">
        <f t="shared" si="173"/>
        <v>45689</v>
      </c>
      <c r="J1857">
        <v>398289.1</v>
      </c>
      <c r="K1857">
        <v>16248</v>
      </c>
      <c r="L1857">
        <f t="shared" si="175"/>
        <v>24.51311546036435</v>
      </c>
      <c r="M1857">
        <v>1354</v>
      </c>
      <c r="N1857" s="2">
        <f t="shared" si="174"/>
        <v>294.15738552437222</v>
      </c>
      <c r="O1857">
        <v>12</v>
      </c>
    </row>
    <row r="1858" spans="1:15" x14ac:dyDescent="0.25">
      <c r="A1858" t="s">
        <v>46</v>
      </c>
      <c r="B1858" t="s">
        <v>15</v>
      </c>
      <c r="C1858" t="s">
        <v>34</v>
      </c>
      <c r="D1858" t="str">
        <f t="shared" si="170"/>
        <v>FAB2_ Deslac Deslactosada 1 L</v>
      </c>
      <c r="E1858">
        <v>2025</v>
      </c>
      <c r="F1858">
        <v>9</v>
      </c>
      <c r="G1858">
        <f t="shared" si="171"/>
        <v>2</v>
      </c>
      <c r="H1858" s="1">
        <f t="shared" si="172"/>
        <v>45712</v>
      </c>
      <c r="I1858" s="1">
        <f t="shared" si="173"/>
        <v>45689</v>
      </c>
      <c r="J1858">
        <v>299165.91999999993</v>
      </c>
      <c r="K1858">
        <v>11916</v>
      </c>
      <c r="L1858">
        <f t="shared" si="175"/>
        <v>25.106236992279282</v>
      </c>
      <c r="M1858">
        <v>993</v>
      </c>
      <c r="N1858" s="2">
        <f t="shared" si="174"/>
        <v>301.2748439073514</v>
      </c>
      <c r="O1858">
        <v>12</v>
      </c>
    </row>
    <row r="1859" spans="1:15" x14ac:dyDescent="0.25">
      <c r="A1859" t="s">
        <v>46</v>
      </c>
      <c r="B1859" t="s">
        <v>15</v>
      </c>
      <c r="C1859" t="s">
        <v>34</v>
      </c>
      <c r="D1859" t="str">
        <f t="shared" ref="D1859:D1922" si="176">B1859&amp;"_"&amp;C1859</f>
        <v>FAB2_ Deslac Deslactosada 1 L</v>
      </c>
      <c r="E1859">
        <v>2025</v>
      </c>
      <c r="F1859">
        <v>10</v>
      </c>
      <c r="G1859">
        <f t="shared" ref="G1859:G1922" si="177">MONTH(DATE(E1859,1,4)+(F1859-1)*7-WEEKDAY(DATE(E1859,1,4),2)+4)</f>
        <v>3</v>
      </c>
      <c r="H1859" s="1">
        <f t="shared" ref="H1859:H1922" si="178">DATE(E1859,1,-2)-WEEKDAY(DATE(E1859,1,3))+F1859*7</f>
        <v>45719</v>
      </c>
      <c r="I1859" s="1">
        <f t="shared" ref="I1859:I1922" si="179">DATE(E1859,G1859,1)</f>
        <v>45717</v>
      </c>
      <c r="J1859">
        <v>451935.77</v>
      </c>
      <c r="K1859">
        <v>19008</v>
      </c>
      <c r="L1859">
        <f t="shared" si="175"/>
        <v>23.776082175925929</v>
      </c>
      <c r="M1859">
        <v>1584</v>
      </c>
      <c r="N1859" s="2">
        <f t="shared" ref="N1859:N1922" si="180">J1859/M1859</f>
        <v>285.31298611111112</v>
      </c>
      <c r="O1859">
        <v>12</v>
      </c>
    </row>
    <row r="1860" spans="1:15" x14ac:dyDescent="0.25">
      <c r="A1860" t="s">
        <v>46</v>
      </c>
      <c r="B1860" t="s">
        <v>15</v>
      </c>
      <c r="C1860" t="s">
        <v>34</v>
      </c>
      <c r="D1860" t="str">
        <f t="shared" si="176"/>
        <v>FAB2_ Deslac Deslactosada 1 L</v>
      </c>
      <c r="E1860">
        <v>2025</v>
      </c>
      <c r="F1860">
        <v>11</v>
      </c>
      <c r="G1860">
        <f t="shared" si="177"/>
        <v>3</v>
      </c>
      <c r="H1860" s="1">
        <f t="shared" si="178"/>
        <v>45726</v>
      </c>
      <c r="I1860" s="1">
        <f t="shared" si="179"/>
        <v>45717</v>
      </c>
      <c r="J1860">
        <v>381156.52999999997</v>
      </c>
      <c r="K1860">
        <v>17064</v>
      </c>
      <c r="L1860">
        <f t="shared" si="175"/>
        <v>22.336880567276136</v>
      </c>
      <c r="M1860">
        <v>1422</v>
      </c>
      <c r="N1860" s="2">
        <f t="shared" si="180"/>
        <v>268.04256680731362</v>
      </c>
      <c r="O1860">
        <v>12</v>
      </c>
    </row>
    <row r="1861" spans="1:15" x14ac:dyDescent="0.25">
      <c r="A1861" t="s">
        <v>46</v>
      </c>
      <c r="B1861" t="s">
        <v>15</v>
      </c>
      <c r="C1861" t="s">
        <v>34</v>
      </c>
      <c r="D1861" t="str">
        <f t="shared" si="176"/>
        <v>FAB2_ Deslac Deslactosada 1 L</v>
      </c>
      <c r="E1861">
        <v>2025</v>
      </c>
      <c r="F1861">
        <v>12</v>
      </c>
      <c r="G1861">
        <f t="shared" si="177"/>
        <v>3</v>
      </c>
      <c r="H1861" s="1">
        <f t="shared" si="178"/>
        <v>45733</v>
      </c>
      <c r="I1861" s="1">
        <f t="shared" si="179"/>
        <v>45717</v>
      </c>
      <c r="J1861">
        <v>412335.08999999997</v>
      </c>
      <c r="K1861">
        <v>18036</v>
      </c>
      <c r="L1861">
        <f t="shared" si="175"/>
        <v>22.861781437125746</v>
      </c>
      <c r="M1861">
        <v>1503</v>
      </c>
      <c r="N1861" s="2">
        <f t="shared" si="180"/>
        <v>274.34137724550897</v>
      </c>
      <c r="O1861">
        <v>12</v>
      </c>
    </row>
    <row r="1862" spans="1:15" x14ac:dyDescent="0.25">
      <c r="A1862" t="s">
        <v>46</v>
      </c>
      <c r="B1862" t="s">
        <v>15</v>
      </c>
      <c r="C1862" t="s">
        <v>34</v>
      </c>
      <c r="D1862" t="str">
        <f t="shared" si="176"/>
        <v>FAB2_ Deslac Deslactosada 1 L</v>
      </c>
      <c r="E1862">
        <v>2025</v>
      </c>
      <c r="F1862">
        <v>13</v>
      </c>
      <c r="G1862">
        <f t="shared" si="177"/>
        <v>3</v>
      </c>
      <c r="H1862" s="1">
        <f t="shared" si="178"/>
        <v>45740</v>
      </c>
      <c r="I1862" s="1">
        <f t="shared" si="179"/>
        <v>45717</v>
      </c>
      <c r="J1862">
        <v>342035.62000000005</v>
      </c>
      <c r="K1862">
        <v>15000</v>
      </c>
      <c r="L1862">
        <f t="shared" si="175"/>
        <v>22.802374666666669</v>
      </c>
      <c r="M1862">
        <v>1250</v>
      </c>
      <c r="N1862" s="2">
        <f t="shared" si="180"/>
        <v>273.62849600000004</v>
      </c>
      <c r="O1862">
        <v>12</v>
      </c>
    </row>
    <row r="1863" spans="1:15" x14ac:dyDescent="0.25">
      <c r="A1863" t="s">
        <v>46</v>
      </c>
      <c r="B1863" t="s">
        <v>15</v>
      </c>
      <c r="C1863" t="s">
        <v>34</v>
      </c>
      <c r="D1863" t="str">
        <f t="shared" si="176"/>
        <v>FAB2_ Deslac Deslactosada 1 L</v>
      </c>
      <c r="E1863">
        <v>2025</v>
      </c>
      <c r="F1863">
        <v>14</v>
      </c>
      <c r="G1863">
        <f t="shared" si="177"/>
        <v>4</v>
      </c>
      <c r="H1863" s="1">
        <f t="shared" si="178"/>
        <v>45747</v>
      </c>
      <c r="I1863" s="1">
        <f t="shared" si="179"/>
        <v>45748</v>
      </c>
      <c r="J1863">
        <v>360889.25999999989</v>
      </c>
      <c r="K1863">
        <v>15180</v>
      </c>
      <c r="L1863">
        <f t="shared" si="175"/>
        <v>23.773996047430824</v>
      </c>
      <c r="M1863">
        <v>1265</v>
      </c>
      <c r="N1863" s="2">
        <f t="shared" si="180"/>
        <v>285.28795256916987</v>
      </c>
      <c r="O1863">
        <v>12</v>
      </c>
    </row>
    <row r="1864" spans="1:15" x14ac:dyDescent="0.25">
      <c r="A1864" t="s">
        <v>46</v>
      </c>
      <c r="B1864" t="s">
        <v>15</v>
      </c>
      <c r="C1864" t="s">
        <v>34</v>
      </c>
      <c r="D1864" t="str">
        <f t="shared" si="176"/>
        <v>FAB2_ Deslac Deslactosada 1 L</v>
      </c>
      <c r="E1864">
        <v>2025</v>
      </c>
      <c r="F1864">
        <v>15</v>
      </c>
      <c r="G1864">
        <f t="shared" si="177"/>
        <v>4</v>
      </c>
      <c r="H1864" s="1">
        <f t="shared" si="178"/>
        <v>45754</v>
      </c>
      <c r="I1864" s="1">
        <f t="shared" si="179"/>
        <v>45748</v>
      </c>
      <c r="J1864">
        <v>321033.07999999996</v>
      </c>
      <c r="K1864">
        <v>13188</v>
      </c>
      <c r="L1864">
        <f t="shared" si="175"/>
        <v>24.342817713072488</v>
      </c>
      <c r="M1864">
        <v>1099</v>
      </c>
      <c r="N1864" s="2">
        <f t="shared" si="180"/>
        <v>292.11381255686985</v>
      </c>
      <c r="O1864">
        <v>12</v>
      </c>
    </row>
    <row r="1865" spans="1:15" x14ac:dyDescent="0.25">
      <c r="A1865" t="s">
        <v>46</v>
      </c>
      <c r="B1865" t="s">
        <v>15</v>
      </c>
      <c r="C1865" t="s">
        <v>34</v>
      </c>
      <c r="D1865" t="str">
        <f t="shared" si="176"/>
        <v>FAB2_ Deslac Deslactosada 1 L</v>
      </c>
      <c r="E1865">
        <v>2025</v>
      </c>
      <c r="F1865">
        <v>16</v>
      </c>
      <c r="G1865">
        <f t="shared" si="177"/>
        <v>4</v>
      </c>
      <c r="H1865" s="1">
        <f t="shared" si="178"/>
        <v>45761</v>
      </c>
      <c r="I1865" s="1">
        <f t="shared" si="179"/>
        <v>45748</v>
      </c>
      <c r="J1865">
        <v>424793.06999999995</v>
      </c>
      <c r="K1865">
        <v>17712</v>
      </c>
      <c r="L1865">
        <f t="shared" si="175"/>
        <v>23.98334857723577</v>
      </c>
      <c r="M1865">
        <v>1476</v>
      </c>
      <c r="N1865" s="2">
        <f t="shared" si="180"/>
        <v>287.80018292682922</v>
      </c>
      <c r="O1865">
        <v>12</v>
      </c>
    </row>
    <row r="1866" spans="1:15" x14ac:dyDescent="0.25">
      <c r="A1866" t="s">
        <v>46</v>
      </c>
      <c r="B1866" t="s">
        <v>15</v>
      </c>
      <c r="C1866" t="s">
        <v>34</v>
      </c>
      <c r="D1866" t="str">
        <f t="shared" si="176"/>
        <v>FAB2_ Deslac Deslactosada 1 L</v>
      </c>
      <c r="E1866">
        <v>2025</v>
      </c>
      <c r="F1866">
        <v>17</v>
      </c>
      <c r="G1866">
        <f t="shared" si="177"/>
        <v>4</v>
      </c>
      <c r="H1866" s="1">
        <f t="shared" si="178"/>
        <v>45768</v>
      </c>
      <c r="I1866" s="1">
        <f t="shared" si="179"/>
        <v>45748</v>
      </c>
      <c r="J1866">
        <v>357949.34</v>
      </c>
      <c r="K1866">
        <v>15132</v>
      </c>
      <c r="L1866">
        <f t="shared" si="175"/>
        <v>23.655124240021149</v>
      </c>
      <c r="M1866">
        <v>1261</v>
      </c>
      <c r="N1866" s="2">
        <f t="shared" si="180"/>
        <v>283.86149088025377</v>
      </c>
      <c r="O1866">
        <v>12</v>
      </c>
    </row>
    <row r="1867" spans="1:15" x14ac:dyDescent="0.25">
      <c r="A1867" t="s">
        <v>46</v>
      </c>
      <c r="B1867" t="s">
        <v>15</v>
      </c>
      <c r="C1867" t="s">
        <v>34</v>
      </c>
      <c r="D1867" t="str">
        <f t="shared" si="176"/>
        <v>FAB2_ Deslac Deslactosada 1 L</v>
      </c>
      <c r="E1867">
        <v>2025</v>
      </c>
      <c r="F1867">
        <v>18</v>
      </c>
      <c r="G1867">
        <f t="shared" si="177"/>
        <v>5</v>
      </c>
      <c r="H1867" s="1">
        <f t="shared" si="178"/>
        <v>45775</v>
      </c>
      <c r="I1867" s="1">
        <f t="shared" si="179"/>
        <v>45778</v>
      </c>
      <c r="J1867">
        <v>646621.79000000015</v>
      </c>
      <c r="K1867">
        <v>30012</v>
      </c>
      <c r="L1867">
        <f t="shared" si="175"/>
        <v>21.545441490070644</v>
      </c>
      <c r="M1867">
        <v>2501</v>
      </c>
      <c r="N1867" s="2">
        <f t="shared" si="180"/>
        <v>258.54529788084773</v>
      </c>
      <c r="O1867">
        <v>12</v>
      </c>
    </row>
    <row r="1868" spans="1:15" x14ac:dyDescent="0.25">
      <c r="A1868" t="s">
        <v>46</v>
      </c>
      <c r="B1868" t="s">
        <v>15</v>
      </c>
      <c r="C1868" t="s">
        <v>34</v>
      </c>
      <c r="D1868" t="str">
        <f t="shared" si="176"/>
        <v>FAB2_ Deslac Deslactosada 1 L</v>
      </c>
      <c r="E1868">
        <v>2025</v>
      </c>
      <c r="F1868">
        <v>19</v>
      </c>
      <c r="G1868">
        <f t="shared" si="177"/>
        <v>5</v>
      </c>
      <c r="H1868" s="1">
        <f t="shared" si="178"/>
        <v>45782</v>
      </c>
      <c r="I1868" s="1">
        <f t="shared" si="179"/>
        <v>45778</v>
      </c>
      <c r="J1868">
        <v>525164.08000000031</v>
      </c>
      <c r="K1868">
        <v>23736</v>
      </c>
      <c r="L1868">
        <f t="shared" si="175"/>
        <v>22.125214020896543</v>
      </c>
      <c r="M1868">
        <v>1978</v>
      </c>
      <c r="N1868" s="2">
        <f t="shared" si="180"/>
        <v>265.50256825075849</v>
      </c>
      <c r="O1868">
        <v>12</v>
      </c>
    </row>
    <row r="1869" spans="1:15" x14ac:dyDescent="0.25">
      <c r="A1869" t="s">
        <v>46</v>
      </c>
      <c r="B1869" t="s">
        <v>15</v>
      </c>
      <c r="C1869" t="s">
        <v>34</v>
      </c>
      <c r="D1869" t="str">
        <f t="shared" si="176"/>
        <v>FAB2_ Deslac Deslactosada 1 L</v>
      </c>
      <c r="E1869">
        <v>2025</v>
      </c>
      <c r="F1869">
        <v>20</v>
      </c>
      <c r="G1869">
        <f t="shared" si="177"/>
        <v>5</v>
      </c>
      <c r="H1869" s="1">
        <f t="shared" si="178"/>
        <v>45789</v>
      </c>
      <c r="I1869" s="1">
        <f t="shared" si="179"/>
        <v>45778</v>
      </c>
      <c r="J1869">
        <v>463132.94000000018</v>
      </c>
      <c r="K1869">
        <v>20700</v>
      </c>
      <c r="L1869">
        <f t="shared" si="175"/>
        <v>22.373571980676338</v>
      </c>
      <c r="M1869">
        <v>1725</v>
      </c>
      <c r="N1869" s="2">
        <f t="shared" si="180"/>
        <v>268.48286376811603</v>
      </c>
      <c r="O1869">
        <v>12</v>
      </c>
    </row>
    <row r="1870" spans="1:15" x14ac:dyDescent="0.25">
      <c r="A1870" t="s">
        <v>46</v>
      </c>
      <c r="B1870" t="s">
        <v>15</v>
      </c>
      <c r="C1870" t="s">
        <v>34</v>
      </c>
      <c r="D1870" t="str">
        <f t="shared" si="176"/>
        <v>FAB2_ Deslac Deslactosada 1 L</v>
      </c>
      <c r="E1870">
        <v>2025</v>
      </c>
      <c r="F1870">
        <v>21</v>
      </c>
      <c r="G1870">
        <f t="shared" si="177"/>
        <v>5</v>
      </c>
      <c r="H1870" s="1">
        <f t="shared" si="178"/>
        <v>45796</v>
      </c>
      <c r="I1870" s="1">
        <f t="shared" si="179"/>
        <v>45778</v>
      </c>
      <c r="J1870">
        <v>472077.10000000027</v>
      </c>
      <c r="K1870">
        <v>21192</v>
      </c>
      <c r="L1870">
        <f t="shared" si="175"/>
        <v>22.276193846734628</v>
      </c>
      <c r="M1870">
        <v>1766</v>
      </c>
      <c r="N1870" s="2">
        <f t="shared" si="180"/>
        <v>267.31432616081554</v>
      </c>
      <c r="O1870">
        <v>12</v>
      </c>
    </row>
    <row r="1871" spans="1:15" x14ac:dyDescent="0.25">
      <c r="A1871" t="s">
        <v>46</v>
      </c>
      <c r="B1871" t="s">
        <v>15</v>
      </c>
      <c r="C1871" t="s">
        <v>34</v>
      </c>
      <c r="D1871" t="str">
        <f t="shared" si="176"/>
        <v>FAB2_ Deslac Deslactosada 1 L</v>
      </c>
      <c r="E1871">
        <v>2025</v>
      </c>
      <c r="F1871">
        <v>22</v>
      </c>
      <c r="G1871">
        <f t="shared" si="177"/>
        <v>5</v>
      </c>
      <c r="H1871" s="1">
        <f t="shared" si="178"/>
        <v>45803</v>
      </c>
      <c r="I1871" s="1">
        <f t="shared" si="179"/>
        <v>45778</v>
      </c>
      <c r="J1871">
        <v>430706.22</v>
      </c>
      <c r="K1871">
        <v>19152</v>
      </c>
      <c r="L1871">
        <f t="shared" si="175"/>
        <v>22.488837719298242</v>
      </c>
      <c r="M1871">
        <v>1596</v>
      </c>
      <c r="N1871" s="2">
        <f t="shared" si="180"/>
        <v>269.86605263157895</v>
      </c>
      <c r="O1871">
        <v>12</v>
      </c>
    </row>
    <row r="1872" spans="1:15" x14ac:dyDescent="0.25">
      <c r="A1872" t="s">
        <v>46</v>
      </c>
      <c r="B1872" t="s">
        <v>15</v>
      </c>
      <c r="C1872" t="s">
        <v>34</v>
      </c>
      <c r="D1872" t="str">
        <f t="shared" si="176"/>
        <v>FAB2_ Deslac Deslactosada 1 L</v>
      </c>
      <c r="E1872">
        <v>2025</v>
      </c>
      <c r="F1872">
        <v>23</v>
      </c>
      <c r="G1872">
        <f t="shared" si="177"/>
        <v>6</v>
      </c>
      <c r="H1872" s="1">
        <f t="shared" si="178"/>
        <v>45810</v>
      </c>
      <c r="I1872" s="1">
        <f t="shared" si="179"/>
        <v>45809</v>
      </c>
      <c r="J1872">
        <v>513727.17</v>
      </c>
      <c r="K1872">
        <v>22596</v>
      </c>
      <c r="L1872">
        <f t="shared" si="175"/>
        <v>22.735314657461497</v>
      </c>
      <c r="M1872">
        <v>1883</v>
      </c>
      <c r="N1872" s="2">
        <f t="shared" si="180"/>
        <v>272.82377588953796</v>
      </c>
      <c r="O1872">
        <v>12</v>
      </c>
    </row>
    <row r="1873" spans="1:15" x14ac:dyDescent="0.25">
      <c r="A1873" t="s">
        <v>46</v>
      </c>
      <c r="B1873" t="s">
        <v>15</v>
      </c>
      <c r="C1873" t="s">
        <v>34</v>
      </c>
      <c r="D1873" t="str">
        <f t="shared" si="176"/>
        <v>FAB2_ Deslac Deslactosada 1 L</v>
      </c>
      <c r="E1873">
        <v>2025</v>
      </c>
      <c r="F1873">
        <v>24</v>
      </c>
      <c r="G1873">
        <f t="shared" si="177"/>
        <v>6</v>
      </c>
      <c r="H1873" s="1">
        <f t="shared" si="178"/>
        <v>45817</v>
      </c>
      <c r="I1873" s="1">
        <f t="shared" si="179"/>
        <v>45809</v>
      </c>
      <c r="J1873">
        <v>445518.05000000005</v>
      </c>
      <c r="K1873">
        <v>19488</v>
      </c>
      <c r="L1873">
        <f t="shared" si="175"/>
        <v>22.861147885878491</v>
      </c>
      <c r="M1873">
        <v>1624</v>
      </c>
      <c r="N1873" s="2">
        <f t="shared" si="180"/>
        <v>274.33377463054188</v>
      </c>
      <c r="O1873">
        <v>12</v>
      </c>
    </row>
    <row r="1874" spans="1:15" x14ac:dyDescent="0.25">
      <c r="A1874" t="s">
        <v>46</v>
      </c>
      <c r="B1874" t="s">
        <v>15</v>
      </c>
      <c r="C1874" t="s">
        <v>34</v>
      </c>
      <c r="D1874" t="str">
        <f t="shared" si="176"/>
        <v>FAB2_ Deslac Deslactosada 1 L</v>
      </c>
      <c r="E1874">
        <v>2025</v>
      </c>
      <c r="F1874">
        <v>25</v>
      </c>
      <c r="G1874">
        <f t="shared" si="177"/>
        <v>6</v>
      </c>
      <c r="H1874" s="1">
        <f t="shared" si="178"/>
        <v>45824</v>
      </c>
      <c r="I1874" s="1">
        <f t="shared" si="179"/>
        <v>45809</v>
      </c>
      <c r="J1874">
        <v>359707.15999999986</v>
      </c>
      <c r="K1874">
        <v>15216</v>
      </c>
      <c r="L1874">
        <f t="shared" si="175"/>
        <v>23.640060462670863</v>
      </c>
      <c r="M1874">
        <v>1268</v>
      </c>
      <c r="N1874" s="2">
        <f t="shared" si="180"/>
        <v>283.68072555205038</v>
      </c>
      <c r="O1874">
        <v>12</v>
      </c>
    </row>
    <row r="1875" spans="1:15" x14ac:dyDescent="0.25">
      <c r="A1875" t="s">
        <v>46</v>
      </c>
      <c r="B1875" t="s">
        <v>15</v>
      </c>
      <c r="C1875" t="s">
        <v>34</v>
      </c>
      <c r="D1875" t="str">
        <f t="shared" si="176"/>
        <v>FAB2_ Deslac Deslactosada 1 L</v>
      </c>
      <c r="E1875">
        <v>2025</v>
      </c>
      <c r="F1875">
        <v>26</v>
      </c>
      <c r="G1875">
        <f t="shared" si="177"/>
        <v>6</v>
      </c>
      <c r="H1875" s="1">
        <f t="shared" si="178"/>
        <v>45831</v>
      </c>
      <c r="I1875" s="1">
        <f t="shared" si="179"/>
        <v>45809</v>
      </c>
      <c r="J1875">
        <v>406792.70000000007</v>
      </c>
      <c r="K1875">
        <v>18288</v>
      </c>
      <c r="L1875">
        <f t="shared" si="175"/>
        <v>22.243695319335085</v>
      </c>
      <c r="M1875">
        <v>1524</v>
      </c>
      <c r="N1875" s="2">
        <f t="shared" si="180"/>
        <v>266.92434383202107</v>
      </c>
      <c r="O1875">
        <v>12</v>
      </c>
    </row>
    <row r="1876" spans="1:15" x14ac:dyDescent="0.25">
      <c r="A1876" t="s">
        <v>46</v>
      </c>
      <c r="B1876" t="s">
        <v>15</v>
      </c>
      <c r="C1876" t="s">
        <v>34</v>
      </c>
      <c r="D1876" t="str">
        <f t="shared" si="176"/>
        <v>FAB2_ Deslac Deslactosada 1 L</v>
      </c>
      <c r="E1876">
        <v>2025</v>
      </c>
      <c r="F1876">
        <v>27</v>
      </c>
      <c r="G1876">
        <f t="shared" si="177"/>
        <v>7</v>
      </c>
      <c r="H1876" s="1">
        <f t="shared" si="178"/>
        <v>45838</v>
      </c>
      <c r="I1876" s="1">
        <f t="shared" si="179"/>
        <v>45839</v>
      </c>
      <c r="J1876">
        <v>501242.47000000003</v>
      </c>
      <c r="K1876">
        <v>22272</v>
      </c>
      <c r="L1876">
        <f t="shared" si="175"/>
        <v>22.505498832614943</v>
      </c>
      <c r="M1876">
        <v>1856</v>
      </c>
      <c r="N1876" s="2">
        <f t="shared" si="180"/>
        <v>270.06598599137931</v>
      </c>
      <c r="O1876">
        <v>12</v>
      </c>
    </row>
    <row r="1877" spans="1:15" x14ac:dyDescent="0.25">
      <c r="A1877" t="s">
        <v>46</v>
      </c>
      <c r="B1877" t="s">
        <v>15</v>
      </c>
      <c r="C1877" t="s">
        <v>34</v>
      </c>
      <c r="D1877" t="str">
        <f t="shared" si="176"/>
        <v>FAB2_ Deslac Deslactosada 1 L</v>
      </c>
      <c r="E1877">
        <v>2025</v>
      </c>
      <c r="F1877">
        <v>28</v>
      </c>
      <c r="G1877">
        <f t="shared" si="177"/>
        <v>7</v>
      </c>
      <c r="H1877" s="1">
        <f t="shared" si="178"/>
        <v>45845</v>
      </c>
      <c r="I1877" s="1">
        <f t="shared" si="179"/>
        <v>45839</v>
      </c>
      <c r="J1877">
        <v>407093.39000000013</v>
      </c>
      <c r="K1877">
        <v>18036</v>
      </c>
      <c r="L1877">
        <f t="shared" si="175"/>
        <v>22.571157130184083</v>
      </c>
      <c r="M1877">
        <v>1503</v>
      </c>
      <c r="N1877" s="2">
        <f t="shared" si="180"/>
        <v>270.85388556220903</v>
      </c>
      <c r="O1877">
        <v>12</v>
      </c>
    </row>
    <row r="1878" spans="1:15" x14ac:dyDescent="0.25">
      <c r="A1878" t="s">
        <v>46</v>
      </c>
      <c r="B1878" t="s">
        <v>15</v>
      </c>
      <c r="C1878" t="s">
        <v>34</v>
      </c>
      <c r="D1878" t="str">
        <f t="shared" si="176"/>
        <v>FAB2_ Deslac Deslactosada 1 L</v>
      </c>
      <c r="E1878">
        <v>2025</v>
      </c>
      <c r="F1878">
        <v>29</v>
      </c>
      <c r="G1878">
        <f t="shared" si="177"/>
        <v>7</v>
      </c>
      <c r="H1878" s="1">
        <f t="shared" si="178"/>
        <v>45852</v>
      </c>
      <c r="I1878" s="1">
        <f t="shared" si="179"/>
        <v>45839</v>
      </c>
      <c r="J1878">
        <v>525498.70000000019</v>
      </c>
      <c r="K1878">
        <v>23796</v>
      </c>
      <c r="L1878">
        <f t="shared" si="175"/>
        <v>22.083488821650704</v>
      </c>
      <c r="M1878">
        <v>1983</v>
      </c>
      <c r="N1878" s="2">
        <f t="shared" si="180"/>
        <v>265.00186585980845</v>
      </c>
      <c r="O1878">
        <v>12</v>
      </c>
    </row>
    <row r="1879" spans="1:15" x14ac:dyDescent="0.25">
      <c r="A1879" t="s">
        <v>46</v>
      </c>
      <c r="B1879" t="s">
        <v>15</v>
      </c>
      <c r="C1879" t="s">
        <v>34</v>
      </c>
      <c r="D1879" t="str">
        <f t="shared" si="176"/>
        <v>FAB2_ Deslac Deslactosada 1 L</v>
      </c>
      <c r="E1879">
        <v>2025</v>
      </c>
      <c r="F1879">
        <v>30</v>
      </c>
      <c r="G1879">
        <f t="shared" si="177"/>
        <v>7</v>
      </c>
      <c r="H1879" s="1">
        <f t="shared" si="178"/>
        <v>45859</v>
      </c>
      <c r="I1879" s="1">
        <f t="shared" si="179"/>
        <v>45839</v>
      </c>
      <c r="J1879">
        <v>511892.11</v>
      </c>
      <c r="K1879">
        <v>23256</v>
      </c>
      <c r="L1879">
        <f t="shared" si="175"/>
        <v>22.011184640522874</v>
      </c>
      <c r="M1879">
        <v>1938</v>
      </c>
      <c r="N1879" s="2">
        <f t="shared" si="180"/>
        <v>264.1342156862745</v>
      </c>
      <c r="O1879">
        <v>12</v>
      </c>
    </row>
    <row r="1880" spans="1:15" x14ac:dyDescent="0.25">
      <c r="A1880" t="s">
        <v>46</v>
      </c>
      <c r="B1880" t="s">
        <v>15</v>
      </c>
      <c r="C1880" t="s">
        <v>34</v>
      </c>
      <c r="D1880" t="str">
        <f t="shared" si="176"/>
        <v>FAB2_ Deslac Deslactosada 1 L</v>
      </c>
      <c r="E1880">
        <v>2025</v>
      </c>
      <c r="F1880">
        <v>31</v>
      </c>
      <c r="G1880">
        <f t="shared" si="177"/>
        <v>7</v>
      </c>
      <c r="H1880" s="1">
        <f t="shared" si="178"/>
        <v>45866</v>
      </c>
      <c r="I1880" s="1">
        <f t="shared" si="179"/>
        <v>45839</v>
      </c>
      <c r="J1880">
        <v>431739.88000000006</v>
      </c>
      <c r="K1880">
        <v>19008</v>
      </c>
      <c r="L1880">
        <f t="shared" si="175"/>
        <v>22.713587962962965</v>
      </c>
      <c r="M1880">
        <v>1584</v>
      </c>
      <c r="N1880" s="2">
        <f t="shared" si="180"/>
        <v>272.56305555555559</v>
      </c>
      <c r="O1880">
        <v>12</v>
      </c>
    </row>
    <row r="1881" spans="1:15" x14ac:dyDescent="0.25">
      <c r="A1881" t="s">
        <v>46</v>
      </c>
      <c r="B1881" t="s">
        <v>15</v>
      </c>
      <c r="C1881" t="s">
        <v>35</v>
      </c>
      <c r="D1881" t="str">
        <f t="shared" si="176"/>
        <v>FAB2_ ENTERA  1.5LT 10PZ</v>
      </c>
      <c r="E1881">
        <v>2025</v>
      </c>
      <c r="F1881">
        <v>24</v>
      </c>
      <c r="G1881">
        <f t="shared" si="177"/>
        <v>6</v>
      </c>
      <c r="H1881" s="1">
        <f t="shared" si="178"/>
        <v>45817</v>
      </c>
      <c r="I1881" s="1">
        <f t="shared" si="179"/>
        <v>45809</v>
      </c>
      <c r="J1881">
        <v>32524</v>
      </c>
      <c r="K1881">
        <v>1350</v>
      </c>
      <c r="L1881">
        <f t="shared" si="175"/>
        <v>30.114814814814814</v>
      </c>
      <c r="M1881">
        <v>90</v>
      </c>
      <c r="N1881" s="2">
        <f t="shared" si="180"/>
        <v>361.37777777777779</v>
      </c>
      <c r="O1881">
        <v>12</v>
      </c>
    </row>
    <row r="1882" spans="1:15" x14ac:dyDescent="0.25">
      <c r="A1882" t="s">
        <v>46</v>
      </c>
      <c r="B1882" t="s">
        <v>15</v>
      </c>
      <c r="C1882" t="s">
        <v>35</v>
      </c>
      <c r="D1882" t="str">
        <f t="shared" si="176"/>
        <v>FAB2_ ENTERA  1.5LT 10PZ</v>
      </c>
      <c r="E1882">
        <v>2025</v>
      </c>
      <c r="F1882">
        <v>25</v>
      </c>
      <c r="G1882">
        <f t="shared" si="177"/>
        <v>6</v>
      </c>
      <c r="H1882" s="1">
        <f t="shared" si="178"/>
        <v>45824</v>
      </c>
      <c r="I1882" s="1">
        <f t="shared" si="179"/>
        <v>45809</v>
      </c>
      <c r="J1882">
        <v>137778</v>
      </c>
      <c r="K1882">
        <v>6180</v>
      </c>
      <c r="L1882">
        <f t="shared" si="175"/>
        <v>27.867718446601941</v>
      </c>
      <c r="M1882">
        <v>412</v>
      </c>
      <c r="N1882" s="2">
        <f t="shared" si="180"/>
        <v>334.41262135922329</v>
      </c>
      <c r="O1882">
        <v>12</v>
      </c>
    </row>
    <row r="1883" spans="1:15" x14ac:dyDescent="0.25">
      <c r="A1883" t="s">
        <v>46</v>
      </c>
      <c r="B1883" t="s">
        <v>15</v>
      </c>
      <c r="C1883" t="s">
        <v>35</v>
      </c>
      <c r="D1883" t="str">
        <f t="shared" si="176"/>
        <v>FAB2_ ENTERA  1.5LT 10PZ</v>
      </c>
      <c r="E1883">
        <v>2025</v>
      </c>
      <c r="F1883">
        <v>26</v>
      </c>
      <c r="G1883">
        <f t="shared" si="177"/>
        <v>6</v>
      </c>
      <c r="H1883" s="1">
        <f t="shared" si="178"/>
        <v>45831</v>
      </c>
      <c r="I1883" s="1">
        <f t="shared" si="179"/>
        <v>45809</v>
      </c>
      <c r="J1883">
        <v>168749</v>
      </c>
      <c r="K1883">
        <v>8265</v>
      </c>
      <c r="L1883">
        <f t="shared" si="175"/>
        <v>25.521627344222626</v>
      </c>
      <c r="M1883">
        <v>551</v>
      </c>
      <c r="N1883" s="2">
        <f t="shared" si="180"/>
        <v>306.25952813067153</v>
      </c>
      <c r="O1883">
        <v>12</v>
      </c>
    </row>
    <row r="1884" spans="1:15" x14ac:dyDescent="0.25">
      <c r="A1884" t="s">
        <v>46</v>
      </c>
      <c r="B1884" t="s">
        <v>15</v>
      </c>
      <c r="C1884" t="s">
        <v>35</v>
      </c>
      <c r="D1884" t="str">
        <f t="shared" si="176"/>
        <v>FAB2_ ENTERA  1.5LT 10PZ</v>
      </c>
      <c r="E1884">
        <v>2025</v>
      </c>
      <c r="F1884">
        <v>27</v>
      </c>
      <c r="G1884">
        <f t="shared" si="177"/>
        <v>7</v>
      </c>
      <c r="H1884" s="1">
        <f t="shared" si="178"/>
        <v>45838</v>
      </c>
      <c r="I1884" s="1">
        <f t="shared" si="179"/>
        <v>45839</v>
      </c>
      <c r="J1884">
        <v>254479.03999999998</v>
      </c>
      <c r="K1884">
        <v>12765</v>
      </c>
      <c r="L1884">
        <f t="shared" si="175"/>
        <v>24.919608303956128</v>
      </c>
      <c r="M1884">
        <v>851</v>
      </c>
      <c r="N1884" s="2">
        <f t="shared" si="180"/>
        <v>299.03529964747355</v>
      </c>
      <c r="O1884">
        <v>12</v>
      </c>
    </row>
    <row r="1885" spans="1:15" x14ac:dyDescent="0.25">
      <c r="A1885" t="s">
        <v>46</v>
      </c>
      <c r="B1885" t="s">
        <v>15</v>
      </c>
      <c r="C1885" t="s">
        <v>35</v>
      </c>
      <c r="D1885" t="str">
        <f t="shared" si="176"/>
        <v>FAB2_ ENTERA  1.5LT 10PZ</v>
      </c>
      <c r="E1885">
        <v>2025</v>
      </c>
      <c r="F1885">
        <v>28</v>
      </c>
      <c r="G1885">
        <f t="shared" si="177"/>
        <v>7</v>
      </c>
      <c r="H1885" s="1">
        <f t="shared" si="178"/>
        <v>45845</v>
      </c>
      <c r="I1885" s="1">
        <f t="shared" si="179"/>
        <v>45839</v>
      </c>
      <c r="J1885">
        <v>233470.96000000002</v>
      </c>
      <c r="K1885">
        <v>11640</v>
      </c>
      <c r="L1885">
        <f t="shared" si="175"/>
        <v>25.072053264604815</v>
      </c>
      <c r="M1885">
        <v>776</v>
      </c>
      <c r="N1885" s="2">
        <f t="shared" si="180"/>
        <v>300.86463917525776</v>
      </c>
      <c r="O1885">
        <v>12</v>
      </c>
    </row>
    <row r="1886" spans="1:15" x14ac:dyDescent="0.25">
      <c r="A1886" t="s">
        <v>46</v>
      </c>
      <c r="B1886" t="s">
        <v>15</v>
      </c>
      <c r="C1886" t="s">
        <v>35</v>
      </c>
      <c r="D1886" t="str">
        <f t="shared" si="176"/>
        <v>FAB2_ ENTERA  1.5LT 10PZ</v>
      </c>
      <c r="E1886">
        <v>2025</v>
      </c>
      <c r="F1886">
        <v>29</v>
      </c>
      <c r="G1886">
        <f t="shared" si="177"/>
        <v>7</v>
      </c>
      <c r="H1886" s="1">
        <f t="shared" si="178"/>
        <v>45852</v>
      </c>
      <c r="I1886" s="1">
        <f t="shared" si="179"/>
        <v>45839</v>
      </c>
      <c r="J1886">
        <v>175625.51000000004</v>
      </c>
      <c r="K1886">
        <v>8400</v>
      </c>
      <c r="L1886">
        <f t="shared" si="175"/>
        <v>26.134748511904768</v>
      </c>
      <c r="M1886">
        <v>560</v>
      </c>
      <c r="N1886" s="2">
        <f t="shared" si="180"/>
        <v>313.61698214285724</v>
      </c>
      <c r="O1886">
        <v>12</v>
      </c>
    </row>
    <row r="1887" spans="1:15" x14ac:dyDescent="0.25">
      <c r="A1887" t="s">
        <v>46</v>
      </c>
      <c r="B1887" t="s">
        <v>15</v>
      </c>
      <c r="C1887" t="s">
        <v>35</v>
      </c>
      <c r="D1887" t="str">
        <f t="shared" si="176"/>
        <v>FAB2_ ENTERA  1.5LT 10PZ</v>
      </c>
      <c r="E1887">
        <v>2025</v>
      </c>
      <c r="F1887">
        <v>30</v>
      </c>
      <c r="G1887">
        <f t="shared" si="177"/>
        <v>7</v>
      </c>
      <c r="H1887" s="1">
        <f t="shared" si="178"/>
        <v>45859</v>
      </c>
      <c r="I1887" s="1">
        <f t="shared" si="179"/>
        <v>45839</v>
      </c>
      <c r="J1887">
        <v>353408.9500000003</v>
      </c>
      <c r="K1887">
        <v>18390</v>
      </c>
      <c r="L1887">
        <f t="shared" si="175"/>
        <v>24.021815524741729</v>
      </c>
      <c r="M1887">
        <v>1226</v>
      </c>
      <c r="N1887" s="2">
        <f t="shared" si="180"/>
        <v>288.26178629690071</v>
      </c>
      <c r="O1887">
        <v>12</v>
      </c>
    </row>
    <row r="1888" spans="1:15" x14ac:dyDescent="0.25">
      <c r="A1888" t="s">
        <v>46</v>
      </c>
      <c r="B1888" t="s">
        <v>15</v>
      </c>
      <c r="C1888" t="s">
        <v>35</v>
      </c>
      <c r="D1888" t="str">
        <f t="shared" si="176"/>
        <v>FAB2_ ENTERA  1.5LT 10PZ</v>
      </c>
      <c r="E1888">
        <v>2025</v>
      </c>
      <c r="F1888">
        <v>31</v>
      </c>
      <c r="G1888">
        <f t="shared" si="177"/>
        <v>7</v>
      </c>
      <c r="H1888" s="1">
        <f t="shared" si="178"/>
        <v>45866</v>
      </c>
      <c r="I1888" s="1">
        <f t="shared" si="179"/>
        <v>45839</v>
      </c>
      <c r="J1888">
        <v>294839.68000000005</v>
      </c>
      <c r="K1888">
        <v>14790</v>
      </c>
      <c r="L1888">
        <f t="shared" si="175"/>
        <v>24.918837052062209</v>
      </c>
      <c r="M1888">
        <v>986</v>
      </c>
      <c r="N1888" s="2">
        <f t="shared" si="180"/>
        <v>299.02604462474648</v>
      </c>
      <c r="O1888">
        <v>12</v>
      </c>
    </row>
    <row r="1889" spans="1:15" x14ac:dyDescent="0.25">
      <c r="A1889" t="s">
        <v>46</v>
      </c>
      <c r="B1889" t="s">
        <v>15</v>
      </c>
      <c r="C1889" t="s">
        <v>36</v>
      </c>
      <c r="D1889" t="str">
        <f t="shared" si="176"/>
        <v>FAB2_ Entera Entera 1 L</v>
      </c>
      <c r="E1889">
        <v>2022</v>
      </c>
      <c r="F1889">
        <v>1</v>
      </c>
      <c r="G1889">
        <f t="shared" si="177"/>
        <v>1</v>
      </c>
      <c r="H1889" s="1">
        <f t="shared" si="178"/>
        <v>44564</v>
      </c>
      <c r="I1889" s="1">
        <f t="shared" si="179"/>
        <v>44562</v>
      </c>
      <c r="J1889">
        <v>166720.76</v>
      </c>
      <c r="K1889">
        <v>9348</v>
      </c>
      <c r="L1889">
        <f t="shared" si="175"/>
        <v>17.834912280701754</v>
      </c>
      <c r="M1889">
        <v>779</v>
      </c>
      <c r="N1889" s="2">
        <f t="shared" si="180"/>
        <v>214.01894736842107</v>
      </c>
      <c r="O1889">
        <v>12</v>
      </c>
    </row>
    <row r="1890" spans="1:15" x14ac:dyDescent="0.25">
      <c r="A1890" t="s">
        <v>46</v>
      </c>
      <c r="B1890" t="s">
        <v>15</v>
      </c>
      <c r="C1890" t="s">
        <v>36</v>
      </c>
      <c r="D1890" t="str">
        <f t="shared" si="176"/>
        <v>FAB2_ Entera Entera 1 L</v>
      </c>
      <c r="E1890">
        <v>2022</v>
      </c>
      <c r="F1890">
        <v>2</v>
      </c>
      <c r="G1890">
        <f t="shared" si="177"/>
        <v>1</v>
      </c>
      <c r="H1890" s="1">
        <f t="shared" si="178"/>
        <v>44571</v>
      </c>
      <c r="I1890" s="1">
        <f t="shared" si="179"/>
        <v>44562</v>
      </c>
      <c r="J1890">
        <v>157507.71000000002</v>
      </c>
      <c r="K1890">
        <v>9276</v>
      </c>
      <c r="L1890">
        <f t="shared" si="175"/>
        <v>16.980132600258734</v>
      </c>
      <c r="M1890">
        <v>773</v>
      </c>
      <c r="N1890" s="2">
        <f t="shared" si="180"/>
        <v>203.76159120310481</v>
      </c>
      <c r="O1890">
        <v>12</v>
      </c>
    </row>
    <row r="1891" spans="1:15" x14ac:dyDescent="0.25">
      <c r="A1891" t="s">
        <v>46</v>
      </c>
      <c r="B1891" t="s">
        <v>15</v>
      </c>
      <c r="C1891" t="s">
        <v>36</v>
      </c>
      <c r="D1891" t="str">
        <f t="shared" si="176"/>
        <v>FAB2_ Entera Entera 1 L</v>
      </c>
      <c r="E1891">
        <v>2022</v>
      </c>
      <c r="F1891">
        <v>3</v>
      </c>
      <c r="G1891">
        <f t="shared" si="177"/>
        <v>1</v>
      </c>
      <c r="H1891" s="1">
        <f t="shared" si="178"/>
        <v>44578</v>
      </c>
      <c r="I1891" s="1">
        <f t="shared" si="179"/>
        <v>44562</v>
      </c>
      <c r="J1891">
        <v>146978.87</v>
      </c>
      <c r="K1891">
        <v>8628</v>
      </c>
      <c r="L1891">
        <f t="shared" si="175"/>
        <v>17.035103152526656</v>
      </c>
      <c r="M1891">
        <v>719</v>
      </c>
      <c r="N1891" s="2">
        <f t="shared" si="180"/>
        <v>204.42123783031988</v>
      </c>
      <c r="O1891">
        <v>12</v>
      </c>
    </row>
    <row r="1892" spans="1:15" x14ac:dyDescent="0.25">
      <c r="A1892" t="s">
        <v>46</v>
      </c>
      <c r="B1892" t="s">
        <v>15</v>
      </c>
      <c r="C1892" t="s">
        <v>36</v>
      </c>
      <c r="D1892" t="str">
        <f t="shared" si="176"/>
        <v>FAB2_ Entera Entera 1 L</v>
      </c>
      <c r="E1892">
        <v>2022</v>
      </c>
      <c r="F1892">
        <v>4</v>
      </c>
      <c r="G1892">
        <f t="shared" si="177"/>
        <v>1</v>
      </c>
      <c r="H1892" s="1">
        <f t="shared" si="178"/>
        <v>44585</v>
      </c>
      <c r="I1892" s="1">
        <f t="shared" si="179"/>
        <v>44562</v>
      </c>
      <c r="J1892">
        <v>100431.26000000001</v>
      </c>
      <c r="K1892">
        <v>5892</v>
      </c>
      <c r="L1892">
        <f t="shared" si="175"/>
        <v>17.045359809911748</v>
      </c>
      <c r="M1892">
        <v>491</v>
      </c>
      <c r="N1892" s="2">
        <f t="shared" si="180"/>
        <v>204.54431771894096</v>
      </c>
      <c r="O1892">
        <v>12</v>
      </c>
    </row>
    <row r="1893" spans="1:15" x14ac:dyDescent="0.25">
      <c r="A1893" t="s">
        <v>46</v>
      </c>
      <c r="B1893" t="s">
        <v>15</v>
      </c>
      <c r="C1893" t="s">
        <v>36</v>
      </c>
      <c r="D1893" t="str">
        <f t="shared" si="176"/>
        <v>FAB2_ Entera Entera 1 L</v>
      </c>
      <c r="E1893">
        <v>2022</v>
      </c>
      <c r="F1893">
        <v>5</v>
      </c>
      <c r="G1893">
        <f t="shared" si="177"/>
        <v>2</v>
      </c>
      <c r="H1893" s="1">
        <f t="shared" si="178"/>
        <v>44592</v>
      </c>
      <c r="I1893" s="1">
        <f t="shared" si="179"/>
        <v>44593</v>
      </c>
      <c r="J1893">
        <v>147467.66</v>
      </c>
      <c r="K1893">
        <v>8592</v>
      </c>
      <c r="L1893">
        <f t="shared" si="175"/>
        <v>17.16336824953445</v>
      </c>
      <c r="M1893">
        <v>716</v>
      </c>
      <c r="N1893" s="2">
        <f t="shared" si="180"/>
        <v>205.9604189944134</v>
      </c>
      <c r="O1893">
        <v>12</v>
      </c>
    </row>
    <row r="1894" spans="1:15" x14ac:dyDescent="0.25">
      <c r="A1894" t="s">
        <v>46</v>
      </c>
      <c r="B1894" t="s">
        <v>15</v>
      </c>
      <c r="C1894" t="s">
        <v>36</v>
      </c>
      <c r="D1894" t="str">
        <f t="shared" si="176"/>
        <v>FAB2_ Entera Entera 1 L</v>
      </c>
      <c r="E1894">
        <v>2022</v>
      </c>
      <c r="F1894">
        <v>6</v>
      </c>
      <c r="G1894">
        <f t="shared" si="177"/>
        <v>2</v>
      </c>
      <c r="H1894" s="1">
        <f t="shared" si="178"/>
        <v>44599</v>
      </c>
      <c r="I1894" s="1">
        <f t="shared" si="179"/>
        <v>44593</v>
      </c>
      <c r="J1894">
        <v>139423.54999999999</v>
      </c>
      <c r="K1894">
        <v>8184</v>
      </c>
      <c r="L1894">
        <f t="shared" si="175"/>
        <v>17.036113147605082</v>
      </c>
      <c r="M1894">
        <v>682</v>
      </c>
      <c r="N1894" s="2">
        <f t="shared" si="180"/>
        <v>204.43335777126097</v>
      </c>
      <c r="O1894">
        <v>12</v>
      </c>
    </row>
    <row r="1895" spans="1:15" x14ac:dyDescent="0.25">
      <c r="A1895" t="s">
        <v>46</v>
      </c>
      <c r="B1895" t="s">
        <v>15</v>
      </c>
      <c r="C1895" t="s">
        <v>36</v>
      </c>
      <c r="D1895" t="str">
        <f t="shared" si="176"/>
        <v>FAB2_ Entera Entera 1 L</v>
      </c>
      <c r="E1895">
        <v>2022</v>
      </c>
      <c r="F1895">
        <v>7</v>
      </c>
      <c r="G1895">
        <f t="shared" si="177"/>
        <v>2</v>
      </c>
      <c r="H1895" s="1">
        <f t="shared" si="178"/>
        <v>44606</v>
      </c>
      <c r="I1895" s="1">
        <f t="shared" si="179"/>
        <v>44593</v>
      </c>
      <c r="J1895">
        <v>287165.61</v>
      </c>
      <c r="K1895">
        <v>16812</v>
      </c>
      <c r="L1895">
        <f t="shared" si="175"/>
        <v>17.080990364025695</v>
      </c>
      <c r="M1895">
        <v>1401</v>
      </c>
      <c r="N1895" s="2">
        <f t="shared" si="180"/>
        <v>204.97188436830834</v>
      </c>
      <c r="O1895">
        <v>12</v>
      </c>
    </row>
    <row r="1896" spans="1:15" x14ac:dyDescent="0.25">
      <c r="A1896" t="s">
        <v>46</v>
      </c>
      <c r="B1896" t="s">
        <v>15</v>
      </c>
      <c r="C1896" t="s">
        <v>36</v>
      </c>
      <c r="D1896" t="str">
        <f t="shared" si="176"/>
        <v>FAB2_ Entera Entera 1 L</v>
      </c>
      <c r="E1896">
        <v>2022</v>
      </c>
      <c r="F1896">
        <v>8</v>
      </c>
      <c r="G1896">
        <f t="shared" si="177"/>
        <v>2</v>
      </c>
      <c r="H1896" s="1">
        <f t="shared" si="178"/>
        <v>44613</v>
      </c>
      <c r="I1896" s="1">
        <f t="shared" si="179"/>
        <v>44593</v>
      </c>
      <c r="J1896">
        <v>646398.81999999995</v>
      </c>
      <c r="K1896">
        <v>38508</v>
      </c>
      <c r="L1896">
        <f t="shared" si="175"/>
        <v>16.786091721200787</v>
      </c>
      <c r="M1896">
        <v>3209</v>
      </c>
      <c r="N1896" s="2">
        <f t="shared" si="180"/>
        <v>201.43310065440946</v>
      </c>
      <c r="O1896">
        <v>12</v>
      </c>
    </row>
    <row r="1897" spans="1:15" x14ac:dyDescent="0.25">
      <c r="A1897" t="s">
        <v>46</v>
      </c>
      <c r="B1897" t="s">
        <v>15</v>
      </c>
      <c r="C1897" t="s">
        <v>36</v>
      </c>
      <c r="D1897" t="str">
        <f t="shared" si="176"/>
        <v>FAB2_ Entera Entera 1 L</v>
      </c>
      <c r="E1897">
        <v>2022</v>
      </c>
      <c r="F1897">
        <v>9</v>
      </c>
      <c r="G1897">
        <f t="shared" si="177"/>
        <v>3</v>
      </c>
      <c r="H1897" s="1">
        <f t="shared" si="178"/>
        <v>44620</v>
      </c>
      <c r="I1897" s="1">
        <f t="shared" si="179"/>
        <v>44621</v>
      </c>
      <c r="J1897">
        <v>1217713.8199999998</v>
      </c>
      <c r="K1897">
        <v>73896</v>
      </c>
      <c r="L1897">
        <f t="shared" si="175"/>
        <v>16.478751488578542</v>
      </c>
      <c r="M1897">
        <v>6158</v>
      </c>
      <c r="N1897" s="2">
        <f t="shared" si="180"/>
        <v>197.74501786294249</v>
      </c>
      <c r="O1897">
        <v>12</v>
      </c>
    </row>
    <row r="1898" spans="1:15" x14ac:dyDescent="0.25">
      <c r="A1898" t="s">
        <v>46</v>
      </c>
      <c r="B1898" t="s">
        <v>15</v>
      </c>
      <c r="C1898" t="s">
        <v>36</v>
      </c>
      <c r="D1898" t="str">
        <f t="shared" si="176"/>
        <v>FAB2_ Entera Entera 1 L</v>
      </c>
      <c r="E1898">
        <v>2022</v>
      </c>
      <c r="F1898">
        <v>10</v>
      </c>
      <c r="G1898">
        <f t="shared" si="177"/>
        <v>3</v>
      </c>
      <c r="H1898" s="1">
        <f t="shared" si="178"/>
        <v>44627</v>
      </c>
      <c r="I1898" s="1">
        <f t="shared" si="179"/>
        <v>44621</v>
      </c>
      <c r="J1898">
        <v>765581.01999999979</v>
      </c>
      <c r="K1898">
        <v>46032</v>
      </c>
      <c r="L1898">
        <f t="shared" si="175"/>
        <v>16.631495915884596</v>
      </c>
      <c r="M1898">
        <v>3836</v>
      </c>
      <c r="N1898" s="2">
        <f t="shared" si="180"/>
        <v>199.57795099061516</v>
      </c>
      <c r="O1898">
        <v>12</v>
      </c>
    </row>
    <row r="1899" spans="1:15" x14ac:dyDescent="0.25">
      <c r="A1899" t="s">
        <v>46</v>
      </c>
      <c r="B1899" t="s">
        <v>15</v>
      </c>
      <c r="C1899" t="s">
        <v>36</v>
      </c>
      <c r="D1899" t="str">
        <f t="shared" si="176"/>
        <v>FAB2_ Entera Entera 1 L</v>
      </c>
      <c r="E1899">
        <v>2022</v>
      </c>
      <c r="F1899">
        <v>11</v>
      </c>
      <c r="G1899">
        <f t="shared" si="177"/>
        <v>3</v>
      </c>
      <c r="H1899" s="1">
        <f t="shared" si="178"/>
        <v>44634</v>
      </c>
      <c r="I1899" s="1">
        <f t="shared" si="179"/>
        <v>44621</v>
      </c>
      <c r="J1899">
        <v>912884.2700000006</v>
      </c>
      <c r="K1899">
        <v>54396</v>
      </c>
      <c r="L1899">
        <f t="shared" si="175"/>
        <v>16.782194830502252</v>
      </c>
      <c r="M1899">
        <v>4533</v>
      </c>
      <c r="N1899" s="2">
        <f t="shared" si="180"/>
        <v>201.38633796602704</v>
      </c>
      <c r="O1899">
        <v>12</v>
      </c>
    </row>
    <row r="1900" spans="1:15" x14ac:dyDescent="0.25">
      <c r="A1900" t="s">
        <v>46</v>
      </c>
      <c r="B1900" t="s">
        <v>15</v>
      </c>
      <c r="C1900" t="s">
        <v>36</v>
      </c>
      <c r="D1900" t="str">
        <f t="shared" si="176"/>
        <v>FAB2_ Entera Entera 1 L</v>
      </c>
      <c r="E1900">
        <v>2022</v>
      </c>
      <c r="F1900">
        <v>12</v>
      </c>
      <c r="G1900">
        <f t="shared" si="177"/>
        <v>3</v>
      </c>
      <c r="H1900" s="1">
        <f t="shared" si="178"/>
        <v>44641</v>
      </c>
      <c r="I1900" s="1">
        <f t="shared" si="179"/>
        <v>44621</v>
      </c>
      <c r="J1900">
        <v>766827.64000000071</v>
      </c>
      <c r="K1900">
        <v>45024</v>
      </c>
      <c r="L1900">
        <f t="shared" si="175"/>
        <v>17.031530739161351</v>
      </c>
      <c r="M1900">
        <v>3752</v>
      </c>
      <c r="N1900" s="2">
        <f t="shared" si="180"/>
        <v>204.37836886993622</v>
      </c>
      <c r="O1900">
        <v>12</v>
      </c>
    </row>
    <row r="1901" spans="1:15" x14ac:dyDescent="0.25">
      <c r="A1901" t="s">
        <v>46</v>
      </c>
      <c r="B1901" t="s">
        <v>15</v>
      </c>
      <c r="C1901" t="s">
        <v>36</v>
      </c>
      <c r="D1901" t="str">
        <f t="shared" si="176"/>
        <v>FAB2_ Entera Entera 1 L</v>
      </c>
      <c r="E1901">
        <v>2022</v>
      </c>
      <c r="F1901">
        <v>13</v>
      </c>
      <c r="G1901">
        <f t="shared" si="177"/>
        <v>3</v>
      </c>
      <c r="H1901" s="1">
        <f t="shared" si="178"/>
        <v>44648</v>
      </c>
      <c r="I1901" s="1">
        <f t="shared" si="179"/>
        <v>44621</v>
      </c>
      <c r="J1901">
        <v>972365.05999999994</v>
      </c>
      <c r="K1901">
        <v>57060</v>
      </c>
      <c r="L1901">
        <f t="shared" si="175"/>
        <v>17.041098142306343</v>
      </c>
      <c r="M1901">
        <v>4755</v>
      </c>
      <c r="N1901" s="2">
        <f t="shared" si="180"/>
        <v>204.49317770767613</v>
      </c>
      <c r="O1901">
        <v>12</v>
      </c>
    </row>
    <row r="1902" spans="1:15" x14ac:dyDescent="0.25">
      <c r="A1902" t="s">
        <v>46</v>
      </c>
      <c r="B1902" t="s">
        <v>15</v>
      </c>
      <c r="C1902" t="s">
        <v>36</v>
      </c>
      <c r="D1902" t="str">
        <f t="shared" si="176"/>
        <v>FAB2_ Entera Entera 1 L</v>
      </c>
      <c r="E1902">
        <v>2022</v>
      </c>
      <c r="F1902">
        <v>14</v>
      </c>
      <c r="G1902">
        <f t="shared" si="177"/>
        <v>4</v>
      </c>
      <c r="H1902" s="1">
        <f t="shared" si="178"/>
        <v>44655</v>
      </c>
      <c r="I1902" s="1">
        <f t="shared" si="179"/>
        <v>44652</v>
      </c>
      <c r="J1902">
        <v>976256.59000000008</v>
      </c>
      <c r="K1902">
        <v>56832</v>
      </c>
      <c r="L1902">
        <f t="shared" si="175"/>
        <v>17.177938309403153</v>
      </c>
      <c r="M1902">
        <v>4736</v>
      </c>
      <c r="N1902" s="2">
        <f t="shared" si="180"/>
        <v>206.13525971283786</v>
      </c>
      <c r="O1902">
        <v>12</v>
      </c>
    </row>
    <row r="1903" spans="1:15" x14ac:dyDescent="0.25">
      <c r="A1903" t="s">
        <v>46</v>
      </c>
      <c r="B1903" t="s">
        <v>15</v>
      </c>
      <c r="C1903" t="s">
        <v>36</v>
      </c>
      <c r="D1903" t="str">
        <f t="shared" si="176"/>
        <v>FAB2_ Entera Entera 1 L</v>
      </c>
      <c r="E1903">
        <v>2022</v>
      </c>
      <c r="F1903">
        <v>15</v>
      </c>
      <c r="G1903">
        <f t="shared" si="177"/>
        <v>4</v>
      </c>
      <c r="H1903" s="1">
        <f t="shared" si="178"/>
        <v>44662</v>
      </c>
      <c r="I1903" s="1">
        <f t="shared" si="179"/>
        <v>44652</v>
      </c>
      <c r="J1903">
        <v>872064.50000000081</v>
      </c>
      <c r="K1903">
        <v>52284</v>
      </c>
      <c r="L1903">
        <f t="shared" si="175"/>
        <v>16.679376099762848</v>
      </c>
      <c r="M1903">
        <v>4357</v>
      </c>
      <c r="N1903" s="2">
        <f t="shared" si="180"/>
        <v>200.15251319715418</v>
      </c>
      <c r="O1903">
        <v>12</v>
      </c>
    </row>
    <row r="1904" spans="1:15" x14ac:dyDescent="0.25">
      <c r="A1904" t="s">
        <v>46</v>
      </c>
      <c r="B1904" t="s">
        <v>15</v>
      </c>
      <c r="C1904" t="s">
        <v>36</v>
      </c>
      <c r="D1904" t="str">
        <f t="shared" si="176"/>
        <v>FAB2_ Entera Entera 1 L</v>
      </c>
      <c r="E1904">
        <v>2022</v>
      </c>
      <c r="F1904">
        <v>16</v>
      </c>
      <c r="G1904">
        <f t="shared" si="177"/>
        <v>4</v>
      </c>
      <c r="H1904" s="1">
        <f t="shared" si="178"/>
        <v>44669</v>
      </c>
      <c r="I1904" s="1">
        <f t="shared" si="179"/>
        <v>44652</v>
      </c>
      <c r="J1904">
        <v>962813.26000000059</v>
      </c>
      <c r="K1904">
        <v>56556</v>
      </c>
      <c r="L1904">
        <f t="shared" si="175"/>
        <v>17.024069241106172</v>
      </c>
      <c r="M1904">
        <v>4713</v>
      </c>
      <c r="N1904" s="2">
        <f t="shared" si="180"/>
        <v>204.28883089327405</v>
      </c>
      <c r="O1904">
        <v>12</v>
      </c>
    </row>
    <row r="1905" spans="1:15" x14ac:dyDescent="0.25">
      <c r="A1905" t="s">
        <v>46</v>
      </c>
      <c r="B1905" t="s">
        <v>15</v>
      </c>
      <c r="C1905" t="s">
        <v>36</v>
      </c>
      <c r="D1905" t="str">
        <f t="shared" si="176"/>
        <v>FAB2_ Entera Entera 1 L</v>
      </c>
      <c r="E1905">
        <v>2022</v>
      </c>
      <c r="F1905">
        <v>17</v>
      </c>
      <c r="G1905">
        <f t="shared" si="177"/>
        <v>4</v>
      </c>
      <c r="H1905" s="1">
        <f t="shared" si="178"/>
        <v>44676</v>
      </c>
      <c r="I1905" s="1">
        <f t="shared" si="179"/>
        <v>44652</v>
      </c>
      <c r="J1905">
        <v>1205650.1800000011</v>
      </c>
      <c r="K1905">
        <v>75264</v>
      </c>
      <c r="L1905">
        <f t="shared" si="175"/>
        <v>16.01894903273811</v>
      </c>
      <c r="M1905">
        <v>6272</v>
      </c>
      <c r="N1905" s="2">
        <f t="shared" si="180"/>
        <v>192.22738839285731</v>
      </c>
      <c r="O1905">
        <v>12</v>
      </c>
    </row>
    <row r="1906" spans="1:15" x14ac:dyDescent="0.25">
      <c r="A1906" t="s">
        <v>46</v>
      </c>
      <c r="B1906" t="s">
        <v>15</v>
      </c>
      <c r="C1906" t="s">
        <v>36</v>
      </c>
      <c r="D1906" t="str">
        <f t="shared" si="176"/>
        <v>FAB2_ Entera Entera 1 L</v>
      </c>
      <c r="E1906">
        <v>2022</v>
      </c>
      <c r="F1906">
        <v>18</v>
      </c>
      <c r="G1906">
        <f t="shared" si="177"/>
        <v>5</v>
      </c>
      <c r="H1906" s="1">
        <f t="shared" si="178"/>
        <v>44683</v>
      </c>
      <c r="I1906" s="1">
        <f t="shared" si="179"/>
        <v>44682</v>
      </c>
      <c r="J1906">
        <v>1205423.790000001</v>
      </c>
      <c r="K1906">
        <v>71532</v>
      </c>
      <c r="L1906">
        <f t="shared" si="175"/>
        <v>16.851532041603772</v>
      </c>
      <c r="M1906">
        <v>5961</v>
      </c>
      <c r="N1906" s="2">
        <f t="shared" si="180"/>
        <v>202.21838449924525</v>
      </c>
      <c r="O1906">
        <v>12</v>
      </c>
    </row>
    <row r="1907" spans="1:15" x14ac:dyDescent="0.25">
      <c r="A1907" t="s">
        <v>46</v>
      </c>
      <c r="B1907" t="s">
        <v>15</v>
      </c>
      <c r="C1907" t="s">
        <v>36</v>
      </c>
      <c r="D1907" t="str">
        <f t="shared" si="176"/>
        <v>FAB2_ Entera Entera 1 L</v>
      </c>
      <c r="E1907">
        <v>2022</v>
      </c>
      <c r="F1907">
        <v>19</v>
      </c>
      <c r="G1907">
        <f t="shared" si="177"/>
        <v>5</v>
      </c>
      <c r="H1907" s="1">
        <f t="shared" si="178"/>
        <v>44690</v>
      </c>
      <c r="I1907" s="1">
        <f t="shared" si="179"/>
        <v>44682</v>
      </c>
      <c r="J1907">
        <v>704082.33000000019</v>
      </c>
      <c r="K1907">
        <v>39348</v>
      </c>
      <c r="L1907">
        <f t="shared" si="175"/>
        <v>17.893725983531571</v>
      </c>
      <c r="M1907">
        <v>3279</v>
      </c>
      <c r="N1907" s="2">
        <f t="shared" si="180"/>
        <v>214.72471180237883</v>
      </c>
      <c r="O1907">
        <v>12</v>
      </c>
    </row>
    <row r="1908" spans="1:15" x14ac:dyDescent="0.25">
      <c r="A1908" t="s">
        <v>46</v>
      </c>
      <c r="B1908" t="s">
        <v>15</v>
      </c>
      <c r="C1908" t="s">
        <v>36</v>
      </c>
      <c r="D1908" t="str">
        <f t="shared" si="176"/>
        <v>FAB2_ Entera Entera 1 L</v>
      </c>
      <c r="E1908">
        <v>2022</v>
      </c>
      <c r="F1908">
        <v>20</v>
      </c>
      <c r="G1908">
        <f t="shared" si="177"/>
        <v>5</v>
      </c>
      <c r="H1908" s="1">
        <f t="shared" si="178"/>
        <v>44697</v>
      </c>
      <c r="I1908" s="1">
        <f t="shared" si="179"/>
        <v>44682</v>
      </c>
      <c r="J1908">
        <v>810287.53000000014</v>
      </c>
      <c r="K1908">
        <v>46008</v>
      </c>
      <c r="L1908">
        <f t="shared" si="175"/>
        <v>17.611883368109897</v>
      </c>
      <c r="M1908">
        <v>3834</v>
      </c>
      <c r="N1908" s="2">
        <f t="shared" si="180"/>
        <v>211.34260041731878</v>
      </c>
      <c r="O1908">
        <v>12</v>
      </c>
    </row>
    <row r="1909" spans="1:15" x14ac:dyDescent="0.25">
      <c r="A1909" t="s">
        <v>46</v>
      </c>
      <c r="B1909" t="s">
        <v>15</v>
      </c>
      <c r="C1909" t="s">
        <v>36</v>
      </c>
      <c r="D1909" t="str">
        <f t="shared" si="176"/>
        <v>FAB2_ Entera Entera 1 L</v>
      </c>
      <c r="E1909">
        <v>2022</v>
      </c>
      <c r="F1909">
        <v>21</v>
      </c>
      <c r="G1909">
        <f t="shared" si="177"/>
        <v>5</v>
      </c>
      <c r="H1909" s="1">
        <f t="shared" si="178"/>
        <v>44704</v>
      </c>
      <c r="I1909" s="1">
        <f t="shared" si="179"/>
        <v>44682</v>
      </c>
      <c r="J1909">
        <v>623860.77000000037</v>
      </c>
      <c r="K1909">
        <v>35292</v>
      </c>
      <c r="L1909">
        <f t="shared" si="175"/>
        <v>17.677115776946629</v>
      </c>
      <c r="M1909">
        <v>2941</v>
      </c>
      <c r="N1909" s="2">
        <f t="shared" si="180"/>
        <v>212.12538932335951</v>
      </c>
      <c r="O1909">
        <v>12</v>
      </c>
    </row>
    <row r="1910" spans="1:15" x14ac:dyDescent="0.25">
      <c r="A1910" t="s">
        <v>46</v>
      </c>
      <c r="B1910" t="s">
        <v>15</v>
      </c>
      <c r="C1910" t="s">
        <v>36</v>
      </c>
      <c r="D1910" t="str">
        <f t="shared" si="176"/>
        <v>FAB2_ Entera Entera 1 L</v>
      </c>
      <c r="E1910">
        <v>2022</v>
      </c>
      <c r="F1910">
        <v>22</v>
      </c>
      <c r="G1910">
        <f t="shared" si="177"/>
        <v>6</v>
      </c>
      <c r="H1910" s="1">
        <f t="shared" si="178"/>
        <v>44711</v>
      </c>
      <c r="I1910" s="1">
        <f t="shared" si="179"/>
        <v>44713</v>
      </c>
      <c r="J1910">
        <v>945320.38000000047</v>
      </c>
      <c r="K1910">
        <v>55068</v>
      </c>
      <c r="L1910">
        <f t="shared" si="175"/>
        <v>17.166419336093565</v>
      </c>
      <c r="M1910">
        <v>4589</v>
      </c>
      <c r="N1910" s="2">
        <f t="shared" si="180"/>
        <v>205.99703203312279</v>
      </c>
      <c r="O1910">
        <v>12</v>
      </c>
    </row>
    <row r="1911" spans="1:15" x14ac:dyDescent="0.25">
      <c r="A1911" t="s">
        <v>46</v>
      </c>
      <c r="B1911" t="s">
        <v>15</v>
      </c>
      <c r="C1911" t="s">
        <v>36</v>
      </c>
      <c r="D1911" t="str">
        <f t="shared" si="176"/>
        <v>FAB2_ Entera Entera 1 L</v>
      </c>
      <c r="E1911">
        <v>2022</v>
      </c>
      <c r="F1911">
        <v>23</v>
      </c>
      <c r="G1911">
        <f t="shared" si="177"/>
        <v>6</v>
      </c>
      <c r="H1911" s="1">
        <f t="shared" si="178"/>
        <v>44718</v>
      </c>
      <c r="I1911" s="1">
        <f t="shared" si="179"/>
        <v>44713</v>
      </c>
      <c r="J1911">
        <v>944674.32000000041</v>
      </c>
      <c r="K1911">
        <v>59004</v>
      </c>
      <c r="L1911">
        <f t="shared" si="175"/>
        <v>16.010343705511499</v>
      </c>
      <c r="M1911">
        <v>4917</v>
      </c>
      <c r="N1911" s="2">
        <f t="shared" si="180"/>
        <v>192.12412446613797</v>
      </c>
      <c r="O1911">
        <v>12</v>
      </c>
    </row>
    <row r="1912" spans="1:15" x14ac:dyDescent="0.25">
      <c r="A1912" t="s">
        <v>46</v>
      </c>
      <c r="B1912" t="s">
        <v>15</v>
      </c>
      <c r="C1912" t="s">
        <v>36</v>
      </c>
      <c r="D1912" t="str">
        <f t="shared" si="176"/>
        <v>FAB2_ Entera Entera 1 L</v>
      </c>
      <c r="E1912">
        <v>2022</v>
      </c>
      <c r="F1912">
        <v>24</v>
      </c>
      <c r="G1912">
        <f t="shared" si="177"/>
        <v>6</v>
      </c>
      <c r="H1912" s="1">
        <f t="shared" si="178"/>
        <v>44725</v>
      </c>
      <c r="I1912" s="1">
        <f t="shared" si="179"/>
        <v>44713</v>
      </c>
      <c r="J1912">
        <v>960218.95999999938</v>
      </c>
      <c r="K1912">
        <v>59784</v>
      </c>
      <c r="L1912">
        <f t="shared" si="175"/>
        <v>16.061470627592655</v>
      </c>
      <c r="M1912">
        <v>4982</v>
      </c>
      <c r="N1912" s="2">
        <f t="shared" si="180"/>
        <v>192.73764753111189</v>
      </c>
      <c r="O1912">
        <v>12</v>
      </c>
    </row>
    <row r="1913" spans="1:15" x14ac:dyDescent="0.25">
      <c r="A1913" t="s">
        <v>46</v>
      </c>
      <c r="B1913" t="s">
        <v>15</v>
      </c>
      <c r="C1913" t="s">
        <v>36</v>
      </c>
      <c r="D1913" t="str">
        <f t="shared" si="176"/>
        <v>FAB2_ Entera Entera 1 L</v>
      </c>
      <c r="E1913">
        <v>2022</v>
      </c>
      <c r="F1913">
        <v>25</v>
      </c>
      <c r="G1913">
        <f t="shared" si="177"/>
        <v>6</v>
      </c>
      <c r="H1913" s="1">
        <f t="shared" si="178"/>
        <v>44732</v>
      </c>
      <c r="I1913" s="1">
        <f t="shared" si="179"/>
        <v>44713</v>
      </c>
      <c r="J1913">
        <v>894144.28000000049</v>
      </c>
      <c r="K1913">
        <v>55488</v>
      </c>
      <c r="L1913">
        <f t="shared" si="175"/>
        <v>16.114191897347183</v>
      </c>
      <c r="M1913">
        <v>4624</v>
      </c>
      <c r="N1913" s="2">
        <f t="shared" si="180"/>
        <v>193.3703027681662</v>
      </c>
      <c r="O1913">
        <v>12</v>
      </c>
    </row>
    <row r="1914" spans="1:15" x14ac:dyDescent="0.25">
      <c r="A1914" t="s">
        <v>46</v>
      </c>
      <c r="B1914" t="s">
        <v>15</v>
      </c>
      <c r="C1914" t="s">
        <v>36</v>
      </c>
      <c r="D1914" t="str">
        <f t="shared" si="176"/>
        <v>FAB2_ Entera Entera 1 L</v>
      </c>
      <c r="E1914">
        <v>2022</v>
      </c>
      <c r="F1914">
        <v>26</v>
      </c>
      <c r="G1914">
        <f t="shared" si="177"/>
        <v>6</v>
      </c>
      <c r="H1914" s="1">
        <f t="shared" si="178"/>
        <v>44739</v>
      </c>
      <c r="I1914" s="1">
        <f t="shared" si="179"/>
        <v>44713</v>
      </c>
      <c r="J1914">
        <v>878909.77000000083</v>
      </c>
      <c r="K1914">
        <v>54324</v>
      </c>
      <c r="L1914">
        <f t="shared" si="175"/>
        <v>16.17903265591637</v>
      </c>
      <c r="M1914">
        <v>4527</v>
      </c>
      <c r="N1914" s="2">
        <f t="shared" si="180"/>
        <v>194.14839187099642</v>
      </c>
      <c r="O1914">
        <v>12</v>
      </c>
    </row>
    <row r="1915" spans="1:15" x14ac:dyDescent="0.25">
      <c r="A1915" t="s">
        <v>46</v>
      </c>
      <c r="B1915" t="s">
        <v>15</v>
      </c>
      <c r="C1915" t="s">
        <v>36</v>
      </c>
      <c r="D1915" t="str">
        <f t="shared" si="176"/>
        <v>FAB2_ Entera Entera 1 L</v>
      </c>
      <c r="E1915">
        <v>2022</v>
      </c>
      <c r="F1915">
        <v>27</v>
      </c>
      <c r="G1915">
        <f t="shared" si="177"/>
        <v>7</v>
      </c>
      <c r="H1915" s="1">
        <f t="shared" si="178"/>
        <v>44746</v>
      </c>
      <c r="I1915" s="1">
        <f t="shared" si="179"/>
        <v>44743</v>
      </c>
      <c r="J1915">
        <v>1079955.25</v>
      </c>
      <c r="K1915">
        <v>66732</v>
      </c>
      <c r="L1915">
        <f t="shared" si="175"/>
        <v>16.18346895042858</v>
      </c>
      <c r="M1915">
        <v>5561</v>
      </c>
      <c r="N1915" s="2">
        <f t="shared" si="180"/>
        <v>194.20162740514297</v>
      </c>
      <c r="O1915">
        <v>12</v>
      </c>
    </row>
    <row r="1916" spans="1:15" x14ac:dyDescent="0.25">
      <c r="A1916" t="s">
        <v>46</v>
      </c>
      <c r="B1916" t="s">
        <v>15</v>
      </c>
      <c r="C1916" t="s">
        <v>36</v>
      </c>
      <c r="D1916" t="str">
        <f t="shared" si="176"/>
        <v>FAB2_ Entera Entera 1 L</v>
      </c>
      <c r="E1916">
        <v>2022</v>
      </c>
      <c r="F1916">
        <v>28</v>
      </c>
      <c r="G1916">
        <f t="shared" si="177"/>
        <v>7</v>
      </c>
      <c r="H1916" s="1">
        <f t="shared" si="178"/>
        <v>44753</v>
      </c>
      <c r="I1916" s="1">
        <f t="shared" si="179"/>
        <v>44743</v>
      </c>
      <c r="J1916">
        <v>914151.5399999998</v>
      </c>
      <c r="K1916">
        <v>56424</v>
      </c>
      <c r="L1916">
        <f t="shared" si="175"/>
        <v>16.201466397277752</v>
      </c>
      <c r="M1916">
        <v>4702</v>
      </c>
      <c r="N1916" s="2">
        <f t="shared" si="180"/>
        <v>194.41759676733301</v>
      </c>
      <c r="O1916">
        <v>12</v>
      </c>
    </row>
    <row r="1917" spans="1:15" x14ac:dyDescent="0.25">
      <c r="A1917" t="s">
        <v>46</v>
      </c>
      <c r="B1917" t="s">
        <v>15</v>
      </c>
      <c r="C1917" t="s">
        <v>36</v>
      </c>
      <c r="D1917" t="str">
        <f t="shared" si="176"/>
        <v>FAB2_ Entera Entera 1 L</v>
      </c>
      <c r="E1917">
        <v>2022</v>
      </c>
      <c r="F1917">
        <v>29</v>
      </c>
      <c r="G1917">
        <f t="shared" si="177"/>
        <v>7</v>
      </c>
      <c r="H1917" s="1">
        <f t="shared" si="178"/>
        <v>44760</v>
      </c>
      <c r="I1917" s="1">
        <f t="shared" si="179"/>
        <v>44743</v>
      </c>
      <c r="J1917">
        <v>827176.63000000024</v>
      </c>
      <c r="K1917">
        <v>46860</v>
      </c>
      <c r="L1917">
        <f t="shared" si="175"/>
        <v>17.652083440034151</v>
      </c>
      <c r="M1917">
        <v>3905</v>
      </c>
      <c r="N1917" s="2">
        <f t="shared" si="180"/>
        <v>211.82500128040979</v>
      </c>
      <c r="O1917">
        <v>12</v>
      </c>
    </row>
    <row r="1918" spans="1:15" x14ac:dyDescent="0.25">
      <c r="A1918" t="s">
        <v>46</v>
      </c>
      <c r="B1918" t="s">
        <v>15</v>
      </c>
      <c r="C1918" t="s">
        <v>36</v>
      </c>
      <c r="D1918" t="str">
        <f t="shared" si="176"/>
        <v>FAB2_ Entera Entera 1 L</v>
      </c>
      <c r="E1918">
        <v>2022</v>
      </c>
      <c r="F1918">
        <v>30</v>
      </c>
      <c r="G1918">
        <f t="shared" si="177"/>
        <v>7</v>
      </c>
      <c r="H1918" s="1">
        <f t="shared" si="178"/>
        <v>44767</v>
      </c>
      <c r="I1918" s="1">
        <f t="shared" si="179"/>
        <v>44743</v>
      </c>
      <c r="J1918">
        <v>703036.88000000012</v>
      </c>
      <c r="K1918">
        <v>39720</v>
      </c>
      <c r="L1918">
        <f t="shared" ref="L1918:L1981" si="181">J1918/(M1918*O1918)</f>
        <v>17.69982074521652</v>
      </c>
      <c r="M1918">
        <v>3310</v>
      </c>
      <c r="N1918" s="2">
        <f t="shared" si="180"/>
        <v>212.39784894259822</v>
      </c>
      <c r="O1918">
        <v>12</v>
      </c>
    </row>
    <row r="1919" spans="1:15" x14ac:dyDescent="0.25">
      <c r="A1919" t="s">
        <v>46</v>
      </c>
      <c r="B1919" t="s">
        <v>15</v>
      </c>
      <c r="C1919" t="s">
        <v>36</v>
      </c>
      <c r="D1919" t="str">
        <f t="shared" si="176"/>
        <v>FAB2_ Entera Entera 1 L</v>
      </c>
      <c r="E1919">
        <v>2022</v>
      </c>
      <c r="F1919">
        <v>31</v>
      </c>
      <c r="G1919">
        <f t="shared" si="177"/>
        <v>8</v>
      </c>
      <c r="H1919" s="1">
        <f t="shared" si="178"/>
        <v>44774</v>
      </c>
      <c r="I1919" s="1">
        <f t="shared" si="179"/>
        <v>44774</v>
      </c>
      <c r="J1919">
        <v>948689.49999999965</v>
      </c>
      <c r="K1919">
        <v>53436</v>
      </c>
      <c r="L1919">
        <f t="shared" si="181"/>
        <v>17.753752152107186</v>
      </c>
      <c r="M1919">
        <v>4453</v>
      </c>
      <c r="N1919" s="2">
        <f t="shared" si="180"/>
        <v>213.04502582528625</v>
      </c>
      <c r="O1919">
        <v>12</v>
      </c>
    </row>
    <row r="1920" spans="1:15" x14ac:dyDescent="0.25">
      <c r="A1920" t="s">
        <v>46</v>
      </c>
      <c r="B1920" t="s">
        <v>15</v>
      </c>
      <c r="C1920" t="s">
        <v>36</v>
      </c>
      <c r="D1920" t="str">
        <f t="shared" si="176"/>
        <v>FAB2_ Entera Entera 1 L</v>
      </c>
      <c r="E1920">
        <v>2022</v>
      </c>
      <c r="F1920">
        <v>32</v>
      </c>
      <c r="G1920">
        <f t="shared" si="177"/>
        <v>8</v>
      </c>
      <c r="H1920" s="1">
        <f t="shared" si="178"/>
        <v>44781</v>
      </c>
      <c r="I1920" s="1">
        <f t="shared" si="179"/>
        <v>44774</v>
      </c>
      <c r="J1920">
        <v>572498.32999999973</v>
      </c>
      <c r="K1920">
        <v>31992</v>
      </c>
      <c r="L1920">
        <f t="shared" si="181"/>
        <v>17.895046574143528</v>
      </c>
      <c r="M1920">
        <v>2666</v>
      </c>
      <c r="N1920" s="2">
        <f t="shared" si="180"/>
        <v>214.74055888972234</v>
      </c>
      <c r="O1920">
        <v>12</v>
      </c>
    </row>
    <row r="1921" spans="1:15" x14ac:dyDescent="0.25">
      <c r="A1921" t="s">
        <v>46</v>
      </c>
      <c r="B1921" t="s">
        <v>15</v>
      </c>
      <c r="C1921" t="s">
        <v>36</v>
      </c>
      <c r="D1921" t="str">
        <f t="shared" si="176"/>
        <v>FAB2_ Entera Entera 1 L</v>
      </c>
      <c r="E1921">
        <v>2022</v>
      </c>
      <c r="F1921">
        <v>33</v>
      </c>
      <c r="G1921">
        <f t="shared" si="177"/>
        <v>8</v>
      </c>
      <c r="H1921" s="1">
        <f t="shared" si="178"/>
        <v>44788</v>
      </c>
      <c r="I1921" s="1">
        <f t="shared" si="179"/>
        <v>44774</v>
      </c>
      <c r="J1921">
        <v>639081.26999999979</v>
      </c>
      <c r="K1921">
        <v>35760</v>
      </c>
      <c r="L1921">
        <f t="shared" si="181"/>
        <v>17.871400167785229</v>
      </c>
      <c r="M1921">
        <v>2980</v>
      </c>
      <c r="N1921" s="2">
        <f t="shared" si="180"/>
        <v>214.45680201342276</v>
      </c>
      <c r="O1921">
        <v>12</v>
      </c>
    </row>
    <row r="1922" spans="1:15" x14ac:dyDescent="0.25">
      <c r="A1922" t="s">
        <v>46</v>
      </c>
      <c r="B1922" t="s">
        <v>15</v>
      </c>
      <c r="C1922" t="s">
        <v>36</v>
      </c>
      <c r="D1922" t="str">
        <f t="shared" si="176"/>
        <v>FAB2_ Entera Entera 1 L</v>
      </c>
      <c r="E1922">
        <v>2022</v>
      </c>
      <c r="F1922">
        <v>34</v>
      </c>
      <c r="G1922">
        <f t="shared" si="177"/>
        <v>8</v>
      </c>
      <c r="H1922" s="1">
        <f t="shared" si="178"/>
        <v>44795</v>
      </c>
      <c r="I1922" s="1">
        <f t="shared" si="179"/>
        <v>44774</v>
      </c>
      <c r="J1922">
        <v>512883.79999999993</v>
      </c>
      <c r="K1922">
        <v>27120</v>
      </c>
      <c r="L1922">
        <f t="shared" si="181"/>
        <v>18.911644542772859</v>
      </c>
      <c r="M1922">
        <v>2260</v>
      </c>
      <c r="N1922" s="2">
        <f t="shared" si="180"/>
        <v>226.93973451327432</v>
      </c>
      <c r="O1922">
        <v>12</v>
      </c>
    </row>
    <row r="1923" spans="1:15" x14ac:dyDescent="0.25">
      <c r="A1923" t="s">
        <v>46</v>
      </c>
      <c r="B1923" t="s">
        <v>15</v>
      </c>
      <c r="C1923" t="s">
        <v>36</v>
      </c>
      <c r="D1923" t="str">
        <f t="shared" ref="D1923:D1986" si="182">B1923&amp;"_"&amp;C1923</f>
        <v>FAB2_ Entera Entera 1 L</v>
      </c>
      <c r="E1923">
        <v>2022</v>
      </c>
      <c r="F1923">
        <v>35</v>
      </c>
      <c r="G1923">
        <f t="shared" ref="G1923:G1986" si="183">MONTH(DATE(E1923,1,4)+(F1923-1)*7-WEEKDAY(DATE(E1923,1,4),2)+4)</f>
        <v>9</v>
      </c>
      <c r="H1923" s="1">
        <f t="shared" ref="H1923:H1986" si="184">DATE(E1923,1,-2)-WEEKDAY(DATE(E1923,1,3))+F1923*7</f>
        <v>44802</v>
      </c>
      <c r="I1923" s="1">
        <f t="shared" ref="I1923:I1986" si="185">DATE(E1923,G1923,1)</f>
        <v>44805</v>
      </c>
      <c r="J1923">
        <v>811614.9999999993</v>
      </c>
      <c r="K1923">
        <v>43164</v>
      </c>
      <c r="L1923">
        <f t="shared" si="181"/>
        <v>18.803053470484645</v>
      </c>
      <c r="M1923">
        <v>3597</v>
      </c>
      <c r="N1923" s="2">
        <f t="shared" ref="N1923:N1986" si="186">J1923/M1923</f>
        <v>225.63664164581576</v>
      </c>
      <c r="O1923">
        <v>12</v>
      </c>
    </row>
    <row r="1924" spans="1:15" x14ac:dyDescent="0.25">
      <c r="A1924" t="s">
        <v>46</v>
      </c>
      <c r="B1924" t="s">
        <v>15</v>
      </c>
      <c r="C1924" t="s">
        <v>36</v>
      </c>
      <c r="D1924" t="str">
        <f t="shared" si="182"/>
        <v>FAB2_ Entera Entera 1 L</v>
      </c>
      <c r="E1924">
        <v>2022</v>
      </c>
      <c r="F1924">
        <v>36</v>
      </c>
      <c r="G1924">
        <f t="shared" si="183"/>
        <v>9</v>
      </c>
      <c r="H1924" s="1">
        <f t="shared" si="184"/>
        <v>44809</v>
      </c>
      <c r="I1924" s="1">
        <f t="shared" si="185"/>
        <v>44805</v>
      </c>
      <c r="J1924">
        <v>701092.74999999965</v>
      </c>
      <c r="K1924">
        <v>37068</v>
      </c>
      <c r="L1924">
        <f t="shared" si="181"/>
        <v>18.913692403150957</v>
      </c>
      <c r="M1924">
        <v>3089</v>
      </c>
      <c r="N1924" s="2">
        <f t="shared" si="186"/>
        <v>226.96430883781147</v>
      </c>
      <c r="O1924">
        <v>12</v>
      </c>
    </row>
    <row r="1925" spans="1:15" x14ac:dyDescent="0.25">
      <c r="A1925" t="s">
        <v>46</v>
      </c>
      <c r="B1925" t="s">
        <v>15</v>
      </c>
      <c r="C1925" t="s">
        <v>36</v>
      </c>
      <c r="D1925" t="str">
        <f t="shared" si="182"/>
        <v>FAB2_ Entera Entera 1 L</v>
      </c>
      <c r="E1925">
        <v>2022</v>
      </c>
      <c r="F1925">
        <v>37</v>
      </c>
      <c r="G1925">
        <f t="shared" si="183"/>
        <v>9</v>
      </c>
      <c r="H1925" s="1">
        <f t="shared" si="184"/>
        <v>44816</v>
      </c>
      <c r="I1925" s="1">
        <f t="shared" si="185"/>
        <v>44805</v>
      </c>
      <c r="J1925">
        <v>797930.59999999928</v>
      </c>
      <c r="K1925">
        <v>44028</v>
      </c>
      <c r="L1925">
        <f t="shared" si="181"/>
        <v>18.123253384210031</v>
      </c>
      <c r="M1925">
        <v>3669</v>
      </c>
      <c r="N1925" s="2">
        <f t="shared" si="186"/>
        <v>217.47904061052037</v>
      </c>
      <c r="O1925">
        <v>12</v>
      </c>
    </row>
    <row r="1926" spans="1:15" x14ac:dyDescent="0.25">
      <c r="A1926" t="s">
        <v>46</v>
      </c>
      <c r="B1926" t="s">
        <v>15</v>
      </c>
      <c r="C1926" t="s">
        <v>36</v>
      </c>
      <c r="D1926" t="str">
        <f t="shared" si="182"/>
        <v>FAB2_ Entera Entera 1 L</v>
      </c>
      <c r="E1926">
        <v>2022</v>
      </c>
      <c r="F1926">
        <v>38</v>
      </c>
      <c r="G1926">
        <f t="shared" si="183"/>
        <v>9</v>
      </c>
      <c r="H1926" s="1">
        <f t="shared" si="184"/>
        <v>44823</v>
      </c>
      <c r="I1926" s="1">
        <f t="shared" si="185"/>
        <v>44805</v>
      </c>
      <c r="J1926">
        <v>990401.53000000014</v>
      </c>
      <c r="K1926">
        <v>56604</v>
      </c>
      <c r="L1926">
        <f t="shared" si="181"/>
        <v>17.497023708571835</v>
      </c>
      <c r="M1926">
        <v>4717</v>
      </c>
      <c r="N1926" s="2">
        <f t="shared" si="186"/>
        <v>209.96428450286203</v>
      </c>
      <c r="O1926">
        <v>12</v>
      </c>
    </row>
    <row r="1927" spans="1:15" x14ac:dyDescent="0.25">
      <c r="A1927" t="s">
        <v>46</v>
      </c>
      <c r="B1927" t="s">
        <v>15</v>
      </c>
      <c r="C1927" t="s">
        <v>36</v>
      </c>
      <c r="D1927" t="str">
        <f t="shared" si="182"/>
        <v>FAB2_ Entera Entera 1 L</v>
      </c>
      <c r="E1927">
        <v>2022</v>
      </c>
      <c r="F1927">
        <v>39</v>
      </c>
      <c r="G1927">
        <f t="shared" si="183"/>
        <v>9</v>
      </c>
      <c r="H1927" s="1">
        <f t="shared" si="184"/>
        <v>44830</v>
      </c>
      <c r="I1927" s="1">
        <f t="shared" si="185"/>
        <v>44805</v>
      </c>
      <c r="J1927">
        <v>636337.91999999981</v>
      </c>
      <c r="K1927">
        <v>33588</v>
      </c>
      <c r="L1927">
        <f t="shared" si="181"/>
        <v>18.94539478385137</v>
      </c>
      <c r="M1927">
        <v>2799</v>
      </c>
      <c r="N1927" s="2">
        <f t="shared" si="186"/>
        <v>227.34473740621644</v>
      </c>
      <c r="O1927">
        <v>12</v>
      </c>
    </row>
    <row r="1928" spans="1:15" x14ac:dyDescent="0.25">
      <c r="A1928" t="s">
        <v>46</v>
      </c>
      <c r="B1928" t="s">
        <v>15</v>
      </c>
      <c r="C1928" t="s">
        <v>36</v>
      </c>
      <c r="D1928" t="str">
        <f t="shared" si="182"/>
        <v>FAB2_ Entera Entera 1 L</v>
      </c>
      <c r="E1928">
        <v>2022</v>
      </c>
      <c r="F1928">
        <v>40</v>
      </c>
      <c r="G1928">
        <f t="shared" si="183"/>
        <v>10</v>
      </c>
      <c r="H1928" s="1">
        <f t="shared" si="184"/>
        <v>44837</v>
      </c>
      <c r="I1928" s="1">
        <f t="shared" si="185"/>
        <v>44835</v>
      </c>
      <c r="J1928">
        <v>782406.92999999993</v>
      </c>
      <c r="K1928">
        <v>43080</v>
      </c>
      <c r="L1928">
        <f t="shared" si="181"/>
        <v>18.161720752089135</v>
      </c>
      <c r="M1928">
        <v>3590</v>
      </c>
      <c r="N1928" s="2">
        <f t="shared" si="186"/>
        <v>217.94064902506963</v>
      </c>
      <c r="O1928">
        <v>12</v>
      </c>
    </row>
    <row r="1929" spans="1:15" x14ac:dyDescent="0.25">
      <c r="A1929" t="s">
        <v>46</v>
      </c>
      <c r="B1929" t="s">
        <v>15</v>
      </c>
      <c r="C1929" t="s">
        <v>36</v>
      </c>
      <c r="D1929" t="str">
        <f t="shared" si="182"/>
        <v>FAB2_ Entera Entera 1 L</v>
      </c>
      <c r="E1929">
        <v>2022</v>
      </c>
      <c r="F1929">
        <v>41</v>
      </c>
      <c r="G1929">
        <f t="shared" si="183"/>
        <v>10</v>
      </c>
      <c r="H1929" s="1">
        <f t="shared" si="184"/>
        <v>44844</v>
      </c>
      <c r="I1929" s="1">
        <f t="shared" si="185"/>
        <v>44835</v>
      </c>
      <c r="J1929">
        <v>1108132.8</v>
      </c>
      <c r="K1929">
        <v>64692</v>
      </c>
      <c r="L1929">
        <f t="shared" si="181"/>
        <v>17.129363754405492</v>
      </c>
      <c r="M1929">
        <v>5391</v>
      </c>
      <c r="N1929" s="2">
        <f t="shared" si="186"/>
        <v>205.55236505286589</v>
      </c>
      <c r="O1929">
        <v>12</v>
      </c>
    </row>
    <row r="1930" spans="1:15" x14ac:dyDescent="0.25">
      <c r="A1930" t="s">
        <v>46</v>
      </c>
      <c r="B1930" t="s">
        <v>15</v>
      </c>
      <c r="C1930" t="s">
        <v>36</v>
      </c>
      <c r="D1930" t="str">
        <f t="shared" si="182"/>
        <v>FAB2_ Entera Entera 1 L</v>
      </c>
      <c r="E1930">
        <v>2022</v>
      </c>
      <c r="F1930">
        <v>42</v>
      </c>
      <c r="G1930">
        <f t="shared" si="183"/>
        <v>10</v>
      </c>
      <c r="H1930" s="1">
        <f t="shared" si="184"/>
        <v>44851</v>
      </c>
      <c r="I1930" s="1">
        <f t="shared" si="185"/>
        <v>44835</v>
      </c>
      <c r="J1930">
        <v>946646.62999999919</v>
      </c>
      <c r="K1930">
        <v>53292</v>
      </c>
      <c r="L1930">
        <f t="shared" si="181"/>
        <v>17.763390940478857</v>
      </c>
      <c r="M1930">
        <v>4441</v>
      </c>
      <c r="N1930" s="2">
        <f t="shared" si="186"/>
        <v>213.16069128574628</v>
      </c>
      <c r="O1930">
        <v>12</v>
      </c>
    </row>
    <row r="1931" spans="1:15" x14ac:dyDescent="0.25">
      <c r="A1931" t="s">
        <v>46</v>
      </c>
      <c r="B1931" t="s">
        <v>15</v>
      </c>
      <c r="C1931" t="s">
        <v>36</v>
      </c>
      <c r="D1931" t="str">
        <f t="shared" si="182"/>
        <v>FAB2_ Entera Entera 1 L</v>
      </c>
      <c r="E1931">
        <v>2022</v>
      </c>
      <c r="F1931">
        <v>43</v>
      </c>
      <c r="G1931">
        <f t="shared" si="183"/>
        <v>10</v>
      </c>
      <c r="H1931" s="1">
        <f t="shared" si="184"/>
        <v>44858</v>
      </c>
      <c r="I1931" s="1">
        <f t="shared" si="185"/>
        <v>44835</v>
      </c>
      <c r="J1931">
        <v>558869.61</v>
      </c>
      <c r="K1931">
        <v>29484</v>
      </c>
      <c r="L1931">
        <f t="shared" si="181"/>
        <v>18.955013227513227</v>
      </c>
      <c r="M1931">
        <v>2457</v>
      </c>
      <c r="N1931" s="2">
        <f t="shared" si="186"/>
        <v>227.46015873015872</v>
      </c>
      <c r="O1931">
        <v>12</v>
      </c>
    </row>
    <row r="1932" spans="1:15" x14ac:dyDescent="0.25">
      <c r="A1932" t="s">
        <v>46</v>
      </c>
      <c r="B1932" t="s">
        <v>15</v>
      </c>
      <c r="C1932" t="s">
        <v>36</v>
      </c>
      <c r="D1932" t="str">
        <f t="shared" si="182"/>
        <v>FAB2_ Entera Entera 1 L</v>
      </c>
      <c r="E1932">
        <v>2022</v>
      </c>
      <c r="F1932">
        <v>44</v>
      </c>
      <c r="G1932">
        <f t="shared" si="183"/>
        <v>11</v>
      </c>
      <c r="H1932" s="1">
        <f t="shared" si="184"/>
        <v>44865</v>
      </c>
      <c r="I1932" s="1">
        <f t="shared" si="185"/>
        <v>44866</v>
      </c>
      <c r="J1932">
        <v>802836.07999999949</v>
      </c>
      <c r="K1932">
        <v>43656</v>
      </c>
      <c r="L1932">
        <f t="shared" si="181"/>
        <v>18.390051310243713</v>
      </c>
      <c r="M1932">
        <v>3638</v>
      </c>
      <c r="N1932" s="2">
        <f t="shared" si="186"/>
        <v>220.68061572292456</v>
      </c>
      <c r="O1932">
        <v>12</v>
      </c>
    </row>
    <row r="1933" spans="1:15" x14ac:dyDescent="0.25">
      <c r="A1933" t="s">
        <v>46</v>
      </c>
      <c r="B1933" t="s">
        <v>15</v>
      </c>
      <c r="C1933" t="s">
        <v>36</v>
      </c>
      <c r="D1933" t="str">
        <f t="shared" si="182"/>
        <v>FAB2_ Entera Entera 1 L</v>
      </c>
      <c r="E1933">
        <v>2022</v>
      </c>
      <c r="F1933">
        <v>45</v>
      </c>
      <c r="G1933">
        <f t="shared" si="183"/>
        <v>11</v>
      </c>
      <c r="H1933" s="1">
        <f t="shared" si="184"/>
        <v>44872</v>
      </c>
      <c r="I1933" s="1">
        <f t="shared" si="185"/>
        <v>44866</v>
      </c>
      <c r="J1933">
        <v>672160.9099999998</v>
      </c>
      <c r="K1933">
        <v>37944</v>
      </c>
      <c r="L1933">
        <f t="shared" si="181"/>
        <v>17.714550653594767</v>
      </c>
      <c r="M1933">
        <v>3162</v>
      </c>
      <c r="N1933" s="2">
        <f t="shared" si="186"/>
        <v>212.57460784313719</v>
      </c>
      <c r="O1933">
        <v>12</v>
      </c>
    </row>
    <row r="1934" spans="1:15" x14ac:dyDescent="0.25">
      <c r="A1934" t="s">
        <v>46</v>
      </c>
      <c r="B1934" t="s">
        <v>15</v>
      </c>
      <c r="C1934" t="s">
        <v>36</v>
      </c>
      <c r="D1934" t="str">
        <f t="shared" si="182"/>
        <v>FAB2_ Entera Entera 1 L</v>
      </c>
      <c r="E1934">
        <v>2022</v>
      </c>
      <c r="F1934">
        <v>46</v>
      </c>
      <c r="G1934">
        <f t="shared" si="183"/>
        <v>11</v>
      </c>
      <c r="H1934" s="1">
        <f t="shared" si="184"/>
        <v>44879</v>
      </c>
      <c r="I1934" s="1">
        <f t="shared" si="185"/>
        <v>44866</v>
      </c>
      <c r="J1934">
        <v>956614.97999999986</v>
      </c>
      <c r="K1934">
        <v>53100</v>
      </c>
      <c r="L1934">
        <f t="shared" si="181"/>
        <v>18.015348022598868</v>
      </c>
      <c r="M1934">
        <v>4425</v>
      </c>
      <c r="N1934" s="2">
        <f t="shared" si="186"/>
        <v>216.1841762711864</v>
      </c>
      <c r="O1934">
        <v>12</v>
      </c>
    </row>
    <row r="1935" spans="1:15" x14ac:dyDescent="0.25">
      <c r="A1935" t="s">
        <v>46</v>
      </c>
      <c r="B1935" t="s">
        <v>15</v>
      </c>
      <c r="C1935" t="s">
        <v>36</v>
      </c>
      <c r="D1935" t="str">
        <f t="shared" si="182"/>
        <v>FAB2_ Entera Entera 1 L</v>
      </c>
      <c r="E1935">
        <v>2022</v>
      </c>
      <c r="F1935">
        <v>47</v>
      </c>
      <c r="G1935">
        <f t="shared" si="183"/>
        <v>11</v>
      </c>
      <c r="H1935" s="1">
        <f t="shared" si="184"/>
        <v>44886</v>
      </c>
      <c r="I1935" s="1">
        <f t="shared" si="185"/>
        <v>44866</v>
      </c>
      <c r="J1935">
        <v>916856.31999999995</v>
      </c>
      <c r="K1935">
        <v>50184</v>
      </c>
      <c r="L1935">
        <f t="shared" si="181"/>
        <v>18.269893193049576</v>
      </c>
      <c r="M1935">
        <v>4182</v>
      </c>
      <c r="N1935" s="2">
        <f t="shared" si="186"/>
        <v>219.23871831659491</v>
      </c>
      <c r="O1935">
        <v>12</v>
      </c>
    </row>
    <row r="1936" spans="1:15" x14ac:dyDescent="0.25">
      <c r="A1936" t="s">
        <v>46</v>
      </c>
      <c r="B1936" t="s">
        <v>15</v>
      </c>
      <c r="C1936" t="s">
        <v>36</v>
      </c>
      <c r="D1936" t="str">
        <f t="shared" si="182"/>
        <v>FAB2_ Entera Entera 1 L</v>
      </c>
      <c r="E1936">
        <v>2022</v>
      </c>
      <c r="F1936">
        <v>48</v>
      </c>
      <c r="G1936">
        <f t="shared" si="183"/>
        <v>12</v>
      </c>
      <c r="H1936" s="1">
        <f t="shared" si="184"/>
        <v>44893</v>
      </c>
      <c r="I1936" s="1">
        <f t="shared" si="185"/>
        <v>44896</v>
      </c>
      <c r="J1936">
        <v>678421.23</v>
      </c>
      <c r="K1936">
        <v>37176</v>
      </c>
      <c r="L1936">
        <f t="shared" si="181"/>
        <v>18.248903324725628</v>
      </c>
      <c r="M1936">
        <v>3098</v>
      </c>
      <c r="N1936" s="2">
        <f t="shared" si="186"/>
        <v>218.98683989670755</v>
      </c>
      <c r="O1936">
        <v>12</v>
      </c>
    </row>
    <row r="1937" spans="1:15" x14ac:dyDescent="0.25">
      <c r="A1937" t="s">
        <v>46</v>
      </c>
      <c r="B1937" t="s">
        <v>15</v>
      </c>
      <c r="C1937" t="s">
        <v>36</v>
      </c>
      <c r="D1937" t="str">
        <f t="shared" si="182"/>
        <v>FAB2_ Entera Entera 1 L</v>
      </c>
      <c r="E1937">
        <v>2022</v>
      </c>
      <c r="F1937">
        <v>49</v>
      </c>
      <c r="G1937">
        <f t="shared" si="183"/>
        <v>12</v>
      </c>
      <c r="H1937" s="1">
        <f t="shared" si="184"/>
        <v>44900</v>
      </c>
      <c r="I1937" s="1">
        <f t="shared" si="185"/>
        <v>44896</v>
      </c>
      <c r="J1937">
        <v>815320.1799999997</v>
      </c>
      <c r="K1937">
        <v>44172</v>
      </c>
      <c r="L1937">
        <f t="shared" si="181"/>
        <v>18.457850674635509</v>
      </c>
      <c r="M1937">
        <v>3681</v>
      </c>
      <c r="N1937" s="2">
        <f t="shared" si="186"/>
        <v>221.49420809562611</v>
      </c>
      <c r="O1937">
        <v>12</v>
      </c>
    </row>
    <row r="1938" spans="1:15" x14ac:dyDescent="0.25">
      <c r="A1938" t="s">
        <v>46</v>
      </c>
      <c r="B1938" t="s">
        <v>15</v>
      </c>
      <c r="C1938" t="s">
        <v>36</v>
      </c>
      <c r="D1938" t="str">
        <f t="shared" si="182"/>
        <v>FAB2_ Entera Entera 1 L</v>
      </c>
      <c r="E1938">
        <v>2022</v>
      </c>
      <c r="F1938">
        <v>50</v>
      </c>
      <c r="G1938">
        <f t="shared" si="183"/>
        <v>12</v>
      </c>
      <c r="H1938" s="1">
        <f t="shared" si="184"/>
        <v>44907</v>
      </c>
      <c r="I1938" s="1">
        <f t="shared" si="185"/>
        <v>44896</v>
      </c>
      <c r="J1938">
        <v>957878.60000000021</v>
      </c>
      <c r="K1938">
        <v>54144</v>
      </c>
      <c r="L1938">
        <f t="shared" si="181"/>
        <v>17.69131575059102</v>
      </c>
      <c r="M1938">
        <v>4512</v>
      </c>
      <c r="N1938" s="2">
        <f t="shared" si="186"/>
        <v>212.29578900709225</v>
      </c>
      <c r="O1938">
        <v>12</v>
      </c>
    </row>
    <row r="1939" spans="1:15" x14ac:dyDescent="0.25">
      <c r="A1939" t="s">
        <v>46</v>
      </c>
      <c r="B1939" t="s">
        <v>15</v>
      </c>
      <c r="C1939" t="s">
        <v>36</v>
      </c>
      <c r="D1939" t="str">
        <f t="shared" si="182"/>
        <v>FAB2_ Entera Entera 1 L</v>
      </c>
      <c r="E1939">
        <v>2022</v>
      </c>
      <c r="F1939">
        <v>51</v>
      </c>
      <c r="G1939">
        <f t="shared" si="183"/>
        <v>12</v>
      </c>
      <c r="H1939" s="1">
        <f t="shared" si="184"/>
        <v>44914</v>
      </c>
      <c r="I1939" s="1">
        <f t="shared" si="185"/>
        <v>44896</v>
      </c>
      <c r="J1939">
        <v>994565.05999999994</v>
      </c>
      <c r="K1939">
        <v>56016</v>
      </c>
      <c r="L1939">
        <f t="shared" si="181"/>
        <v>17.755017495001429</v>
      </c>
      <c r="M1939">
        <v>4668</v>
      </c>
      <c r="N1939" s="2">
        <f t="shared" si="186"/>
        <v>213.06020994001713</v>
      </c>
      <c r="O1939">
        <v>12</v>
      </c>
    </row>
    <row r="1940" spans="1:15" x14ac:dyDescent="0.25">
      <c r="A1940" t="s">
        <v>46</v>
      </c>
      <c r="B1940" t="s">
        <v>15</v>
      </c>
      <c r="C1940" t="s">
        <v>36</v>
      </c>
      <c r="D1940" t="str">
        <f t="shared" si="182"/>
        <v>FAB2_ Entera Entera 1 L</v>
      </c>
      <c r="E1940">
        <v>2022</v>
      </c>
      <c r="F1940">
        <v>52</v>
      </c>
      <c r="G1940">
        <f t="shared" si="183"/>
        <v>12</v>
      </c>
      <c r="H1940" s="1">
        <f t="shared" si="184"/>
        <v>44921</v>
      </c>
      <c r="I1940" s="1">
        <f t="shared" si="185"/>
        <v>44896</v>
      </c>
      <c r="J1940">
        <v>787742.70999999973</v>
      </c>
      <c r="K1940">
        <v>43764</v>
      </c>
      <c r="L1940">
        <f t="shared" si="181"/>
        <v>17.999787725070828</v>
      </c>
      <c r="M1940">
        <v>3647</v>
      </c>
      <c r="N1940" s="2">
        <f t="shared" si="186"/>
        <v>215.99745270084995</v>
      </c>
      <c r="O1940">
        <v>12</v>
      </c>
    </row>
    <row r="1941" spans="1:15" x14ac:dyDescent="0.25">
      <c r="A1941" t="s">
        <v>46</v>
      </c>
      <c r="B1941" t="s">
        <v>15</v>
      </c>
      <c r="C1941" t="s">
        <v>36</v>
      </c>
      <c r="D1941" t="str">
        <f t="shared" si="182"/>
        <v>FAB2_ Entera Entera 1 L</v>
      </c>
      <c r="E1941">
        <v>2023</v>
      </c>
      <c r="F1941">
        <v>1</v>
      </c>
      <c r="G1941">
        <f t="shared" si="183"/>
        <v>1</v>
      </c>
      <c r="H1941" s="1">
        <f t="shared" si="184"/>
        <v>44928</v>
      </c>
      <c r="I1941" s="1">
        <f t="shared" si="185"/>
        <v>44927</v>
      </c>
      <c r="J1941">
        <v>854211.88000000024</v>
      </c>
      <c r="K1941">
        <v>46212</v>
      </c>
      <c r="L1941">
        <f t="shared" si="181"/>
        <v>18.484633428546704</v>
      </c>
      <c r="M1941">
        <v>3851</v>
      </c>
      <c r="N1941" s="2">
        <f t="shared" si="186"/>
        <v>221.81560114256044</v>
      </c>
      <c r="O1941">
        <v>12</v>
      </c>
    </row>
    <row r="1942" spans="1:15" x14ac:dyDescent="0.25">
      <c r="A1942" t="s">
        <v>46</v>
      </c>
      <c r="B1942" t="s">
        <v>15</v>
      </c>
      <c r="C1942" t="s">
        <v>36</v>
      </c>
      <c r="D1942" t="str">
        <f t="shared" si="182"/>
        <v>FAB2_ Entera Entera 1 L</v>
      </c>
      <c r="E1942">
        <v>2023</v>
      </c>
      <c r="F1942">
        <v>2</v>
      </c>
      <c r="G1942">
        <f t="shared" si="183"/>
        <v>1</v>
      </c>
      <c r="H1942" s="1">
        <f t="shared" si="184"/>
        <v>44935</v>
      </c>
      <c r="I1942" s="1">
        <f t="shared" si="185"/>
        <v>44927</v>
      </c>
      <c r="J1942">
        <v>691106.86999999988</v>
      </c>
      <c r="K1942">
        <v>38616</v>
      </c>
      <c r="L1942">
        <f t="shared" si="181"/>
        <v>17.896904650921893</v>
      </c>
      <c r="M1942">
        <v>3218</v>
      </c>
      <c r="N1942" s="2">
        <f t="shared" si="186"/>
        <v>214.76285581106274</v>
      </c>
      <c r="O1942">
        <v>12</v>
      </c>
    </row>
    <row r="1943" spans="1:15" x14ac:dyDescent="0.25">
      <c r="A1943" t="s">
        <v>46</v>
      </c>
      <c r="B1943" t="s">
        <v>15</v>
      </c>
      <c r="C1943" t="s">
        <v>36</v>
      </c>
      <c r="D1943" t="str">
        <f t="shared" si="182"/>
        <v>FAB2_ Entera Entera 1 L</v>
      </c>
      <c r="E1943">
        <v>2023</v>
      </c>
      <c r="F1943">
        <v>3</v>
      </c>
      <c r="G1943">
        <f t="shared" si="183"/>
        <v>1</v>
      </c>
      <c r="H1943" s="1">
        <f t="shared" si="184"/>
        <v>44942</v>
      </c>
      <c r="I1943" s="1">
        <f t="shared" si="185"/>
        <v>44927</v>
      </c>
      <c r="J1943">
        <v>892354.79999999981</v>
      </c>
      <c r="K1943">
        <v>50400</v>
      </c>
      <c r="L1943">
        <f t="shared" si="181"/>
        <v>17.705452380952377</v>
      </c>
      <c r="M1943">
        <v>4200</v>
      </c>
      <c r="N1943" s="2">
        <f t="shared" si="186"/>
        <v>212.46542857142853</v>
      </c>
      <c r="O1943">
        <v>12</v>
      </c>
    </row>
    <row r="1944" spans="1:15" x14ac:dyDescent="0.25">
      <c r="A1944" t="s">
        <v>46</v>
      </c>
      <c r="B1944" t="s">
        <v>15</v>
      </c>
      <c r="C1944" t="s">
        <v>36</v>
      </c>
      <c r="D1944" t="str">
        <f t="shared" si="182"/>
        <v>FAB2_ Entera Entera 1 L</v>
      </c>
      <c r="E1944">
        <v>2023</v>
      </c>
      <c r="F1944">
        <v>4</v>
      </c>
      <c r="G1944">
        <f t="shared" si="183"/>
        <v>1</v>
      </c>
      <c r="H1944" s="1">
        <f t="shared" si="184"/>
        <v>44949</v>
      </c>
      <c r="I1944" s="1">
        <f t="shared" si="185"/>
        <v>44927</v>
      </c>
      <c r="J1944">
        <v>766119.86999999988</v>
      </c>
      <c r="K1944">
        <v>42780</v>
      </c>
      <c r="L1944">
        <f t="shared" si="181"/>
        <v>17.908365357643756</v>
      </c>
      <c r="M1944">
        <v>3565</v>
      </c>
      <c r="N1944" s="2">
        <f t="shared" si="186"/>
        <v>214.90038429172506</v>
      </c>
      <c r="O1944">
        <v>12</v>
      </c>
    </row>
    <row r="1945" spans="1:15" x14ac:dyDescent="0.25">
      <c r="A1945" t="s">
        <v>46</v>
      </c>
      <c r="B1945" t="s">
        <v>15</v>
      </c>
      <c r="C1945" t="s">
        <v>36</v>
      </c>
      <c r="D1945" t="str">
        <f t="shared" si="182"/>
        <v>FAB2_ Entera Entera 1 L</v>
      </c>
      <c r="E1945">
        <v>2023</v>
      </c>
      <c r="F1945">
        <v>5</v>
      </c>
      <c r="G1945">
        <f t="shared" si="183"/>
        <v>2</v>
      </c>
      <c r="H1945" s="1">
        <f t="shared" si="184"/>
        <v>44956</v>
      </c>
      <c r="I1945" s="1">
        <f t="shared" si="185"/>
        <v>44958</v>
      </c>
      <c r="J1945">
        <v>957504.31999999983</v>
      </c>
      <c r="K1945">
        <v>52380</v>
      </c>
      <c r="L1945">
        <f t="shared" si="181"/>
        <v>18.279960290187091</v>
      </c>
      <c r="M1945">
        <v>4365</v>
      </c>
      <c r="N1945" s="2">
        <f t="shared" si="186"/>
        <v>219.35952348224509</v>
      </c>
      <c r="O1945">
        <v>12</v>
      </c>
    </row>
    <row r="1946" spans="1:15" x14ac:dyDescent="0.25">
      <c r="A1946" t="s">
        <v>46</v>
      </c>
      <c r="B1946" t="s">
        <v>15</v>
      </c>
      <c r="C1946" t="s">
        <v>36</v>
      </c>
      <c r="D1946" t="str">
        <f t="shared" si="182"/>
        <v>FAB2_ Entera Entera 1 L</v>
      </c>
      <c r="E1946">
        <v>2023</v>
      </c>
      <c r="F1946">
        <v>6</v>
      </c>
      <c r="G1946">
        <f t="shared" si="183"/>
        <v>2</v>
      </c>
      <c r="H1946" s="1">
        <f t="shared" si="184"/>
        <v>44963</v>
      </c>
      <c r="I1946" s="1">
        <f t="shared" si="185"/>
        <v>44958</v>
      </c>
      <c r="J1946">
        <v>885766.68999999983</v>
      </c>
      <c r="K1946">
        <v>49176</v>
      </c>
      <c r="L1946">
        <f t="shared" si="181"/>
        <v>18.012174434683583</v>
      </c>
      <c r="M1946">
        <v>4098</v>
      </c>
      <c r="N1946" s="2">
        <f t="shared" si="186"/>
        <v>216.14609321620298</v>
      </c>
      <c r="O1946">
        <v>12</v>
      </c>
    </row>
    <row r="1947" spans="1:15" x14ac:dyDescent="0.25">
      <c r="A1947" t="s">
        <v>46</v>
      </c>
      <c r="B1947" t="s">
        <v>15</v>
      </c>
      <c r="C1947" t="s">
        <v>36</v>
      </c>
      <c r="D1947" t="str">
        <f t="shared" si="182"/>
        <v>FAB2_ Entera Entera 1 L</v>
      </c>
      <c r="E1947">
        <v>2023</v>
      </c>
      <c r="F1947">
        <v>7</v>
      </c>
      <c r="G1947">
        <f t="shared" si="183"/>
        <v>2</v>
      </c>
      <c r="H1947" s="1">
        <f t="shared" si="184"/>
        <v>44970</v>
      </c>
      <c r="I1947" s="1">
        <f t="shared" si="185"/>
        <v>44958</v>
      </c>
      <c r="J1947">
        <v>1328662.0399999998</v>
      </c>
      <c r="K1947">
        <v>77808</v>
      </c>
      <c r="L1947">
        <f t="shared" si="181"/>
        <v>17.076162348344642</v>
      </c>
      <c r="M1947">
        <v>6484</v>
      </c>
      <c r="N1947" s="2">
        <f t="shared" si="186"/>
        <v>204.91394818013569</v>
      </c>
      <c r="O1947">
        <v>12</v>
      </c>
    </row>
    <row r="1948" spans="1:15" x14ac:dyDescent="0.25">
      <c r="A1948" t="s">
        <v>46</v>
      </c>
      <c r="B1948" t="s">
        <v>15</v>
      </c>
      <c r="C1948" t="s">
        <v>36</v>
      </c>
      <c r="D1948" t="str">
        <f t="shared" si="182"/>
        <v>FAB2_ Entera Entera 1 L</v>
      </c>
      <c r="E1948">
        <v>2023</v>
      </c>
      <c r="F1948">
        <v>8</v>
      </c>
      <c r="G1948">
        <f t="shared" si="183"/>
        <v>2</v>
      </c>
      <c r="H1948" s="1">
        <f t="shared" si="184"/>
        <v>44977</v>
      </c>
      <c r="I1948" s="1">
        <f t="shared" si="185"/>
        <v>44958</v>
      </c>
      <c r="J1948">
        <v>684920.82</v>
      </c>
      <c r="K1948">
        <v>37512</v>
      </c>
      <c r="L1948">
        <f t="shared" si="181"/>
        <v>18.258712412028149</v>
      </c>
      <c r="M1948">
        <v>3126</v>
      </c>
      <c r="N1948" s="2">
        <f t="shared" si="186"/>
        <v>219.10454894433781</v>
      </c>
      <c r="O1948">
        <v>12</v>
      </c>
    </row>
    <row r="1949" spans="1:15" x14ac:dyDescent="0.25">
      <c r="A1949" t="s">
        <v>46</v>
      </c>
      <c r="B1949" t="s">
        <v>15</v>
      </c>
      <c r="C1949" t="s">
        <v>36</v>
      </c>
      <c r="D1949" t="str">
        <f t="shared" si="182"/>
        <v>FAB2_ Entera Entera 1 L</v>
      </c>
      <c r="E1949">
        <v>2023</v>
      </c>
      <c r="F1949">
        <v>9</v>
      </c>
      <c r="G1949">
        <f t="shared" si="183"/>
        <v>3</v>
      </c>
      <c r="H1949" s="1">
        <f t="shared" si="184"/>
        <v>44984</v>
      </c>
      <c r="I1949" s="1">
        <f t="shared" si="185"/>
        <v>44986</v>
      </c>
      <c r="J1949">
        <v>897565.93000000017</v>
      </c>
      <c r="K1949">
        <v>49836</v>
      </c>
      <c r="L1949">
        <f t="shared" si="181"/>
        <v>18.010392688016697</v>
      </c>
      <c r="M1949">
        <v>4153</v>
      </c>
      <c r="N1949" s="2">
        <f t="shared" si="186"/>
        <v>216.12471225620038</v>
      </c>
      <c r="O1949">
        <v>12</v>
      </c>
    </row>
    <row r="1950" spans="1:15" x14ac:dyDescent="0.25">
      <c r="A1950" t="s">
        <v>46</v>
      </c>
      <c r="B1950" t="s">
        <v>15</v>
      </c>
      <c r="C1950" t="s">
        <v>36</v>
      </c>
      <c r="D1950" t="str">
        <f t="shared" si="182"/>
        <v>FAB2_ Entera Entera 1 L</v>
      </c>
      <c r="E1950">
        <v>2023</v>
      </c>
      <c r="F1950">
        <v>10</v>
      </c>
      <c r="G1950">
        <f t="shared" si="183"/>
        <v>3</v>
      </c>
      <c r="H1950" s="1">
        <f t="shared" si="184"/>
        <v>44991</v>
      </c>
      <c r="I1950" s="1">
        <f t="shared" si="185"/>
        <v>44986</v>
      </c>
      <c r="J1950">
        <v>786516.91000000038</v>
      </c>
      <c r="K1950">
        <v>42984</v>
      </c>
      <c r="L1950">
        <f t="shared" si="181"/>
        <v>18.297899450958504</v>
      </c>
      <c r="M1950">
        <v>3582</v>
      </c>
      <c r="N1950" s="2">
        <f t="shared" si="186"/>
        <v>219.57479341150207</v>
      </c>
      <c r="O1950">
        <v>12</v>
      </c>
    </row>
    <row r="1951" spans="1:15" x14ac:dyDescent="0.25">
      <c r="A1951" t="s">
        <v>46</v>
      </c>
      <c r="B1951" t="s">
        <v>15</v>
      </c>
      <c r="C1951" t="s">
        <v>36</v>
      </c>
      <c r="D1951" t="str">
        <f t="shared" si="182"/>
        <v>FAB2_ Entera Entera 1 L</v>
      </c>
      <c r="E1951">
        <v>2023</v>
      </c>
      <c r="F1951">
        <v>11</v>
      </c>
      <c r="G1951">
        <f t="shared" si="183"/>
        <v>3</v>
      </c>
      <c r="H1951" s="1">
        <f t="shared" si="184"/>
        <v>44998</v>
      </c>
      <c r="I1951" s="1">
        <f t="shared" si="185"/>
        <v>44986</v>
      </c>
      <c r="J1951">
        <v>1097252.3900000004</v>
      </c>
      <c r="K1951">
        <v>60552</v>
      </c>
      <c r="L1951">
        <f t="shared" si="181"/>
        <v>18.120828213766686</v>
      </c>
      <c r="M1951">
        <v>5046</v>
      </c>
      <c r="N1951" s="2">
        <f t="shared" si="186"/>
        <v>217.44993856520023</v>
      </c>
      <c r="O1951">
        <v>12</v>
      </c>
    </row>
    <row r="1952" spans="1:15" x14ac:dyDescent="0.25">
      <c r="A1952" t="s">
        <v>46</v>
      </c>
      <c r="B1952" t="s">
        <v>15</v>
      </c>
      <c r="C1952" t="s">
        <v>36</v>
      </c>
      <c r="D1952" t="str">
        <f t="shared" si="182"/>
        <v>FAB2_ Entera Entera 1 L</v>
      </c>
      <c r="E1952">
        <v>2023</v>
      </c>
      <c r="F1952">
        <v>12</v>
      </c>
      <c r="G1952">
        <f t="shared" si="183"/>
        <v>3</v>
      </c>
      <c r="H1952" s="1">
        <f t="shared" si="184"/>
        <v>45005</v>
      </c>
      <c r="I1952" s="1">
        <f t="shared" si="185"/>
        <v>44986</v>
      </c>
      <c r="J1952">
        <v>958096.50000000047</v>
      </c>
      <c r="K1952">
        <v>52116</v>
      </c>
      <c r="L1952">
        <f t="shared" si="181"/>
        <v>18.383922403868304</v>
      </c>
      <c r="M1952">
        <v>4343</v>
      </c>
      <c r="N1952" s="2">
        <f t="shared" si="186"/>
        <v>220.60706884641962</v>
      </c>
      <c r="O1952">
        <v>12</v>
      </c>
    </row>
    <row r="1953" spans="1:15" x14ac:dyDescent="0.25">
      <c r="A1953" t="s">
        <v>46</v>
      </c>
      <c r="B1953" t="s">
        <v>15</v>
      </c>
      <c r="C1953" t="s">
        <v>36</v>
      </c>
      <c r="D1953" t="str">
        <f t="shared" si="182"/>
        <v>FAB2_ Entera Entera 1 L</v>
      </c>
      <c r="E1953">
        <v>2023</v>
      </c>
      <c r="F1953">
        <v>13</v>
      </c>
      <c r="G1953">
        <f t="shared" si="183"/>
        <v>3</v>
      </c>
      <c r="H1953" s="1">
        <f t="shared" si="184"/>
        <v>45012</v>
      </c>
      <c r="I1953" s="1">
        <f t="shared" si="185"/>
        <v>44986</v>
      </c>
      <c r="J1953">
        <v>987730.50000000023</v>
      </c>
      <c r="K1953">
        <v>53556</v>
      </c>
      <c r="L1953">
        <f t="shared" si="181"/>
        <v>18.442947568899847</v>
      </c>
      <c r="M1953">
        <v>4463</v>
      </c>
      <c r="N1953" s="2">
        <f t="shared" si="186"/>
        <v>221.31537082679816</v>
      </c>
      <c r="O1953">
        <v>12</v>
      </c>
    </row>
    <row r="1954" spans="1:15" x14ac:dyDescent="0.25">
      <c r="A1954" t="s">
        <v>46</v>
      </c>
      <c r="B1954" t="s">
        <v>15</v>
      </c>
      <c r="C1954" t="s">
        <v>36</v>
      </c>
      <c r="D1954" t="str">
        <f t="shared" si="182"/>
        <v>FAB2_ Entera Entera 1 L</v>
      </c>
      <c r="E1954">
        <v>2023</v>
      </c>
      <c r="F1954">
        <v>14</v>
      </c>
      <c r="G1954">
        <f t="shared" si="183"/>
        <v>4</v>
      </c>
      <c r="H1954" s="1">
        <f t="shared" si="184"/>
        <v>45019</v>
      </c>
      <c r="I1954" s="1">
        <f t="shared" si="185"/>
        <v>45017</v>
      </c>
      <c r="J1954">
        <v>869968.73999999941</v>
      </c>
      <c r="K1954">
        <v>47532</v>
      </c>
      <c r="L1954">
        <f t="shared" si="181"/>
        <v>18.302801060338286</v>
      </c>
      <c r="M1954">
        <v>3961</v>
      </c>
      <c r="N1954" s="2">
        <f t="shared" si="186"/>
        <v>219.63361272405942</v>
      </c>
      <c r="O1954">
        <v>12</v>
      </c>
    </row>
    <row r="1955" spans="1:15" x14ac:dyDescent="0.25">
      <c r="A1955" t="s">
        <v>46</v>
      </c>
      <c r="B1955" t="s">
        <v>15</v>
      </c>
      <c r="C1955" t="s">
        <v>36</v>
      </c>
      <c r="D1955" t="str">
        <f t="shared" si="182"/>
        <v>FAB2_ Entera Entera 1 L</v>
      </c>
      <c r="E1955">
        <v>2023</v>
      </c>
      <c r="F1955">
        <v>15</v>
      </c>
      <c r="G1955">
        <f t="shared" si="183"/>
        <v>4</v>
      </c>
      <c r="H1955" s="1">
        <f t="shared" si="184"/>
        <v>45026</v>
      </c>
      <c r="I1955" s="1">
        <f t="shared" si="185"/>
        <v>45017</v>
      </c>
      <c r="J1955">
        <v>736566.30999999994</v>
      </c>
      <c r="K1955">
        <v>41160</v>
      </c>
      <c r="L1955">
        <f t="shared" si="181"/>
        <v>17.895197035957239</v>
      </c>
      <c r="M1955">
        <v>3430</v>
      </c>
      <c r="N1955" s="2">
        <f t="shared" si="186"/>
        <v>214.74236443148686</v>
      </c>
      <c r="O1955">
        <v>12</v>
      </c>
    </row>
    <row r="1956" spans="1:15" x14ac:dyDescent="0.25">
      <c r="A1956" t="s">
        <v>46</v>
      </c>
      <c r="B1956" t="s">
        <v>15</v>
      </c>
      <c r="C1956" t="s">
        <v>36</v>
      </c>
      <c r="D1956" t="str">
        <f t="shared" si="182"/>
        <v>FAB2_ Entera Entera 1 L</v>
      </c>
      <c r="E1956">
        <v>2023</v>
      </c>
      <c r="F1956">
        <v>16</v>
      </c>
      <c r="G1956">
        <f t="shared" si="183"/>
        <v>4</v>
      </c>
      <c r="H1956" s="1">
        <f t="shared" si="184"/>
        <v>45033</v>
      </c>
      <c r="I1956" s="1">
        <f t="shared" si="185"/>
        <v>45017</v>
      </c>
      <c r="J1956">
        <v>869903.68999999971</v>
      </c>
      <c r="K1956">
        <v>48396</v>
      </c>
      <c r="L1956">
        <f t="shared" si="181"/>
        <v>17.974702248119673</v>
      </c>
      <c r="M1956">
        <v>4033</v>
      </c>
      <c r="N1956" s="2">
        <f t="shared" si="186"/>
        <v>215.69642697743609</v>
      </c>
      <c r="O1956">
        <v>12</v>
      </c>
    </row>
    <row r="1957" spans="1:15" x14ac:dyDescent="0.25">
      <c r="A1957" t="s">
        <v>46</v>
      </c>
      <c r="B1957" t="s">
        <v>15</v>
      </c>
      <c r="C1957" t="s">
        <v>36</v>
      </c>
      <c r="D1957" t="str">
        <f t="shared" si="182"/>
        <v>FAB2_ Entera Entera 1 L</v>
      </c>
      <c r="E1957">
        <v>2023</v>
      </c>
      <c r="F1957">
        <v>17</v>
      </c>
      <c r="G1957">
        <f t="shared" si="183"/>
        <v>4</v>
      </c>
      <c r="H1957" s="1">
        <f t="shared" si="184"/>
        <v>45040</v>
      </c>
      <c r="I1957" s="1">
        <f t="shared" si="185"/>
        <v>45017</v>
      </c>
      <c r="J1957">
        <v>1219571.5599999996</v>
      </c>
      <c r="K1957">
        <v>74064</v>
      </c>
      <c r="L1957">
        <f t="shared" si="181"/>
        <v>16.466455497947717</v>
      </c>
      <c r="M1957">
        <v>6172</v>
      </c>
      <c r="N1957" s="2">
        <f t="shared" si="186"/>
        <v>197.59746597537259</v>
      </c>
      <c r="O1957">
        <v>12</v>
      </c>
    </row>
    <row r="1958" spans="1:15" x14ac:dyDescent="0.25">
      <c r="A1958" t="s">
        <v>46</v>
      </c>
      <c r="B1958" t="s">
        <v>15</v>
      </c>
      <c r="C1958" t="s">
        <v>36</v>
      </c>
      <c r="D1958" t="str">
        <f t="shared" si="182"/>
        <v>FAB2_ Entera Entera 1 L</v>
      </c>
      <c r="E1958">
        <v>2023</v>
      </c>
      <c r="F1958">
        <v>18</v>
      </c>
      <c r="G1958">
        <f t="shared" si="183"/>
        <v>5</v>
      </c>
      <c r="H1958" s="1">
        <f t="shared" si="184"/>
        <v>45047</v>
      </c>
      <c r="I1958" s="1">
        <f t="shared" si="185"/>
        <v>45047</v>
      </c>
      <c r="J1958">
        <v>1157399.2400000002</v>
      </c>
      <c r="K1958">
        <v>68532</v>
      </c>
      <c r="L1958">
        <f t="shared" si="181"/>
        <v>16.888449775287459</v>
      </c>
      <c r="M1958">
        <v>5711</v>
      </c>
      <c r="N1958" s="2">
        <f t="shared" si="186"/>
        <v>202.66139730344952</v>
      </c>
      <c r="O1958">
        <v>12</v>
      </c>
    </row>
    <row r="1959" spans="1:15" x14ac:dyDescent="0.25">
      <c r="A1959" t="s">
        <v>46</v>
      </c>
      <c r="B1959" t="s">
        <v>15</v>
      </c>
      <c r="C1959" t="s">
        <v>36</v>
      </c>
      <c r="D1959" t="str">
        <f t="shared" si="182"/>
        <v>FAB2_ Entera Entera 1 L</v>
      </c>
      <c r="E1959">
        <v>2023</v>
      </c>
      <c r="F1959">
        <v>19</v>
      </c>
      <c r="G1959">
        <f t="shared" si="183"/>
        <v>5</v>
      </c>
      <c r="H1959" s="1">
        <f t="shared" si="184"/>
        <v>45054</v>
      </c>
      <c r="I1959" s="1">
        <f t="shared" si="185"/>
        <v>45047</v>
      </c>
      <c r="J1959">
        <v>771308.79999999993</v>
      </c>
      <c r="K1959">
        <v>45060</v>
      </c>
      <c r="L1959">
        <f t="shared" si="181"/>
        <v>17.117372392365734</v>
      </c>
      <c r="M1959">
        <v>3755</v>
      </c>
      <c r="N1959" s="2">
        <f t="shared" si="186"/>
        <v>205.4084687083888</v>
      </c>
      <c r="O1959">
        <v>12</v>
      </c>
    </row>
    <row r="1960" spans="1:15" x14ac:dyDescent="0.25">
      <c r="A1960" t="s">
        <v>46</v>
      </c>
      <c r="B1960" t="s">
        <v>15</v>
      </c>
      <c r="C1960" t="s">
        <v>36</v>
      </c>
      <c r="D1960" t="str">
        <f t="shared" si="182"/>
        <v>FAB2_ Entera Entera 1 L</v>
      </c>
      <c r="E1960">
        <v>2023</v>
      </c>
      <c r="F1960">
        <v>20</v>
      </c>
      <c r="G1960">
        <f t="shared" si="183"/>
        <v>5</v>
      </c>
      <c r="H1960" s="1">
        <f t="shared" si="184"/>
        <v>45061</v>
      </c>
      <c r="I1960" s="1">
        <f t="shared" si="185"/>
        <v>45047</v>
      </c>
      <c r="J1960">
        <v>1056597.9300000002</v>
      </c>
      <c r="K1960">
        <v>64740</v>
      </c>
      <c r="L1960">
        <f t="shared" si="181"/>
        <v>16.320635310472664</v>
      </c>
      <c r="M1960">
        <v>5395</v>
      </c>
      <c r="N1960" s="2">
        <f t="shared" si="186"/>
        <v>195.84762372567195</v>
      </c>
      <c r="O1960">
        <v>12</v>
      </c>
    </row>
    <row r="1961" spans="1:15" x14ac:dyDescent="0.25">
      <c r="A1961" t="s">
        <v>46</v>
      </c>
      <c r="B1961" t="s">
        <v>15</v>
      </c>
      <c r="C1961" t="s">
        <v>36</v>
      </c>
      <c r="D1961" t="str">
        <f t="shared" si="182"/>
        <v>FAB2_ Entera Entera 1 L</v>
      </c>
      <c r="E1961">
        <v>2023</v>
      </c>
      <c r="F1961">
        <v>21</v>
      </c>
      <c r="G1961">
        <f t="shared" si="183"/>
        <v>5</v>
      </c>
      <c r="H1961" s="1">
        <f t="shared" si="184"/>
        <v>45068</v>
      </c>
      <c r="I1961" s="1">
        <f t="shared" si="185"/>
        <v>45047</v>
      </c>
      <c r="J1961">
        <v>803475.67999999947</v>
      </c>
      <c r="K1961">
        <v>46776</v>
      </c>
      <c r="L1961">
        <f t="shared" si="181"/>
        <v>17.17709252608174</v>
      </c>
      <c r="M1961">
        <v>3898</v>
      </c>
      <c r="N1961" s="2">
        <f t="shared" si="186"/>
        <v>206.12511031298089</v>
      </c>
      <c r="O1961">
        <v>12</v>
      </c>
    </row>
    <row r="1962" spans="1:15" x14ac:dyDescent="0.25">
      <c r="A1962" t="s">
        <v>46</v>
      </c>
      <c r="B1962" t="s">
        <v>15</v>
      </c>
      <c r="C1962" t="s">
        <v>36</v>
      </c>
      <c r="D1962" t="str">
        <f t="shared" si="182"/>
        <v>FAB2_ Entera Entera 1 L</v>
      </c>
      <c r="E1962">
        <v>2023</v>
      </c>
      <c r="F1962">
        <v>22</v>
      </c>
      <c r="G1962">
        <f t="shared" si="183"/>
        <v>6</v>
      </c>
      <c r="H1962" s="1">
        <f t="shared" si="184"/>
        <v>45075</v>
      </c>
      <c r="I1962" s="1">
        <f t="shared" si="185"/>
        <v>45078</v>
      </c>
      <c r="J1962">
        <v>745076.93999999971</v>
      </c>
      <c r="K1962">
        <v>39912</v>
      </c>
      <c r="L1962">
        <f t="shared" si="181"/>
        <v>18.667993084786524</v>
      </c>
      <c r="M1962">
        <v>3326</v>
      </c>
      <c r="N1962" s="2">
        <f t="shared" si="186"/>
        <v>224.01591701743828</v>
      </c>
      <c r="O1962">
        <v>12</v>
      </c>
    </row>
    <row r="1963" spans="1:15" x14ac:dyDescent="0.25">
      <c r="A1963" t="s">
        <v>46</v>
      </c>
      <c r="B1963" t="s">
        <v>15</v>
      </c>
      <c r="C1963" t="s">
        <v>36</v>
      </c>
      <c r="D1963" t="str">
        <f t="shared" si="182"/>
        <v>FAB2_ Entera Entera 1 L</v>
      </c>
      <c r="E1963">
        <v>2023</v>
      </c>
      <c r="F1963">
        <v>23</v>
      </c>
      <c r="G1963">
        <f t="shared" si="183"/>
        <v>6</v>
      </c>
      <c r="H1963" s="1">
        <f t="shared" si="184"/>
        <v>45082</v>
      </c>
      <c r="I1963" s="1">
        <f t="shared" si="185"/>
        <v>45078</v>
      </c>
      <c r="J1963">
        <v>798504.08</v>
      </c>
      <c r="K1963">
        <v>42924</v>
      </c>
      <c r="L1963">
        <f t="shared" si="181"/>
        <v>18.6027415897866</v>
      </c>
      <c r="M1963">
        <v>3577</v>
      </c>
      <c r="N1963" s="2">
        <f t="shared" si="186"/>
        <v>223.23289907743919</v>
      </c>
      <c r="O1963">
        <v>12</v>
      </c>
    </row>
    <row r="1964" spans="1:15" x14ac:dyDescent="0.25">
      <c r="A1964" t="s">
        <v>46</v>
      </c>
      <c r="B1964" t="s">
        <v>15</v>
      </c>
      <c r="C1964" t="s">
        <v>36</v>
      </c>
      <c r="D1964" t="str">
        <f t="shared" si="182"/>
        <v>FAB2_ Entera Entera 1 L</v>
      </c>
      <c r="E1964">
        <v>2023</v>
      </c>
      <c r="F1964">
        <v>24</v>
      </c>
      <c r="G1964">
        <f t="shared" si="183"/>
        <v>6</v>
      </c>
      <c r="H1964" s="1">
        <f t="shared" si="184"/>
        <v>45089</v>
      </c>
      <c r="I1964" s="1">
        <f t="shared" si="185"/>
        <v>45078</v>
      </c>
      <c r="J1964">
        <v>948034.74</v>
      </c>
      <c r="K1964">
        <v>56940</v>
      </c>
      <c r="L1964">
        <f t="shared" si="181"/>
        <v>16.649714436248683</v>
      </c>
      <c r="M1964">
        <v>4745</v>
      </c>
      <c r="N1964" s="2">
        <f t="shared" si="186"/>
        <v>199.79657323498418</v>
      </c>
      <c r="O1964">
        <v>12</v>
      </c>
    </row>
    <row r="1965" spans="1:15" x14ac:dyDescent="0.25">
      <c r="A1965" t="s">
        <v>46</v>
      </c>
      <c r="B1965" t="s">
        <v>15</v>
      </c>
      <c r="C1965" t="s">
        <v>36</v>
      </c>
      <c r="D1965" t="str">
        <f t="shared" si="182"/>
        <v>FAB2_ Entera Entera 1 L</v>
      </c>
      <c r="E1965">
        <v>2023</v>
      </c>
      <c r="F1965">
        <v>25</v>
      </c>
      <c r="G1965">
        <f t="shared" si="183"/>
        <v>6</v>
      </c>
      <c r="H1965" s="1">
        <f t="shared" si="184"/>
        <v>45096</v>
      </c>
      <c r="I1965" s="1">
        <f t="shared" si="185"/>
        <v>45078</v>
      </c>
      <c r="J1965">
        <v>833615.71999999986</v>
      </c>
      <c r="K1965">
        <v>49644</v>
      </c>
      <c r="L1965">
        <f t="shared" si="181"/>
        <v>16.791872532430904</v>
      </c>
      <c r="M1965">
        <v>4137</v>
      </c>
      <c r="N1965" s="2">
        <f t="shared" si="186"/>
        <v>201.50247038917087</v>
      </c>
      <c r="O1965">
        <v>12</v>
      </c>
    </row>
    <row r="1966" spans="1:15" x14ac:dyDescent="0.25">
      <c r="A1966" t="s">
        <v>46</v>
      </c>
      <c r="B1966" t="s">
        <v>15</v>
      </c>
      <c r="C1966" t="s">
        <v>36</v>
      </c>
      <c r="D1966" t="str">
        <f t="shared" si="182"/>
        <v>FAB2_ Entera Entera 1 L</v>
      </c>
      <c r="E1966">
        <v>2023</v>
      </c>
      <c r="F1966">
        <v>26</v>
      </c>
      <c r="G1966">
        <f t="shared" si="183"/>
        <v>6</v>
      </c>
      <c r="H1966" s="1">
        <f t="shared" si="184"/>
        <v>45103</v>
      </c>
      <c r="I1966" s="1">
        <f t="shared" si="185"/>
        <v>45078</v>
      </c>
      <c r="J1966">
        <v>940973.75999999966</v>
      </c>
      <c r="K1966">
        <v>58608</v>
      </c>
      <c r="L1966">
        <f t="shared" si="181"/>
        <v>16.055380835380831</v>
      </c>
      <c r="M1966">
        <v>4884</v>
      </c>
      <c r="N1966" s="2">
        <f t="shared" si="186"/>
        <v>192.66457002456997</v>
      </c>
      <c r="O1966">
        <v>12</v>
      </c>
    </row>
    <row r="1967" spans="1:15" x14ac:dyDescent="0.25">
      <c r="A1967" t="s">
        <v>46</v>
      </c>
      <c r="B1967" t="s">
        <v>15</v>
      </c>
      <c r="C1967" t="s">
        <v>36</v>
      </c>
      <c r="D1967" t="str">
        <f t="shared" si="182"/>
        <v>FAB2_ Entera Entera 1 L</v>
      </c>
      <c r="E1967">
        <v>2023</v>
      </c>
      <c r="F1967">
        <v>27</v>
      </c>
      <c r="G1967">
        <f t="shared" si="183"/>
        <v>7</v>
      </c>
      <c r="H1967" s="1">
        <f t="shared" si="184"/>
        <v>45110</v>
      </c>
      <c r="I1967" s="1">
        <f t="shared" si="185"/>
        <v>45108</v>
      </c>
      <c r="J1967">
        <v>1022660.7299999997</v>
      </c>
      <c r="K1967">
        <v>62616</v>
      </c>
      <c r="L1967">
        <f t="shared" si="181"/>
        <v>16.332259007282481</v>
      </c>
      <c r="M1967">
        <v>5218</v>
      </c>
      <c r="N1967" s="2">
        <f t="shared" si="186"/>
        <v>195.98710808738974</v>
      </c>
      <c r="O1967">
        <v>12</v>
      </c>
    </row>
    <row r="1968" spans="1:15" x14ac:dyDescent="0.25">
      <c r="A1968" t="s">
        <v>46</v>
      </c>
      <c r="B1968" t="s">
        <v>15</v>
      </c>
      <c r="C1968" t="s">
        <v>36</v>
      </c>
      <c r="D1968" t="str">
        <f t="shared" si="182"/>
        <v>FAB2_ Entera Entera 1 L</v>
      </c>
      <c r="E1968">
        <v>2023</v>
      </c>
      <c r="F1968">
        <v>28</v>
      </c>
      <c r="G1968">
        <f t="shared" si="183"/>
        <v>7</v>
      </c>
      <c r="H1968" s="1">
        <f t="shared" si="184"/>
        <v>45117</v>
      </c>
      <c r="I1968" s="1">
        <f t="shared" si="185"/>
        <v>45108</v>
      </c>
      <c r="J1968">
        <v>671726.39999999956</v>
      </c>
      <c r="K1968">
        <v>35832</v>
      </c>
      <c r="L1968">
        <f t="shared" si="181"/>
        <v>18.746550569323496</v>
      </c>
      <c r="M1968">
        <v>2986</v>
      </c>
      <c r="N1968" s="2">
        <f t="shared" si="186"/>
        <v>224.95860683188198</v>
      </c>
      <c r="O1968">
        <v>12</v>
      </c>
    </row>
    <row r="1969" spans="1:15" x14ac:dyDescent="0.25">
      <c r="A1969" t="s">
        <v>46</v>
      </c>
      <c r="B1969" t="s">
        <v>15</v>
      </c>
      <c r="C1969" t="s">
        <v>36</v>
      </c>
      <c r="D1969" t="str">
        <f t="shared" si="182"/>
        <v>FAB2_ Entera Entera 1 L</v>
      </c>
      <c r="E1969">
        <v>2023</v>
      </c>
      <c r="F1969">
        <v>29</v>
      </c>
      <c r="G1969">
        <f t="shared" si="183"/>
        <v>7</v>
      </c>
      <c r="H1969" s="1">
        <f t="shared" si="184"/>
        <v>45124</v>
      </c>
      <c r="I1969" s="1">
        <f t="shared" si="185"/>
        <v>45108</v>
      </c>
      <c r="J1969">
        <v>1057635.3099999998</v>
      </c>
      <c r="K1969">
        <v>62952</v>
      </c>
      <c r="L1969">
        <f t="shared" si="181"/>
        <v>16.800662568306009</v>
      </c>
      <c r="M1969">
        <v>5246</v>
      </c>
      <c r="N1969" s="2">
        <f t="shared" si="186"/>
        <v>201.60795081967208</v>
      </c>
      <c r="O1969">
        <v>12</v>
      </c>
    </row>
    <row r="1970" spans="1:15" x14ac:dyDescent="0.25">
      <c r="A1970" t="s">
        <v>46</v>
      </c>
      <c r="B1970" t="s">
        <v>15</v>
      </c>
      <c r="C1970" t="s">
        <v>36</v>
      </c>
      <c r="D1970" t="str">
        <f t="shared" si="182"/>
        <v>FAB2_ Entera Entera 1 L</v>
      </c>
      <c r="E1970">
        <v>2023</v>
      </c>
      <c r="F1970">
        <v>30</v>
      </c>
      <c r="G1970">
        <f t="shared" si="183"/>
        <v>7</v>
      </c>
      <c r="H1970" s="1">
        <f t="shared" si="184"/>
        <v>45131</v>
      </c>
      <c r="I1970" s="1">
        <f t="shared" si="185"/>
        <v>45108</v>
      </c>
      <c r="J1970">
        <v>763928.74999999953</v>
      </c>
      <c r="K1970">
        <v>43332</v>
      </c>
      <c r="L1970">
        <f t="shared" si="181"/>
        <v>17.629667451306183</v>
      </c>
      <c r="M1970">
        <v>3611</v>
      </c>
      <c r="N1970" s="2">
        <f t="shared" si="186"/>
        <v>211.5560094156742</v>
      </c>
      <c r="O1970">
        <v>12</v>
      </c>
    </row>
    <row r="1971" spans="1:15" x14ac:dyDescent="0.25">
      <c r="A1971" t="s">
        <v>46</v>
      </c>
      <c r="B1971" t="s">
        <v>15</v>
      </c>
      <c r="C1971" t="s">
        <v>36</v>
      </c>
      <c r="D1971" t="str">
        <f t="shared" si="182"/>
        <v>FAB2_ Entera Entera 1 L</v>
      </c>
      <c r="E1971">
        <v>2023</v>
      </c>
      <c r="F1971">
        <v>31</v>
      </c>
      <c r="G1971">
        <f t="shared" si="183"/>
        <v>8</v>
      </c>
      <c r="H1971" s="1">
        <f t="shared" si="184"/>
        <v>45138</v>
      </c>
      <c r="I1971" s="1">
        <f t="shared" si="185"/>
        <v>45139</v>
      </c>
      <c r="J1971">
        <v>948488.24999999988</v>
      </c>
      <c r="K1971">
        <v>51540</v>
      </c>
      <c r="L1971">
        <f t="shared" si="181"/>
        <v>18.402954016298018</v>
      </c>
      <c r="M1971">
        <v>4295</v>
      </c>
      <c r="N1971" s="2">
        <f t="shared" si="186"/>
        <v>220.83544819557622</v>
      </c>
      <c r="O1971">
        <v>12</v>
      </c>
    </row>
    <row r="1972" spans="1:15" x14ac:dyDescent="0.25">
      <c r="A1972" t="s">
        <v>46</v>
      </c>
      <c r="B1972" t="s">
        <v>15</v>
      </c>
      <c r="C1972" t="s">
        <v>36</v>
      </c>
      <c r="D1972" t="str">
        <f t="shared" si="182"/>
        <v>FAB2_ Entera Entera 1 L</v>
      </c>
      <c r="E1972">
        <v>2023</v>
      </c>
      <c r="F1972">
        <v>32</v>
      </c>
      <c r="G1972">
        <f t="shared" si="183"/>
        <v>8</v>
      </c>
      <c r="H1972" s="1">
        <f t="shared" si="184"/>
        <v>45145</v>
      </c>
      <c r="I1972" s="1">
        <f t="shared" si="185"/>
        <v>45139</v>
      </c>
      <c r="J1972">
        <v>634874.66999999993</v>
      </c>
      <c r="K1972">
        <v>31332</v>
      </c>
      <c r="L1972">
        <f t="shared" si="181"/>
        <v>20.262819800842585</v>
      </c>
      <c r="M1972">
        <v>2611</v>
      </c>
      <c r="N1972" s="2">
        <f t="shared" si="186"/>
        <v>243.15383761011103</v>
      </c>
      <c r="O1972">
        <v>12</v>
      </c>
    </row>
    <row r="1973" spans="1:15" x14ac:dyDescent="0.25">
      <c r="A1973" t="s">
        <v>46</v>
      </c>
      <c r="B1973" t="s">
        <v>15</v>
      </c>
      <c r="C1973" t="s">
        <v>36</v>
      </c>
      <c r="D1973" t="str">
        <f t="shared" si="182"/>
        <v>FAB2_ Entera Entera 1 L</v>
      </c>
      <c r="E1973">
        <v>2023</v>
      </c>
      <c r="F1973">
        <v>33</v>
      </c>
      <c r="G1973">
        <f t="shared" si="183"/>
        <v>8</v>
      </c>
      <c r="H1973" s="1">
        <f t="shared" si="184"/>
        <v>45152</v>
      </c>
      <c r="I1973" s="1">
        <f t="shared" si="185"/>
        <v>45139</v>
      </c>
      <c r="J1973">
        <v>866126.9299999997</v>
      </c>
      <c r="K1973">
        <v>44844</v>
      </c>
      <c r="L1973">
        <f t="shared" si="181"/>
        <v>19.31422107751315</v>
      </c>
      <c r="M1973">
        <v>3737</v>
      </c>
      <c r="N1973" s="2">
        <f t="shared" si="186"/>
        <v>231.77065293015781</v>
      </c>
      <c r="O1973">
        <v>12</v>
      </c>
    </row>
    <row r="1974" spans="1:15" x14ac:dyDescent="0.25">
      <c r="A1974" t="s">
        <v>46</v>
      </c>
      <c r="B1974" t="s">
        <v>15</v>
      </c>
      <c r="C1974" t="s">
        <v>36</v>
      </c>
      <c r="D1974" t="str">
        <f t="shared" si="182"/>
        <v>FAB2_ Entera Entera 1 L</v>
      </c>
      <c r="E1974">
        <v>2023</v>
      </c>
      <c r="F1974">
        <v>34</v>
      </c>
      <c r="G1974">
        <f t="shared" si="183"/>
        <v>8</v>
      </c>
      <c r="H1974" s="1">
        <f t="shared" si="184"/>
        <v>45159</v>
      </c>
      <c r="I1974" s="1">
        <f t="shared" si="185"/>
        <v>45139</v>
      </c>
      <c r="J1974">
        <v>853989.76999999967</v>
      </c>
      <c r="K1974">
        <v>45504</v>
      </c>
      <c r="L1974">
        <f t="shared" si="181"/>
        <v>18.767356056610399</v>
      </c>
      <c r="M1974">
        <v>3792</v>
      </c>
      <c r="N1974" s="2">
        <f t="shared" si="186"/>
        <v>225.20827267932481</v>
      </c>
      <c r="O1974">
        <v>12</v>
      </c>
    </row>
    <row r="1975" spans="1:15" x14ac:dyDescent="0.25">
      <c r="A1975" t="s">
        <v>46</v>
      </c>
      <c r="B1975" t="s">
        <v>15</v>
      </c>
      <c r="C1975" t="s">
        <v>36</v>
      </c>
      <c r="D1975" t="str">
        <f t="shared" si="182"/>
        <v>FAB2_ Entera Entera 1 L</v>
      </c>
      <c r="E1975">
        <v>2023</v>
      </c>
      <c r="F1975">
        <v>35</v>
      </c>
      <c r="G1975">
        <f t="shared" si="183"/>
        <v>8</v>
      </c>
      <c r="H1975" s="1">
        <f t="shared" si="184"/>
        <v>45166</v>
      </c>
      <c r="I1975" s="1">
        <f t="shared" si="185"/>
        <v>45139</v>
      </c>
      <c r="J1975">
        <v>692453.75999999966</v>
      </c>
      <c r="K1975">
        <v>34212</v>
      </c>
      <c r="L1975">
        <f t="shared" si="181"/>
        <v>20.240084180989118</v>
      </c>
      <c r="M1975">
        <v>2851</v>
      </c>
      <c r="N1975" s="2">
        <f t="shared" si="186"/>
        <v>242.88101017186941</v>
      </c>
      <c r="O1975">
        <v>12</v>
      </c>
    </row>
    <row r="1976" spans="1:15" x14ac:dyDescent="0.25">
      <c r="A1976" t="s">
        <v>46</v>
      </c>
      <c r="B1976" t="s">
        <v>15</v>
      </c>
      <c r="C1976" t="s">
        <v>36</v>
      </c>
      <c r="D1976" t="str">
        <f t="shared" si="182"/>
        <v>FAB2_ Entera Entera 1 L</v>
      </c>
      <c r="E1976">
        <v>2023</v>
      </c>
      <c r="F1976">
        <v>36</v>
      </c>
      <c r="G1976">
        <f t="shared" si="183"/>
        <v>9</v>
      </c>
      <c r="H1976" s="1">
        <f t="shared" si="184"/>
        <v>45173</v>
      </c>
      <c r="I1976" s="1">
        <f t="shared" si="185"/>
        <v>45170</v>
      </c>
      <c r="J1976">
        <v>927223.43999999959</v>
      </c>
      <c r="K1976">
        <v>46332</v>
      </c>
      <c r="L1976">
        <f t="shared" si="181"/>
        <v>20.012592592592583</v>
      </c>
      <c r="M1976">
        <v>3861</v>
      </c>
      <c r="N1976" s="2">
        <f t="shared" si="186"/>
        <v>240.15111111111099</v>
      </c>
      <c r="O1976">
        <v>12</v>
      </c>
    </row>
    <row r="1977" spans="1:15" x14ac:dyDescent="0.25">
      <c r="A1977" t="s">
        <v>46</v>
      </c>
      <c r="B1977" t="s">
        <v>15</v>
      </c>
      <c r="C1977" t="s">
        <v>36</v>
      </c>
      <c r="D1977" t="str">
        <f t="shared" si="182"/>
        <v>FAB2_ Entera Entera 1 L</v>
      </c>
      <c r="E1977">
        <v>2023</v>
      </c>
      <c r="F1977">
        <v>37</v>
      </c>
      <c r="G1977">
        <f t="shared" si="183"/>
        <v>9</v>
      </c>
      <c r="H1977" s="1">
        <f t="shared" si="184"/>
        <v>45180</v>
      </c>
      <c r="I1977" s="1">
        <f t="shared" si="185"/>
        <v>45170</v>
      </c>
      <c r="J1977">
        <v>975407.47999999952</v>
      </c>
      <c r="K1977">
        <v>51840</v>
      </c>
      <c r="L1977">
        <f t="shared" si="181"/>
        <v>18.815730709876533</v>
      </c>
      <c r="M1977">
        <v>4320</v>
      </c>
      <c r="N1977" s="2">
        <f t="shared" si="186"/>
        <v>225.7887685185184</v>
      </c>
      <c r="O1977">
        <v>12</v>
      </c>
    </row>
    <row r="1978" spans="1:15" x14ac:dyDescent="0.25">
      <c r="A1978" t="s">
        <v>46</v>
      </c>
      <c r="B1978" t="s">
        <v>15</v>
      </c>
      <c r="C1978" t="s">
        <v>36</v>
      </c>
      <c r="D1978" t="str">
        <f t="shared" si="182"/>
        <v>FAB2_ Entera Entera 1 L</v>
      </c>
      <c r="E1978">
        <v>2023</v>
      </c>
      <c r="F1978">
        <v>38</v>
      </c>
      <c r="G1978">
        <f t="shared" si="183"/>
        <v>9</v>
      </c>
      <c r="H1978" s="1">
        <f t="shared" si="184"/>
        <v>45187</v>
      </c>
      <c r="I1978" s="1">
        <f t="shared" si="185"/>
        <v>45170</v>
      </c>
      <c r="J1978">
        <v>1195613.72</v>
      </c>
      <c r="K1978">
        <v>62292</v>
      </c>
      <c r="L1978">
        <f t="shared" si="181"/>
        <v>19.193696140756437</v>
      </c>
      <c r="M1978">
        <v>5191</v>
      </c>
      <c r="N1978" s="2">
        <f t="shared" si="186"/>
        <v>230.32435368907724</v>
      </c>
      <c r="O1978">
        <v>12</v>
      </c>
    </row>
    <row r="1979" spans="1:15" x14ac:dyDescent="0.25">
      <c r="A1979" t="s">
        <v>46</v>
      </c>
      <c r="B1979" t="s">
        <v>15</v>
      </c>
      <c r="C1979" t="s">
        <v>36</v>
      </c>
      <c r="D1979" t="str">
        <f t="shared" si="182"/>
        <v>FAB2_ Entera Entera 1 L</v>
      </c>
      <c r="E1979">
        <v>2023</v>
      </c>
      <c r="F1979">
        <v>39</v>
      </c>
      <c r="G1979">
        <f t="shared" si="183"/>
        <v>9</v>
      </c>
      <c r="H1979" s="1">
        <f t="shared" si="184"/>
        <v>45194</v>
      </c>
      <c r="I1979" s="1">
        <f t="shared" si="185"/>
        <v>45170</v>
      </c>
      <c r="J1979">
        <v>948555.83999999927</v>
      </c>
      <c r="K1979">
        <v>48216</v>
      </c>
      <c r="L1979">
        <f t="shared" si="181"/>
        <v>19.673051269288187</v>
      </c>
      <c r="M1979">
        <v>4018</v>
      </c>
      <c r="N1979" s="2">
        <f t="shared" si="186"/>
        <v>236.07661523145825</v>
      </c>
      <c r="O1979">
        <v>12</v>
      </c>
    </row>
    <row r="1980" spans="1:15" x14ac:dyDescent="0.25">
      <c r="A1980" t="s">
        <v>46</v>
      </c>
      <c r="B1980" t="s">
        <v>15</v>
      </c>
      <c r="C1980" t="s">
        <v>36</v>
      </c>
      <c r="D1980" t="str">
        <f t="shared" si="182"/>
        <v>FAB2_ Entera Entera 1 L</v>
      </c>
      <c r="E1980">
        <v>2023</v>
      </c>
      <c r="F1980">
        <v>40</v>
      </c>
      <c r="G1980">
        <f t="shared" si="183"/>
        <v>10</v>
      </c>
      <c r="H1980" s="1">
        <f t="shared" si="184"/>
        <v>45201</v>
      </c>
      <c r="I1980" s="1">
        <f t="shared" si="185"/>
        <v>45200</v>
      </c>
      <c r="J1980">
        <v>1129291.3999999992</v>
      </c>
      <c r="K1980">
        <v>56820</v>
      </c>
      <c r="L1980">
        <f t="shared" si="181"/>
        <v>19.874892643435395</v>
      </c>
      <c r="M1980">
        <v>4735</v>
      </c>
      <c r="N1980" s="2">
        <f t="shared" si="186"/>
        <v>238.49871172122477</v>
      </c>
      <c r="O1980">
        <v>12</v>
      </c>
    </row>
    <row r="1981" spans="1:15" x14ac:dyDescent="0.25">
      <c r="A1981" t="s">
        <v>46</v>
      </c>
      <c r="B1981" t="s">
        <v>15</v>
      </c>
      <c r="C1981" t="s">
        <v>36</v>
      </c>
      <c r="D1981" t="str">
        <f t="shared" si="182"/>
        <v>FAB2_ Entera Entera 1 L</v>
      </c>
      <c r="E1981">
        <v>2023</v>
      </c>
      <c r="F1981">
        <v>41</v>
      </c>
      <c r="G1981">
        <f t="shared" si="183"/>
        <v>10</v>
      </c>
      <c r="H1981" s="1">
        <f t="shared" si="184"/>
        <v>45208</v>
      </c>
      <c r="I1981" s="1">
        <f t="shared" si="185"/>
        <v>45200</v>
      </c>
      <c r="J1981">
        <v>1124790.8499999999</v>
      </c>
      <c r="K1981">
        <v>58560</v>
      </c>
      <c r="L1981">
        <f t="shared" si="181"/>
        <v>19.20749402322404</v>
      </c>
      <c r="M1981">
        <v>4880</v>
      </c>
      <c r="N1981" s="2">
        <f t="shared" si="186"/>
        <v>230.4899282786885</v>
      </c>
      <c r="O1981">
        <v>12</v>
      </c>
    </row>
    <row r="1982" spans="1:15" x14ac:dyDescent="0.25">
      <c r="A1982" t="s">
        <v>46</v>
      </c>
      <c r="B1982" t="s">
        <v>15</v>
      </c>
      <c r="C1982" t="s">
        <v>36</v>
      </c>
      <c r="D1982" t="str">
        <f t="shared" si="182"/>
        <v>FAB2_ Entera Entera 1 L</v>
      </c>
      <c r="E1982">
        <v>2023</v>
      </c>
      <c r="F1982">
        <v>42</v>
      </c>
      <c r="G1982">
        <f t="shared" si="183"/>
        <v>10</v>
      </c>
      <c r="H1982" s="1">
        <f t="shared" si="184"/>
        <v>45215</v>
      </c>
      <c r="I1982" s="1">
        <f t="shared" si="185"/>
        <v>45200</v>
      </c>
      <c r="J1982">
        <v>1453384.9800000007</v>
      </c>
      <c r="K1982">
        <v>78048</v>
      </c>
      <c r="L1982">
        <f t="shared" ref="L1982:L2045" si="187">J1982/(M1982*O1982)</f>
        <v>18.621681273062741</v>
      </c>
      <c r="M1982">
        <v>6504</v>
      </c>
      <c r="N1982" s="2">
        <f t="shared" si="186"/>
        <v>223.46017527675286</v>
      </c>
      <c r="O1982">
        <v>12</v>
      </c>
    </row>
    <row r="1983" spans="1:15" x14ac:dyDescent="0.25">
      <c r="A1983" t="s">
        <v>46</v>
      </c>
      <c r="B1983" t="s">
        <v>15</v>
      </c>
      <c r="C1983" t="s">
        <v>36</v>
      </c>
      <c r="D1983" t="str">
        <f t="shared" si="182"/>
        <v>FAB2_ Entera Entera 1 L</v>
      </c>
      <c r="E1983">
        <v>2023</v>
      </c>
      <c r="F1983">
        <v>43</v>
      </c>
      <c r="G1983">
        <f t="shared" si="183"/>
        <v>10</v>
      </c>
      <c r="H1983" s="1">
        <f t="shared" si="184"/>
        <v>45222</v>
      </c>
      <c r="I1983" s="1">
        <f t="shared" si="185"/>
        <v>45200</v>
      </c>
      <c r="J1983">
        <v>1028684.5499999998</v>
      </c>
      <c r="K1983">
        <v>54708</v>
      </c>
      <c r="L1983">
        <f t="shared" si="187"/>
        <v>18.803183263873652</v>
      </c>
      <c r="M1983">
        <v>4559</v>
      </c>
      <c r="N1983" s="2">
        <f t="shared" si="186"/>
        <v>225.63819916648384</v>
      </c>
      <c r="O1983">
        <v>12</v>
      </c>
    </row>
    <row r="1984" spans="1:15" x14ac:dyDescent="0.25">
      <c r="A1984" t="s">
        <v>46</v>
      </c>
      <c r="B1984" t="s">
        <v>15</v>
      </c>
      <c r="C1984" t="s">
        <v>36</v>
      </c>
      <c r="D1984" t="str">
        <f t="shared" si="182"/>
        <v>FAB2_ Entera Entera 1 L</v>
      </c>
      <c r="E1984">
        <v>2023</v>
      </c>
      <c r="F1984">
        <v>44</v>
      </c>
      <c r="G1984">
        <f t="shared" si="183"/>
        <v>11</v>
      </c>
      <c r="H1984" s="1">
        <f t="shared" si="184"/>
        <v>45229</v>
      </c>
      <c r="I1984" s="1">
        <f t="shared" si="185"/>
        <v>45231</v>
      </c>
      <c r="J1984">
        <v>1190950.6899999995</v>
      </c>
      <c r="K1984">
        <v>64512</v>
      </c>
      <c r="L1984">
        <f t="shared" si="187"/>
        <v>18.460917193700389</v>
      </c>
      <c r="M1984">
        <v>5376</v>
      </c>
      <c r="N1984" s="2">
        <f t="shared" si="186"/>
        <v>221.53100632440467</v>
      </c>
      <c r="O1984">
        <v>12</v>
      </c>
    </row>
    <row r="1985" spans="1:15" x14ac:dyDescent="0.25">
      <c r="A1985" t="s">
        <v>46</v>
      </c>
      <c r="B1985" t="s">
        <v>15</v>
      </c>
      <c r="C1985" t="s">
        <v>36</v>
      </c>
      <c r="D1985" t="str">
        <f t="shared" si="182"/>
        <v>FAB2_ Entera Entera 1 L</v>
      </c>
      <c r="E1985">
        <v>2023</v>
      </c>
      <c r="F1985">
        <v>44</v>
      </c>
      <c r="G1985">
        <f t="shared" si="183"/>
        <v>11</v>
      </c>
      <c r="H1985" s="1">
        <f t="shared" si="184"/>
        <v>45229</v>
      </c>
      <c r="I1985" s="1">
        <f t="shared" si="185"/>
        <v>45231</v>
      </c>
      <c r="J1985">
        <v>64675.75</v>
      </c>
      <c r="K1985">
        <v>3144</v>
      </c>
      <c r="L1985">
        <f t="shared" si="187"/>
        <v>20.571167302798983</v>
      </c>
      <c r="M1985">
        <v>262</v>
      </c>
      <c r="N1985" s="2">
        <f t="shared" si="186"/>
        <v>246.8540076335878</v>
      </c>
      <c r="O1985">
        <v>12</v>
      </c>
    </row>
    <row r="1986" spans="1:15" x14ac:dyDescent="0.25">
      <c r="A1986" t="s">
        <v>46</v>
      </c>
      <c r="B1986" t="s">
        <v>15</v>
      </c>
      <c r="C1986" t="s">
        <v>36</v>
      </c>
      <c r="D1986" t="str">
        <f t="shared" si="182"/>
        <v>FAB2_ Entera Entera 1 L</v>
      </c>
      <c r="E1986">
        <v>2023</v>
      </c>
      <c r="F1986">
        <v>45</v>
      </c>
      <c r="G1986">
        <f t="shared" si="183"/>
        <v>11</v>
      </c>
      <c r="H1986" s="1">
        <f t="shared" si="184"/>
        <v>45236</v>
      </c>
      <c r="I1986" s="1">
        <f t="shared" si="185"/>
        <v>45231</v>
      </c>
      <c r="J1986">
        <v>815096.32999999973</v>
      </c>
      <c r="K1986">
        <v>43596</v>
      </c>
      <c r="L1986">
        <f t="shared" si="187"/>
        <v>18.696585237177718</v>
      </c>
      <c r="M1986">
        <v>3633</v>
      </c>
      <c r="N1986" s="2">
        <f t="shared" si="186"/>
        <v>224.3590228461326</v>
      </c>
      <c r="O1986">
        <v>12</v>
      </c>
    </row>
    <row r="1987" spans="1:15" x14ac:dyDescent="0.25">
      <c r="A1987" t="s">
        <v>46</v>
      </c>
      <c r="B1987" t="s">
        <v>15</v>
      </c>
      <c r="C1987" t="s">
        <v>36</v>
      </c>
      <c r="D1987" t="str">
        <f t="shared" ref="D1987:D2050" si="188">B1987&amp;"_"&amp;C1987</f>
        <v>FAB2_ Entera Entera 1 L</v>
      </c>
      <c r="E1987">
        <v>2023</v>
      </c>
      <c r="F1987">
        <v>45</v>
      </c>
      <c r="G1987">
        <f t="shared" ref="G1987:G2050" si="189">MONTH(DATE(E1987,1,4)+(F1987-1)*7-WEEKDAY(DATE(E1987,1,4),2)+4)</f>
        <v>11</v>
      </c>
      <c r="H1987" s="1">
        <f t="shared" ref="H1987:H2050" si="190">DATE(E1987,1,-2)-WEEKDAY(DATE(E1987,1,3))+F1987*7</f>
        <v>45236</v>
      </c>
      <c r="I1987" s="1">
        <f t="shared" ref="I1987:I2050" si="191">DATE(E1987,G1987,1)</f>
        <v>45231</v>
      </c>
      <c r="J1987">
        <v>319392.74000000005</v>
      </c>
      <c r="K1987">
        <v>16572</v>
      </c>
      <c r="L1987">
        <f t="shared" si="187"/>
        <v>19.273035240164134</v>
      </c>
      <c r="M1987">
        <v>1381</v>
      </c>
      <c r="N1987" s="2">
        <f t="shared" ref="N1987:N2050" si="192">J1987/M1987</f>
        <v>231.27642288196961</v>
      </c>
      <c r="O1987">
        <v>12</v>
      </c>
    </row>
    <row r="1988" spans="1:15" x14ac:dyDescent="0.25">
      <c r="A1988" t="s">
        <v>46</v>
      </c>
      <c r="B1988" t="s">
        <v>15</v>
      </c>
      <c r="C1988" t="s">
        <v>36</v>
      </c>
      <c r="D1988" t="str">
        <f t="shared" si="188"/>
        <v>FAB2_ Entera Entera 1 L</v>
      </c>
      <c r="E1988">
        <v>2023</v>
      </c>
      <c r="F1988">
        <v>46</v>
      </c>
      <c r="G1988">
        <f t="shared" si="189"/>
        <v>11</v>
      </c>
      <c r="H1988" s="1">
        <f t="shared" si="190"/>
        <v>45243</v>
      </c>
      <c r="I1988" s="1">
        <f t="shared" si="191"/>
        <v>45231</v>
      </c>
      <c r="J1988">
        <v>216214.80000000005</v>
      </c>
      <c r="K1988">
        <v>11676</v>
      </c>
      <c r="L1988">
        <f t="shared" si="187"/>
        <v>18.517882836587876</v>
      </c>
      <c r="M1988">
        <v>973</v>
      </c>
      <c r="N1988" s="2">
        <f t="shared" si="192"/>
        <v>222.21459403905453</v>
      </c>
      <c r="O1988">
        <v>12</v>
      </c>
    </row>
    <row r="1989" spans="1:15" x14ac:dyDescent="0.25">
      <c r="A1989" t="s">
        <v>46</v>
      </c>
      <c r="B1989" t="s">
        <v>15</v>
      </c>
      <c r="C1989" t="s">
        <v>36</v>
      </c>
      <c r="D1989" t="str">
        <f t="shared" si="188"/>
        <v>FAB2_ Entera Entera 1 L</v>
      </c>
      <c r="E1989">
        <v>2023</v>
      </c>
      <c r="F1989">
        <v>46</v>
      </c>
      <c r="G1989">
        <f t="shared" si="189"/>
        <v>11</v>
      </c>
      <c r="H1989" s="1">
        <f t="shared" si="190"/>
        <v>45243</v>
      </c>
      <c r="I1989" s="1">
        <f t="shared" si="191"/>
        <v>45231</v>
      </c>
      <c r="J1989">
        <v>860951.98999999918</v>
      </c>
      <c r="K1989">
        <v>44460</v>
      </c>
      <c r="L1989">
        <f t="shared" si="187"/>
        <v>19.364642150247395</v>
      </c>
      <c r="M1989">
        <v>3705</v>
      </c>
      <c r="N1989" s="2">
        <f t="shared" si="192"/>
        <v>232.37570580296872</v>
      </c>
      <c r="O1989">
        <v>12</v>
      </c>
    </row>
    <row r="1990" spans="1:15" x14ac:dyDescent="0.25">
      <c r="A1990" t="s">
        <v>46</v>
      </c>
      <c r="B1990" t="s">
        <v>15</v>
      </c>
      <c r="C1990" t="s">
        <v>36</v>
      </c>
      <c r="D1990" t="str">
        <f t="shared" si="188"/>
        <v>FAB2_ Entera Entera 1 L</v>
      </c>
      <c r="E1990">
        <v>2023</v>
      </c>
      <c r="F1990">
        <v>47</v>
      </c>
      <c r="G1990">
        <f t="shared" si="189"/>
        <v>11</v>
      </c>
      <c r="H1990" s="1">
        <f t="shared" si="190"/>
        <v>45250</v>
      </c>
      <c r="I1990" s="1">
        <f t="shared" si="191"/>
        <v>45231</v>
      </c>
      <c r="J1990">
        <v>53923.040000000001</v>
      </c>
      <c r="K1990">
        <v>2940</v>
      </c>
      <c r="L1990">
        <f t="shared" si="187"/>
        <v>18.341170068027211</v>
      </c>
      <c r="M1990">
        <v>245</v>
      </c>
      <c r="N1990" s="2">
        <f t="shared" si="192"/>
        <v>220.09404081632653</v>
      </c>
      <c r="O1990">
        <v>12</v>
      </c>
    </row>
    <row r="1991" spans="1:15" x14ac:dyDescent="0.25">
      <c r="A1991" t="s">
        <v>46</v>
      </c>
      <c r="B1991" t="s">
        <v>15</v>
      </c>
      <c r="C1991" t="s">
        <v>36</v>
      </c>
      <c r="D1991" t="str">
        <f t="shared" si="188"/>
        <v>FAB2_ Entera Entera 1 L</v>
      </c>
      <c r="E1991">
        <v>2023</v>
      </c>
      <c r="F1991">
        <v>47</v>
      </c>
      <c r="G1991">
        <f t="shared" si="189"/>
        <v>11</v>
      </c>
      <c r="H1991" s="1">
        <f t="shared" si="190"/>
        <v>45250</v>
      </c>
      <c r="I1991" s="1">
        <f t="shared" si="191"/>
        <v>45231</v>
      </c>
      <c r="J1991">
        <v>1123878.4499999983</v>
      </c>
      <c r="K1991">
        <v>57408</v>
      </c>
      <c r="L1991">
        <f t="shared" si="187"/>
        <v>19.577035430601978</v>
      </c>
      <c r="M1991">
        <v>4784</v>
      </c>
      <c r="N1991" s="2">
        <f t="shared" si="192"/>
        <v>234.92442516722372</v>
      </c>
      <c r="O1991">
        <v>12</v>
      </c>
    </row>
    <row r="1992" spans="1:15" x14ac:dyDescent="0.25">
      <c r="A1992" t="s">
        <v>46</v>
      </c>
      <c r="B1992" t="s">
        <v>15</v>
      </c>
      <c r="C1992" t="s">
        <v>36</v>
      </c>
      <c r="D1992" t="str">
        <f t="shared" si="188"/>
        <v>FAB2_ Entera Entera 1 L</v>
      </c>
      <c r="E1992">
        <v>2023</v>
      </c>
      <c r="F1992">
        <v>48</v>
      </c>
      <c r="G1992">
        <f t="shared" si="189"/>
        <v>11</v>
      </c>
      <c r="H1992" s="1">
        <f t="shared" si="190"/>
        <v>45257</v>
      </c>
      <c r="I1992" s="1">
        <f t="shared" si="191"/>
        <v>45231</v>
      </c>
      <c r="J1992">
        <v>2136.92</v>
      </c>
      <c r="K1992">
        <v>108</v>
      </c>
      <c r="L1992">
        <f t="shared" si="187"/>
        <v>19.786296296296296</v>
      </c>
      <c r="M1992">
        <v>9</v>
      </c>
      <c r="N1992" s="2">
        <f t="shared" si="192"/>
        <v>237.43555555555557</v>
      </c>
      <c r="O1992">
        <v>12</v>
      </c>
    </row>
    <row r="1993" spans="1:15" x14ac:dyDescent="0.25">
      <c r="A1993" t="s">
        <v>46</v>
      </c>
      <c r="B1993" t="s">
        <v>15</v>
      </c>
      <c r="C1993" t="s">
        <v>36</v>
      </c>
      <c r="D1993" t="str">
        <f t="shared" si="188"/>
        <v>FAB2_ Entera Entera 1 L</v>
      </c>
      <c r="E1993">
        <v>2023</v>
      </c>
      <c r="F1993">
        <v>48</v>
      </c>
      <c r="G1993">
        <f t="shared" si="189"/>
        <v>11</v>
      </c>
      <c r="H1993" s="1">
        <f t="shared" si="190"/>
        <v>45257</v>
      </c>
      <c r="I1993" s="1">
        <f t="shared" si="191"/>
        <v>45231</v>
      </c>
      <c r="J1993">
        <v>845950.93999999936</v>
      </c>
      <c r="K1993">
        <v>43032</v>
      </c>
      <c r="L1993">
        <f t="shared" si="187"/>
        <v>19.658647982896433</v>
      </c>
      <c r="M1993">
        <v>3586</v>
      </c>
      <c r="N1993" s="2">
        <f t="shared" si="192"/>
        <v>235.90377579475722</v>
      </c>
      <c r="O1993">
        <v>12</v>
      </c>
    </row>
    <row r="1994" spans="1:15" x14ac:dyDescent="0.25">
      <c r="A1994" t="s">
        <v>46</v>
      </c>
      <c r="B1994" t="s">
        <v>15</v>
      </c>
      <c r="C1994" t="s">
        <v>36</v>
      </c>
      <c r="D1994" t="str">
        <f t="shared" si="188"/>
        <v>FAB2_ Entera Entera 1 L</v>
      </c>
      <c r="E1994">
        <v>2023</v>
      </c>
      <c r="F1994">
        <v>49</v>
      </c>
      <c r="G1994">
        <f t="shared" si="189"/>
        <v>12</v>
      </c>
      <c r="H1994" s="1">
        <f t="shared" si="190"/>
        <v>45264</v>
      </c>
      <c r="I1994" s="1">
        <f t="shared" si="191"/>
        <v>45261</v>
      </c>
      <c r="J1994">
        <v>3467.32</v>
      </c>
      <c r="K1994">
        <v>180</v>
      </c>
      <c r="L1994">
        <f t="shared" si="187"/>
        <v>19.262888888888888</v>
      </c>
      <c r="M1994">
        <v>15</v>
      </c>
      <c r="N1994" s="2">
        <f t="shared" si="192"/>
        <v>231.15466666666669</v>
      </c>
      <c r="O1994">
        <v>12</v>
      </c>
    </row>
    <row r="1995" spans="1:15" x14ac:dyDescent="0.25">
      <c r="A1995" t="s">
        <v>46</v>
      </c>
      <c r="B1995" t="s">
        <v>15</v>
      </c>
      <c r="C1995" t="s">
        <v>36</v>
      </c>
      <c r="D1995" t="str">
        <f t="shared" si="188"/>
        <v>FAB2_ Entera Entera 1 L</v>
      </c>
      <c r="E1995">
        <v>2023</v>
      </c>
      <c r="F1995">
        <v>49</v>
      </c>
      <c r="G1995">
        <f t="shared" si="189"/>
        <v>12</v>
      </c>
      <c r="H1995" s="1">
        <f t="shared" si="190"/>
        <v>45264</v>
      </c>
      <c r="I1995" s="1">
        <f t="shared" si="191"/>
        <v>45261</v>
      </c>
      <c r="J1995">
        <v>905794.36999999941</v>
      </c>
      <c r="K1995">
        <v>46032</v>
      </c>
      <c r="L1995">
        <f t="shared" si="187"/>
        <v>19.677493265554386</v>
      </c>
      <c r="M1995">
        <v>3836</v>
      </c>
      <c r="N1995" s="2">
        <f t="shared" si="192"/>
        <v>236.12991918665261</v>
      </c>
      <c r="O1995">
        <v>12</v>
      </c>
    </row>
    <row r="1996" spans="1:15" x14ac:dyDescent="0.25">
      <c r="A1996" t="s">
        <v>46</v>
      </c>
      <c r="B1996" t="s">
        <v>15</v>
      </c>
      <c r="C1996" t="s">
        <v>36</v>
      </c>
      <c r="D1996" t="str">
        <f t="shared" si="188"/>
        <v>FAB2_ Entera Entera 1 L</v>
      </c>
      <c r="E1996">
        <v>2023</v>
      </c>
      <c r="F1996">
        <v>50</v>
      </c>
      <c r="G1996">
        <f t="shared" si="189"/>
        <v>12</v>
      </c>
      <c r="H1996" s="1">
        <f t="shared" si="190"/>
        <v>45271</v>
      </c>
      <c r="I1996" s="1">
        <f t="shared" si="191"/>
        <v>45261</v>
      </c>
      <c r="J1996">
        <v>250</v>
      </c>
      <c r="K1996">
        <v>12</v>
      </c>
      <c r="L1996">
        <f t="shared" si="187"/>
        <v>20.833333333333332</v>
      </c>
      <c r="M1996">
        <v>1</v>
      </c>
      <c r="N1996" s="2">
        <f t="shared" si="192"/>
        <v>250</v>
      </c>
      <c r="O1996">
        <v>12</v>
      </c>
    </row>
    <row r="1997" spans="1:15" x14ac:dyDescent="0.25">
      <c r="A1997" t="s">
        <v>46</v>
      </c>
      <c r="B1997" t="s">
        <v>15</v>
      </c>
      <c r="C1997" t="s">
        <v>36</v>
      </c>
      <c r="D1997" t="str">
        <f t="shared" si="188"/>
        <v>FAB2_ Entera Entera 1 L</v>
      </c>
      <c r="E1997">
        <v>2023</v>
      </c>
      <c r="F1997">
        <v>50</v>
      </c>
      <c r="G1997">
        <f t="shared" si="189"/>
        <v>12</v>
      </c>
      <c r="H1997" s="1">
        <f t="shared" si="190"/>
        <v>45271</v>
      </c>
      <c r="I1997" s="1">
        <f t="shared" si="191"/>
        <v>45261</v>
      </c>
      <c r="J1997">
        <v>1025271.3600000008</v>
      </c>
      <c r="K1997">
        <v>51720</v>
      </c>
      <c r="L1997">
        <f t="shared" si="187"/>
        <v>19.823498839907209</v>
      </c>
      <c r="M1997">
        <v>4310</v>
      </c>
      <c r="N1997" s="2">
        <f t="shared" si="192"/>
        <v>237.88198607888648</v>
      </c>
      <c r="O1997">
        <v>12</v>
      </c>
    </row>
    <row r="1998" spans="1:15" x14ac:dyDescent="0.25">
      <c r="A1998" t="s">
        <v>46</v>
      </c>
      <c r="B1998" t="s">
        <v>15</v>
      </c>
      <c r="C1998" t="s">
        <v>36</v>
      </c>
      <c r="D1998" t="str">
        <f t="shared" si="188"/>
        <v>FAB2_ Entera Entera 1 L</v>
      </c>
      <c r="E1998">
        <v>2023</v>
      </c>
      <c r="F1998">
        <v>51</v>
      </c>
      <c r="G1998">
        <f t="shared" si="189"/>
        <v>12</v>
      </c>
      <c r="H1998" s="1">
        <f t="shared" si="190"/>
        <v>45278</v>
      </c>
      <c r="I1998" s="1">
        <f t="shared" si="191"/>
        <v>45261</v>
      </c>
      <c r="J1998">
        <v>500</v>
      </c>
      <c r="K1998">
        <v>24</v>
      </c>
      <c r="L1998">
        <f t="shared" si="187"/>
        <v>20.833333333333332</v>
      </c>
      <c r="M1998">
        <v>2</v>
      </c>
      <c r="N1998" s="2">
        <f t="shared" si="192"/>
        <v>250</v>
      </c>
      <c r="O1998">
        <v>12</v>
      </c>
    </row>
    <row r="1999" spans="1:15" x14ac:dyDescent="0.25">
      <c r="A1999" t="s">
        <v>46</v>
      </c>
      <c r="B1999" t="s">
        <v>15</v>
      </c>
      <c r="C1999" t="s">
        <v>36</v>
      </c>
      <c r="D1999" t="str">
        <f t="shared" si="188"/>
        <v>FAB2_ Entera Entera 1 L</v>
      </c>
      <c r="E1999">
        <v>2023</v>
      </c>
      <c r="F1999">
        <v>51</v>
      </c>
      <c r="G1999">
        <f t="shared" si="189"/>
        <v>12</v>
      </c>
      <c r="H1999" s="1">
        <f t="shared" si="190"/>
        <v>45278</v>
      </c>
      <c r="I1999" s="1">
        <f t="shared" si="191"/>
        <v>45261</v>
      </c>
      <c r="J1999">
        <v>1038056.9700000009</v>
      </c>
      <c r="K1999">
        <v>52404</v>
      </c>
      <c r="L1999">
        <f t="shared" si="187"/>
        <v>19.808735401877737</v>
      </c>
      <c r="M1999">
        <v>4367</v>
      </c>
      <c r="N1999" s="2">
        <f t="shared" si="192"/>
        <v>237.70482482253283</v>
      </c>
      <c r="O1999">
        <v>12</v>
      </c>
    </row>
    <row r="2000" spans="1:15" x14ac:dyDescent="0.25">
      <c r="A2000" t="s">
        <v>46</v>
      </c>
      <c r="B2000" t="s">
        <v>15</v>
      </c>
      <c r="C2000" t="s">
        <v>36</v>
      </c>
      <c r="D2000" t="str">
        <f t="shared" si="188"/>
        <v>FAB2_ Entera Entera 1 L</v>
      </c>
      <c r="E2000">
        <v>2023</v>
      </c>
      <c r="F2000">
        <v>52</v>
      </c>
      <c r="G2000">
        <f t="shared" si="189"/>
        <v>12</v>
      </c>
      <c r="H2000" s="1">
        <f t="shared" si="190"/>
        <v>45285</v>
      </c>
      <c r="I2000" s="1">
        <f t="shared" si="191"/>
        <v>45261</v>
      </c>
      <c r="J2000">
        <v>-500</v>
      </c>
      <c r="K2000">
        <v>-24</v>
      </c>
      <c r="L2000">
        <f t="shared" si="187"/>
        <v>20.833333333333332</v>
      </c>
      <c r="M2000">
        <v>-2</v>
      </c>
      <c r="N2000" s="2">
        <f t="shared" si="192"/>
        <v>250</v>
      </c>
      <c r="O2000">
        <v>12</v>
      </c>
    </row>
    <row r="2001" spans="1:15" x14ac:dyDescent="0.25">
      <c r="A2001" t="s">
        <v>46</v>
      </c>
      <c r="B2001" t="s">
        <v>15</v>
      </c>
      <c r="C2001" t="s">
        <v>36</v>
      </c>
      <c r="D2001" t="str">
        <f t="shared" si="188"/>
        <v>FAB2_ Entera Entera 1 L</v>
      </c>
      <c r="E2001">
        <v>2023</v>
      </c>
      <c r="F2001">
        <v>52</v>
      </c>
      <c r="G2001">
        <f t="shared" si="189"/>
        <v>12</v>
      </c>
      <c r="H2001" s="1">
        <f t="shared" si="190"/>
        <v>45285</v>
      </c>
      <c r="I2001" s="1">
        <f t="shared" si="191"/>
        <v>45261</v>
      </c>
      <c r="J2001">
        <v>823131.25000000058</v>
      </c>
      <c r="K2001">
        <v>41184</v>
      </c>
      <c r="L2001">
        <f t="shared" si="187"/>
        <v>19.986675650738164</v>
      </c>
      <c r="M2001">
        <v>3432</v>
      </c>
      <c r="N2001" s="2">
        <f t="shared" si="192"/>
        <v>239.84010780885797</v>
      </c>
      <c r="O2001">
        <v>12</v>
      </c>
    </row>
    <row r="2002" spans="1:15" x14ac:dyDescent="0.25">
      <c r="A2002" t="s">
        <v>46</v>
      </c>
      <c r="B2002" t="s">
        <v>15</v>
      </c>
      <c r="C2002" t="s">
        <v>36</v>
      </c>
      <c r="D2002" t="str">
        <f t="shared" si="188"/>
        <v>FAB2_ Entera Entera 1 L</v>
      </c>
      <c r="E2002">
        <v>2024</v>
      </c>
      <c r="F2002">
        <v>1</v>
      </c>
      <c r="G2002">
        <f t="shared" si="189"/>
        <v>1</v>
      </c>
      <c r="H2002" s="1">
        <f t="shared" si="190"/>
        <v>45292</v>
      </c>
      <c r="I2002" s="1">
        <f t="shared" si="191"/>
        <v>45292</v>
      </c>
      <c r="J2002">
        <v>828259.42999999993</v>
      </c>
      <c r="K2002">
        <v>39720</v>
      </c>
      <c r="L2002">
        <f t="shared" si="187"/>
        <v>20.852452920443099</v>
      </c>
      <c r="M2002">
        <v>3310</v>
      </c>
      <c r="N2002" s="2">
        <f t="shared" si="192"/>
        <v>250.22943504531719</v>
      </c>
      <c r="O2002">
        <v>12</v>
      </c>
    </row>
    <row r="2003" spans="1:15" x14ac:dyDescent="0.25">
      <c r="A2003" t="s">
        <v>46</v>
      </c>
      <c r="B2003" t="s">
        <v>15</v>
      </c>
      <c r="C2003" t="s">
        <v>36</v>
      </c>
      <c r="D2003" t="str">
        <f t="shared" si="188"/>
        <v>FAB2_ Entera Entera 1 L</v>
      </c>
      <c r="E2003">
        <v>2024</v>
      </c>
      <c r="F2003">
        <v>2</v>
      </c>
      <c r="G2003">
        <f t="shared" si="189"/>
        <v>1</v>
      </c>
      <c r="H2003" s="1">
        <f t="shared" si="190"/>
        <v>45299</v>
      </c>
      <c r="I2003" s="1">
        <f t="shared" si="191"/>
        <v>45292</v>
      </c>
      <c r="J2003">
        <v>708796.22999999963</v>
      </c>
      <c r="K2003">
        <v>33924</v>
      </c>
      <c r="L2003">
        <f t="shared" si="187"/>
        <v>20.89365139724088</v>
      </c>
      <c r="M2003">
        <v>2827</v>
      </c>
      <c r="N2003" s="2">
        <f t="shared" si="192"/>
        <v>250.72381676689056</v>
      </c>
      <c r="O2003">
        <v>12</v>
      </c>
    </row>
    <row r="2004" spans="1:15" x14ac:dyDescent="0.25">
      <c r="A2004" t="s">
        <v>46</v>
      </c>
      <c r="B2004" t="s">
        <v>15</v>
      </c>
      <c r="C2004" t="s">
        <v>36</v>
      </c>
      <c r="D2004" t="str">
        <f t="shared" si="188"/>
        <v>FAB2_ Entera Entera 1 L</v>
      </c>
      <c r="E2004">
        <v>2024</v>
      </c>
      <c r="F2004">
        <v>3</v>
      </c>
      <c r="G2004">
        <f t="shared" si="189"/>
        <v>1</v>
      </c>
      <c r="H2004" s="1">
        <f t="shared" si="190"/>
        <v>45306</v>
      </c>
      <c r="I2004" s="1">
        <f t="shared" si="191"/>
        <v>45292</v>
      </c>
      <c r="J2004">
        <v>753970.95999999938</v>
      </c>
      <c r="K2004">
        <v>36060</v>
      </c>
      <c r="L2004">
        <f t="shared" si="187"/>
        <v>20.90878979478645</v>
      </c>
      <c r="M2004">
        <v>3005</v>
      </c>
      <c r="N2004" s="2">
        <f t="shared" si="192"/>
        <v>250.90547753743741</v>
      </c>
      <c r="O2004">
        <v>12</v>
      </c>
    </row>
    <row r="2005" spans="1:15" x14ac:dyDescent="0.25">
      <c r="A2005" t="s">
        <v>46</v>
      </c>
      <c r="B2005" t="s">
        <v>15</v>
      </c>
      <c r="C2005" t="s">
        <v>36</v>
      </c>
      <c r="D2005" t="str">
        <f t="shared" si="188"/>
        <v>FAB2_ Entera Entera 1 L</v>
      </c>
      <c r="E2005">
        <v>2024</v>
      </c>
      <c r="F2005">
        <v>4</v>
      </c>
      <c r="G2005">
        <f t="shared" si="189"/>
        <v>1</v>
      </c>
      <c r="H2005" s="1">
        <f t="shared" si="190"/>
        <v>45313</v>
      </c>
      <c r="I2005" s="1">
        <f t="shared" si="191"/>
        <v>45292</v>
      </c>
      <c r="J2005">
        <v>746040.01999999944</v>
      </c>
      <c r="K2005">
        <v>35700</v>
      </c>
      <c r="L2005">
        <f t="shared" si="187"/>
        <v>20.897479551820712</v>
      </c>
      <c r="M2005">
        <v>2975</v>
      </c>
      <c r="N2005" s="2">
        <f t="shared" si="192"/>
        <v>250.76975462184856</v>
      </c>
      <c r="O2005">
        <v>12</v>
      </c>
    </row>
    <row r="2006" spans="1:15" x14ac:dyDescent="0.25">
      <c r="A2006" t="s">
        <v>46</v>
      </c>
      <c r="B2006" t="s">
        <v>15</v>
      </c>
      <c r="C2006" t="s">
        <v>36</v>
      </c>
      <c r="D2006" t="str">
        <f t="shared" si="188"/>
        <v>FAB2_ Entera Entera 1 L</v>
      </c>
      <c r="E2006">
        <v>2024</v>
      </c>
      <c r="F2006">
        <v>5</v>
      </c>
      <c r="G2006">
        <f t="shared" si="189"/>
        <v>2</v>
      </c>
      <c r="H2006" s="1">
        <f t="shared" si="190"/>
        <v>45320</v>
      </c>
      <c r="I2006" s="1">
        <f t="shared" si="191"/>
        <v>45323</v>
      </c>
      <c r="J2006">
        <v>804358.01999999932</v>
      </c>
      <c r="K2006">
        <v>37620</v>
      </c>
      <c r="L2006">
        <f t="shared" si="187"/>
        <v>21.38112759170652</v>
      </c>
      <c r="M2006">
        <v>3135</v>
      </c>
      <c r="N2006" s="2">
        <f t="shared" si="192"/>
        <v>256.57353110047825</v>
      </c>
      <c r="O2006">
        <v>12</v>
      </c>
    </row>
    <row r="2007" spans="1:15" x14ac:dyDescent="0.25">
      <c r="A2007" t="s">
        <v>46</v>
      </c>
      <c r="B2007" t="s">
        <v>15</v>
      </c>
      <c r="C2007" t="s">
        <v>36</v>
      </c>
      <c r="D2007" t="str">
        <f t="shared" si="188"/>
        <v>FAB2_ Entera Entera 1 L</v>
      </c>
      <c r="E2007">
        <v>2024</v>
      </c>
      <c r="F2007">
        <v>6</v>
      </c>
      <c r="G2007">
        <f t="shared" si="189"/>
        <v>2</v>
      </c>
      <c r="H2007" s="1">
        <f t="shared" si="190"/>
        <v>45327</v>
      </c>
      <c r="I2007" s="1">
        <f t="shared" si="191"/>
        <v>45323</v>
      </c>
      <c r="J2007">
        <v>593074.90999999968</v>
      </c>
      <c r="K2007">
        <v>26832</v>
      </c>
      <c r="L2007">
        <f t="shared" si="187"/>
        <v>22.103268858079893</v>
      </c>
      <c r="M2007">
        <v>2236</v>
      </c>
      <c r="N2007" s="2">
        <f t="shared" si="192"/>
        <v>265.23922629695869</v>
      </c>
      <c r="O2007">
        <v>12</v>
      </c>
    </row>
    <row r="2008" spans="1:15" x14ac:dyDescent="0.25">
      <c r="A2008" t="s">
        <v>46</v>
      </c>
      <c r="B2008" t="s">
        <v>15</v>
      </c>
      <c r="C2008" t="s">
        <v>36</v>
      </c>
      <c r="D2008" t="str">
        <f t="shared" si="188"/>
        <v>FAB2_ Entera Entera 1 L</v>
      </c>
      <c r="E2008">
        <v>2024</v>
      </c>
      <c r="F2008">
        <v>7</v>
      </c>
      <c r="G2008">
        <f t="shared" si="189"/>
        <v>2</v>
      </c>
      <c r="H2008" s="1">
        <f t="shared" si="190"/>
        <v>45334</v>
      </c>
      <c r="I2008" s="1">
        <f t="shared" si="191"/>
        <v>45323</v>
      </c>
      <c r="J2008">
        <v>686257.26999999979</v>
      </c>
      <c r="K2008">
        <v>32028</v>
      </c>
      <c r="L2008">
        <f t="shared" si="187"/>
        <v>21.426791245160477</v>
      </c>
      <c r="M2008">
        <v>2669</v>
      </c>
      <c r="N2008" s="2">
        <f t="shared" si="192"/>
        <v>257.12149494192573</v>
      </c>
      <c r="O2008">
        <v>12</v>
      </c>
    </row>
    <row r="2009" spans="1:15" x14ac:dyDescent="0.25">
      <c r="A2009" t="s">
        <v>46</v>
      </c>
      <c r="B2009" t="s">
        <v>15</v>
      </c>
      <c r="C2009" t="s">
        <v>36</v>
      </c>
      <c r="D2009" t="str">
        <f t="shared" si="188"/>
        <v>FAB2_ Entera Entera 1 L</v>
      </c>
      <c r="E2009">
        <v>2024</v>
      </c>
      <c r="F2009">
        <v>8</v>
      </c>
      <c r="G2009">
        <f t="shared" si="189"/>
        <v>2</v>
      </c>
      <c r="H2009" s="1">
        <f t="shared" si="190"/>
        <v>45341</v>
      </c>
      <c r="I2009" s="1">
        <f t="shared" si="191"/>
        <v>45323</v>
      </c>
      <c r="J2009">
        <v>807918.07</v>
      </c>
      <c r="K2009">
        <v>38076</v>
      </c>
      <c r="L2009">
        <f t="shared" si="187"/>
        <v>21.218564712679903</v>
      </c>
      <c r="M2009">
        <v>3173</v>
      </c>
      <c r="N2009" s="2">
        <f t="shared" si="192"/>
        <v>254.62277655215883</v>
      </c>
      <c r="O2009">
        <v>12</v>
      </c>
    </row>
    <row r="2010" spans="1:15" x14ac:dyDescent="0.25">
      <c r="A2010" t="s">
        <v>46</v>
      </c>
      <c r="B2010" t="s">
        <v>15</v>
      </c>
      <c r="C2010" t="s">
        <v>36</v>
      </c>
      <c r="D2010" t="str">
        <f t="shared" si="188"/>
        <v>FAB2_ Entera Entera 1 L</v>
      </c>
      <c r="E2010">
        <v>2024</v>
      </c>
      <c r="F2010">
        <v>9</v>
      </c>
      <c r="G2010">
        <f t="shared" si="189"/>
        <v>2</v>
      </c>
      <c r="H2010" s="1">
        <f t="shared" si="190"/>
        <v>45348</v>
      </c>
      <c r="I2010" s="1">
        <f t="shared" si="191"/>
        <v>45323</v>
      </c>
      <c r="J2010">
        <v>675037.28999999957</v>
      </c>
      <c r="K2010">
        <v>30444</v>
      </c>
      <c r="L2010">
        <f t="shared" si="187"/>
        <v>22.173081395348824</v>
      </c>
      <c r="M2010">
        <v>2537</v>
      </c>
      <c r="N2010" s="2">
        <f t="shared" si="192"/>
        <v>266.07697674418586</v>
      </c>
      <c r="O2010">
        <v>12</v>
      </c>
    </row>
    <row r="2011" spans="1:15" x14ac:dyDescent="0.25">
      <c r="A2011" t="s">
        <v>46</v>
      </c>
      <c r="B2011" t="s">
        <v>15</v>
      </c>
      <c r="C2011" t="s">
        <v>36</v>
      </c>
      <c r="D2011" t="str">
        <f t="shared" si="188"/>
        <v>FAB2_ Entera Entera 1 L</v>
      </c>
      <c r="E2011">
        <v>2024</v>
      </c>
      <c r="F2011">
        <v>10</v>
      </c>
      <c r="G2011">
        <f t="shared" si="189"/>
        <v>3</v>
      </c>
      <c r="H2011" s="1">
        <f t="shared" si="190"/>
        <v>45355</v>
      </c>
      <c r="I2011" s="1">
        <f t="shared" si="191"/>
        <v>45352</v>
      </c>
      <c r="J2011">
        <v>763353.99999999965</v>
      </c>
      <c r="K2011">
        <v>35460</v>
      </c>
      <c r="L2011">
        <f t="shared" si="187"/>
        <v>21.527185561195704</v>
      </c>
      <c r="M2011">
        <v>2955</v>
      </c>
      <c r="N2011" s="2">
        <f t="shared" si="192"/>
        <v>258.32622673434844</v>
      </c>
      <c r="O2011">
        <v>12</v>
      </c>
    </row>
    <row r="2012" spans="1:15" x14ac:dyDescent="0.25">
      <c r="A2012" t="s">
        <v>46</v>
      </c>
      <c r="B2012" t="s">
        <v>15</v>
      </c>
      <c r="C2012" t="s">
        <v>36</v>
      </c>
      <c r="D2012" t="str">
        <f t="shared" si="188"/>
        <v>FAB2_ Entera Entera 1 L</v>
      </c>
      <c r="E2012">
        <v>2024</v>
      </c>
      <c r="F2012">
        <v>11</v>
      </c>
      <c r="G2012">
        <f t="shared" si="189"/>
        <v>3</v>
      </c>
      <c r="H2012" s="1">
        <f t="shared" si="190"/>
        <v>45362</v>
      </c>
      <c r="I2012" s="1">
        <f t="shared" si="191"/>
        <v>45352</v>
      </c>
      <c r="J2012">
        <v>854332.3899999999</v>
      </c>
      <c r="K2012">
        <v>41256</v>
      </c>
      <c r="L2012">
        <f t="shared" si="187"/>
        <v>20.708076158619349</v>
      </c>
      <c r="M2012">
        <v>3438</v>
      </c>
      <c r="N2012" s="2">
        <f t="shared" si="192"/>
        <v>248.49691390343219</v>
      </c>
      <c r="O2012">
        <v>12</v>
      </c>
    </row>
    <row r="2013" spans="1:15" x14ac:dyDescent="0.25">
      <c r="A2013" t="s">
        <v>46</v>
      </c>
      <c r="B2013" t="s">
        <v>15</v>
      </c>
      <c r="C2013" t="s">
        <v>36</v>
      </c>
      <c r="D2013" t="str">
        <f t="shared" si="188"/>
        <v>FAB2_ Entera Entera 1 L</v>
      </c>
      <c r="E2013">
        <v>2024</v>
      </c>
      <c r="F2013">
        <v>12</v>
      </c>
      <c r="G2013">
        <f t="shared" si="189"/>
        <v>3</v>
      </c>
      <c r="H2013" s="1">
        <f t="shared" si="190"/>
        <v>45369</v>
      </c>
      <c r="I2013" s="1">
        <f t="shared" si="191"/>
        <v>45352</v>
      </c>
      <c r="J2013">
        <v>709894.74999999988</v>
      </c>
      <c r="K2013">
        <v>34308</v>
      </c>
      <c r="L2013">
        <f t="shared" si="187"/>
        <v>20.691813862655938</v>
      </c>
      <c r="M2013">
        <v>2859</v>
      </c>
      <c r="N2013" s="2">
        <f t="shared" si="192"/>
        <v>248.30176635187124</v>
      </c>
      <c r="O2013">
        <v>12</v>
      </c>
    </row>
    <row r="2014" spans="1:15" x14ac:dyDescent="0.25">
      <c r="A2014" t="s">
        <v>46</v>
      </c>
      <c r="B2014" t="s">
        <v>15</v>
      </c>
      <c r="C2014" t="s">
        <v>36</v>
      </c>
      <c r="D2014" t="str">
        <f t="shared" si="188"/>
        <v>FAB2_ Entera Entera 1 L</v>
      </c>
      <c r="E2014">
        <v>2024</v>
      </c>
      <c r="F2014">
        <v>13</v>
      </c>
      <c r="G2014">
        <f t="shared" si="189"/>
        <v>3</v>
      </c>
      <c r="H2014" s="1">
        <f t="shared" si="190"/>
        <v>45376</v>
      </c>
      <c r="I2014" s="1">
        <f t="shared" si="191"/>
        <v>45352</v>
      </c>
      <c r="J2014">
        <v>730429.20999999926</v>
      </c>
      <c r="K2014">
        <v>35016</v>
      </c>
      <c r="L2014">
        <f t="shared" si="187"/>
        <v>20.859870059401395</v>
      </c>
      <c r="M2014">
        <v>2918</v>
      </c>
      <c r="N2014" s="2">
        <f t="shared" si="192"/>
        <v>250.31844071281674</v>
      </c>
      <c r="O2014">
        <v>12</v>
      </c>
    </row>
    <row r="2015" spans="1:15" x14ac:dyDescent="0.25">
      <c r="A2015" t="s">
        <v>46</v>
      </c>
      <c r="B2015" t="s">
        <v>15</v>
      </c>
      <c r="C2015" t="s">
        <v>36</v>
      </c>
      <c r="D2015" t="str">
        <f t="shared" si="188"/>
        <v>FAB2_ Entera Entera 1 L</v>
      </c>
      <c r="E2015">
        <v>2024</v>
      </c>
      <c r="F2015">
        <v>14</v>
      </c>
      <c r="G2015">
        <f t="shared" si="189"/>
        <v>4</v>
      </c>
      <c r="H2015" s="1">
        <f t="shared" si="190"/>
        <v>45383</v>
      </c>
      <c r="I2015" s="1">
        <f t="shared" si="191"/>
        <v>45383</v>
      </c>
      <c r="J2015">
        <v>808512.86999999941</v>
      </c>
      <c r="K2015">
        <v>38544</v>
      </c>
      <c r="L2015">
        <f t="shared" si="187"/>
        <v>20.976361301369849</v>
      </c>
      <c r="M2015">
        <v>3212</v>
      </c>
      <c r="N2015" s="2">
        <f t="shared" si="192"/>
        <v>251.71633561643819</v>
      </c>
      <c r="O2015">
        <v>12</v>
      </c>
    </row>
    <row r="2016" spans="1:15" x14ac:dyDescent="0.25">
      <c r="A2016" t="s">
        <v>46</v>
      </c>
      <c r="B2016" t="s">
        <v>15</v>
      </c>
      <c r="C2016" t="s">
        <v>36</v>
      </c>
      <c r="D2016" t="str">
        <f t="shared" si="188"/>
        <v>FAB2_ Entera Entera 1 L</v>
      </c>
      <c r="E2016">
        <v>2024</v>
      </c>
      <c r="F2016">
        <v>15</v>
      </c>
      <c r="G2016">
        <f t="shared" si="189"/>
        <v>4</v>
      </c>
      <c r="H2016" s="1">
        <f t="shared" si="190"/>
        <v>45390</v>
      </c>
      <c r="I2016" s="1">
        <f t="shared" si="191"/>
        <v>45383</v>
      </c>
      <c r="J2016">
        <v>857193.7099999995</v>
      </c>
      <c r="K2016">
        <v>42600</v>
      </c>
      <c r="L2016">
        <f t="shared" si="187"/>
        <v>20.12191807511736</v>
      </c>
      <c r="M2016">
        <v>3550</v>
      </c>
      <c r="N2016" s="2">
        <f t="shared" si="192"/>
        <v>241.46301690140831</v>
      </c>
      <c r="O2016">
        <v>12</v>
      </c>
    </row>
    <row r="2017" spans="1:15" x14ac:dyDescent="0.25">
      <c r="A2017" t="s">
        <v>46</v>
      </c>
      <c r="B2017" t="s">
        <v>15</v>
      </c>
      <c r="C2017" t="s">
        <v>36</v>
      </c>
      <c r="D2017" t="str">
        <f t="shared" si="188"/>
        <v>FAB2_ Entera Entera 1 L</v>
      </c>
      <c r="E2017">
        <v>2024</v>
      </c>
      <c r="F2017">
        <v>16</v>
      </c>
      <c r="G2017">
        <f t="shared" si="189"/>
        <v>4</v>
      </c>
      <c r="H2017" s="1">
        <f t="shared" si="190"/>
        <v>45397</v>
      </c>
      <c r="I2017" s="1">
        <f t="shared" si="191"/>
        <v>45383</v>
      </c>
      <c r="J2017">
        <v>945460.97999999928</v>
      </c>
      <c r="K2017">
        <v>47376</v>
      </c>
      <c r="L2017">
        <f t="shared" si="187"/>
        <v>19.956538753799379</v>
      </c>
      <c r="M2017">
        <v>3948</v>
      </c>
      <c r="N2017" s="2">
        <f t="shared" si="192"/>
        <v>239.47846504559251</v>
      </c>
      <c r="O2017">
        <v>12</v>
      </c>
    </row>
    <row r="2018" spans="1:15" x14ac:dyDescent="0.25">
      <c r="A2018" t="s">
        <v>46</v>
      </c>
      <c r="B2018" t="s">
        <v>15</v>
      </c>
      <c r="C2018" t="s">
        <v>36</v>
      </c>
      <c r="D2018" t="str">
        <f t="shared" si="188"/>
        <v>FAB2_ Entera Entera 1 L</v>
      </c>
      <c r="E2018">
        <v>2024</v>
      </c>
      <c r="F2018">
        <v>17</v>
      </c>
      <c r="G2018">
        <f t="shared" si="189"/>
        <v>4</v>
      </c>
      <c r="H2018" s="1">
        <f t="shared" si="190"/>
        <v>45404</v>
      </c>
      <c r="I2018" s="1">
        <f t="shared" si="191"/>
        <v>45383</v>
      </c>
      <c r="J2018">
        <v>1001631.3000000002</v>
      </c>
      <c r="K2018">
        <v>52572</v>
      </c>
      <c r="L2018">
        <f t="shared" si="187"/>
        <v>19.052562200410868</v>
      </c>
      <c r="M2018">
        <v>4381</v>
      </c>
      <c r="N2018" s="2">
        <f t="shared" si="192"/>
        <v>228.63074640493042</v>
      </c>
      <c r="O2018">
        <v>12</v>
      </c>
    </row>
    <row r="2019" spans="1:15" x14ac:dyDescent="0.25">
      <c r="A2019" t="s">
        <v>46</v>
      </c>
      <c r="B2019" t="s">
        <v>15</v>
      </c>
      <c r="C2019" t="s">
        <v>36</v>
      </c>
      <c r="D2019" t="str">
        <f t="shared" si="188"/>
        <v>FAB2_ Entera Entera 1 L</v>
      </c>
      <c r="E2019">
        <v>2024</v>
      </c>
      <c r="F2019">
        <v>18</v>
      </c>
      <c r="G2019">
        <f t="shared" si="189"/>
        <v>5</v>
      </c>
      <c r="H2019" s="1">
        <f t="shared" si="190"/>
        <v>45411</v>
      </c>
      <c r="I2019" s="1">
        <f t="shared" si="191"/>
        <v>45413</v>
      </c>
      <c r="J2019">
        <v>1358987.7100000004</v>
      </c>
      <c r="K2019">
        <v>71880</v>
      </c>
      <c r="L2019">
        <f t="shared" si="187"/>
        <v>18.90633987200891</v>
      </c>
      <c r="M2019">
        <v>5990</v>
      </c>
      <c r="N2019" s="2">
        <f t="shared" si="192"/>
        <v>226.87607846410691</v>
      </c>
      <c r="O2019">
        <v>12</v>
      </c>
    </row>
    <row r="2020" spans="1:15" x14ac:dyDescent="0.25">
      <c r="A2020" t="s">
        <v>46</v>
      </c>
      <c r="B2020" t="s">
        <v>15</v>
      </c>
      <c r="C2020" t="s">
        <v>36</v>
      </c>
      <c r="D2020" t="str">
        <f t="shared" si="188"/>
        <v>FAB2_ Entera Entera 1 L</v>
      </c>
      <c r="E2020">
        <v>2024</v>
      </c>
      <c r="F2020">
        <v>19</v>
      </c>
      <c r="G2020">
        <f t="shared" si="189"/>
        <v>5</v>
      </c>
      <c r="H2020" s="1">
        <f t="shared" si="190"/>
        <v>45418</v>
      </c>
      <c r="I2020" s="1">
        <f t="shared" si="191"/>
        <v>45413</v>
      </c>
      <c r="J2020">
        <v>1033006.9999999995</v>
      </c>
      <c r="K2020">
        <v>54456</v>
      </c>
      <c r="L2020">
        <f t="shared" si="187"/>
        <v>18.969571764360207</v>
      </c>
      <c r="M2020">
        <v>4538</v>
      </c>
      <c r="N2020" s="2">
        <f t="shared" si="192"/>
        <v>227.6348611723225</v>
      </c>
      <c r="O2020">
        <v>12</v>
      </c>
    </row>
    <row r="2021" spans="1:15" x14ac:dyDescent="0.25">
      <c r="A2021" t="s">
        <v>46</v>
      </c>
      <c r="B2021" t="s">
        <v>15</v>
      </c>
      <c r="C2021" t="s">
        <v>36</v>
      </c>
      <c r="D2021" t="str">
        <f t="shared" si="188"/>
        <v>FAB2_ Entera Entera 1 L</v>
      </c>
      <c r="E2021">
        <v>2024</v>
      </c>
      <c r="F2021">
        <v>20</v>
      </c>
      <c r="G2021">
        <f t="shared" si="189"/>
        <v>5</v>
      </c>
      <c r="H2021" s="1">
        <f t="shared" si="190"/>
        <v>45425</v>
      </c>
      <c r="I2021" s="1">
        <f t="shared" si="191"/>
        <v>45413</v>
      </c>
      <c r="J2021">
        <v>1110773.1299999994</v>
      </c>
      <c r="K2021">
        <v>58428</v>
      </c>
      <c r="L2021">
        <f t="shared" si="187"/>
        <v>19.010972992400895</v>
      </c>
      <c r="M2021">
        <v>4869</v>
      </c>
      <c r="N2021" s="2">
        <f t="shared" si="192"/>
        <v>228.13167590881073</v>
      </c>
      <c r="O2021">
        <v>12</v>
      </c>
    </row>
    <row r="2022" spans="1:15" x14ac:dyDescent="0.25">
      <c r="A2022" t="s">
        <v>46</v>
      </c>
      <c r="B2022" t="s">
        <v>15</v>
      </c>
      <c r="C2022" t="s">
        <v>36</v>
      </c>
      <c r="D2022" t="str">
        <f t="shared" si="188"/>
        <v>FAB2_ Entera Entera 1 L</v>
      </c>
      <c r="E2022">
        <v>2024</v>
      </c>
      <c r="F2022">
        <v>21</v>
      </c>
      <c r="G2022">
        <f t="shared" si="189"/>
        <v>5</v>
      </c>
      <c r="H2022" s="1">
        <f t="shared" si="190"/>
        <v>45432</v>
      </c>
      <c r="I2022" s="1">
        <f t="shared" si="191"/>
        <v>45413</v>
      </c>
      <c r="J2022">
        <v>1113821.5899999996</v>
      </c>
      <c r="K2022">
        <v>59028</v>
      </c>
      <c r="L2022">
        <f t="shared" si="187"/>
        <v>18.869377075286298</v>
      </c>
      <c r="M2022">
        <v>4919</v>
      </c>
      <c r="N2022" s="2">
        <f t="shared" si="192"/>
        <v>226.43252490343559</v>
      </c>
      <c r="O2022">
        <v>12</v>
      </c>
    </row>
    <row r="2023" spans="1:15" x14ac:dyDescent="0.25">
      <c r="A2023" t="s">
        <v>46</v>
      </c>
      <c r="B2023" t="s">
        <v>15</v>
      </c>
      <c r="C2023" t="s">
        <v>36</v>
      </c>
      <c r="D2023" t="str">
        <f t="shared" si="188"/>
        <v>FAB2_ Entera Entera 1 L</v>
      </c>
      <c r="E2023">
        <v>2024</v>
      </c>
      <c r="F2023">
        <v>22</v>
      </c>
      <c r="G2023">
        <f t="shared" si="189"/>
        <v>5</v>
      </c>
      <c r="H2023" s="1">
        <f t="shared" si="190"/>
        <v>45439</v>
      </c>
      <c r="I2023" s="1">
        <f t="shared" si="191"/>
        <v>45413</v>
      </c>
      <c r="J2023">
        <v>1167801.8399999994</v>
      </c>
      <c r="K2023">
        <v>62652</v>
      </c>
      <c r="L2023">
        <f t="shared" si="187"/>
        <v>18.639498180425196</v>
      </c>
      <c r="M2023">
        <v>5221</v>
      </c>
      <c r="N2023" s="2">
        <f t="shared" si="192"/>
        <v>223.67397816510234</v>
      </c>
      <c r="O2023">
        <v>12</v>
      </c>
    </row>
    <row r="2024" spans="1:15" x14ac:dyDescent="0.25">
      <c r="A2024" t="s">
        <v>46</v>
      </c>
      <c r="B2024" t="s">
        <v>15</v>
      </c>
      <c r="C2024" t="s">
        <v>36</v>
      </c>
      <c r="D2024" t="str">
        <f t="shared" si="188"/>
        <v>FAB2_ Entera Entera 1 L</v>
      </c>
      <c r="E2024">
        <v>2024</v>
      </c>
      <c r="F2024">
        <v>23</v>
      </c>
      <c r="G2024">
        <f t="shared" si="189"/>
        <v>6</v>
      </c>
      <c r="H2024" s="1">
        <f t="shared" si="190"/>
        <v>45446</v>
      </c>
      <c r="I2024" s="1">
        <f t="shared" si="191"/>
        <v>45444</v>
      </c>
      <c r="J2024">
        <v>1379759.82</v>
      </c>
      <c r="K2024">
        <v>73956</v>
      </c>
      <c r="L2024">
        <f t="shared" si="187"/>
        <v>18.656496024663316</v>
      </c>
      <c r="M2024">
        <v>6163</v>
      </c>
      <c r="N2024" s="2">
        <f t="shared" si="192"/>
        <v>223.87795229595977</v>
      </c>
      <c r="O2024">
        <v>12</v>
      </c>
    </row>
    <row r="2025" spans="1:15" x14ac:dyDescent="0.25">
      <c r="A2025" t="s">
        <v>46</v>
      </c>
      <c r="B2025" t="s">
        <v>15</v>
      </c>
      <c r="C2025" t="s">
        <v>36</v>
      </c>
      <c r="D2025" t="str">
        <f t="shared" si="188"/>
        <v>FAB2_ Entera Entera 1 L</v>
      </c>
      <c r="E2025">
        <v>2024</v>
      </c>
      <c r="F2025">
        <v>24</v>
      </c>
      <c r="G2025">
        <f t="shared" si="189"/>
        <v>6</v>
      </c>
      <c r="H2025" s="1">
        <f t="shared" si="190"/>
        <v>45453</v>
      </c>
      <c r="I2025" s="1">
        <f t="shared" si="191"/>
        <v>45444</v>
      </c>
      <c r="J2025">
        <v>1219354.8999999997</v>
      </c>
      <c r="K2025">
        <v>64992</v>
      </c>
      <c r="L2025">
        <f t="shared" si="187"/>
        <v>18.761615275726239</v>
      </c>
      <c r="M2025">
        <v>5416</v>
      </c>
      <c r="N2025" s="2">
        <f t="shared" si="192"/>
        <v>225.13938330871486</v>
      </c>
      <c r="O2025">
        <v>12</v>
      </c>
    </row>
    <row r="2026" spans="1:15" x14ac:dyDescent="0.25">
      <c r="A2026" t="s">
        <v>46</v>
      </c>
      <c r="B2026" t="s">
        <v>15</v>
      </c>
      <c r="C2026" t="s">
        <v>36</v>
      </c>
      <c r="D2026" t="str">
        <f t="shared" si="188"/>
        <v>FAB2_ Entera Entera 1 L</v>
      </c>
      <c r="E2026">
        <v>2024</v>
      </c>
      <c r="F2026">
        <v>25</v>
      </c>
      <c r="G2026">
        <f t="shared" si="189"/>
        <v>6</v>
      </c>
      <c r="H2026" s="1">
        <f t="shared" si="190"/>
        <v>45460</v>
      </c>
      <c r="I2026" s="1">
        <f t="shared" si="191"/>
        <v>45444</v>
      </c>
      <c r="J2026">
        <v>1155480.219999999</v>
      </c>
      <c r="K2026">
        <v>60372</v>
      </c>
      <c r="L2026">
        <f t="shared" si="187"/>
        <v>19.139339760153696</v>
      </c>
      <c r="M2026">
        <v>5031</v>
      </c>
      <c r="N2026" s="2">
        <f t="shared" si="192"/>
        <v>229.67207712184438</v>
      </c>
      <c r="O2026">
        <v>12</v>
      </c>
    </row>
    <row r="2027" spans="1:15" x14ac:dyDescent="0.25">
      <c r="A2027" t="s">
        <v>46</v>
      </c>
      <c r="B2027" t="s">
        <v>15</v>
      </c>
      <c r="C2027" t="s">
        <v>36</v>
      </c>
      <c r="D2027" t="str">
        <f t="shared" si="188"/>
        <v>FAB2_ Entera Entera 1 L</v>
      </c>
      <c r="E2027">
        <v>2024</v>
      </c>
      <c r="F2027">
        <v>26</v>
      </c>
      <c r="G2027">
        <f t="shared" si="189"/>
        <v>6</v>
      </c>
      <c r="H2027" s="1">
        <f t="shared" si="190"/>
        <v>45467</v>
      </c>
      <c r="I2027" s="1">
        <f t="shared" si="191"/>
        <v>45444</v>
      </c>
      <c r="J2027">
        <v>1025991.259999999</v>
      </c>
      <c r="K2027">
        <v>53880</v>
      </c>
      <c r="L2027">
        <f t="shared" si="187"/>
        <v>19.042154046028191</v>
      </c>
      <c r="M2027">
        <v>4490</v>
      </c>
      <c r="N2027" s="2">
        <f t="shared" si="192"/>
        <v>228.50584855233831</v>
      </c>
      <c r="O2027">
        <v>12</v>
      </c>
    </row>
    <row r="2028" spans="1:15" x14ac:dyDescent="0.25">
      <c r="A2028" t="s">
        <v>46</v>
      </c>
      <c r="B2028" t="s">
        <v>15</v>
      </c>
      <c r="C2028" t="s">
        <v>36</v>
      </c>
      <c r="D2028" t="str">
        <f t="shared" si="188"/>
        <v>FAB2_ Entera Entera 1 L</v>
      </c>
      <c r="E2028">
        <v>2024</v>
      </c>
      <c r="F2028">
        <v>27</v>
      </c>
      <c r="G2028">
        <f t="shared" si="189"/>
        <v>7</v>
      </c>
      <c r="H2028" s="1">
        <f t="shared" si="190"/>
        <v>45474</v>
      </c>
      <c r="I2028" s="1">
        <f t="shared" si="191"/>
        <v>45474</v>
      </c>
      <c r="J2028">
        <v>1081997.2899999991</v>
      </c>
      <c r="K2028">
        <v>54396</v>
      </c>
      <c r="L2028">
        <f t="shared" si="187"/>
        <v>19.891118648430016</v>
      </c>
      <c r="M2028">
        <v>4533</v>
      </c>
      <c r="N2028" s="2">
        <f t="shared" si="192"/>
        <v>238.69342378116019</v>
      </c>
      <c r="O2028">
        <v>12</v>
      </c>
    </row>
    <row r="2029" spans="1:15" x14ac:dyDescent="0.25">
      <c r="A2029" t="s">
        <v>46</v>
      </c>
      <c r="B2029" t="s">
        <v>15</v>
      </c>
      <c r="C2029" t="s">
        <v>36</v>
      </c>
      <c r="D2029" t="str">
        <f t="shared" si="188"/>
        <v>FAB2_ Entera Entera 1 L</v>
      </c>
      <c r="E2029">
        <v>2024</v>
      </c>
      <c r="F2029">
        <v>28</v>
      </c>
      <c r="G2029">
        <f t="shared" si="189"/>
        <v>7</v>
      </c>
      <c r="H2029" s="1">
        <f t="shared" si="190"/>
        <v>45481</v>
      </c>
      <c r="I2029" s="1">
        <f t="shared" si="191"/>
        <v>45474</v>
      </c>
      <c r="J2029">
        <v>784326.32999999973</v>
      </c>
      <c r="K2029">
        <v>37488</v>
      </c>
      <c r="L2029">
        <f t="shared" si="187"/>
        <v>20.922063860435333</v>
      </c>
      <c r="M2029">
        <v>3124</v>
      </c>
      <c r="N2029" s="2">
        <f t="shared" si="192"/>
        <v>251.06476632522399</v>
      </c>
      <c r="O2029">
        <v>12</v>
      </c>
    </row>
    <row r="2030" spans="1:15" x14ac:dyDescent="0.25">
      <c r="A2030" t="s">
        <v>46</v>
      </c>
      <c r="B2030" t="s">
        <v>15</v>
      </c>
      <c r="C2030" t="s">
        <v>36</v>
      </c>
      <c r="D2030" t="str">
        <f t="shared" si="188"/>
        <v>FAB2_ Entera Entera 1 L</v>
      </c>
      <c r="E2030">
        <v>2024</v>
      </c>
      <c r="F2030">
        <v>29</v>
      </c>
      <c r="G2030">
        <f t="shared" si="189"/>
        <v>7</v>
      </c>
      <c r="H2030" s="1">
        <f t="shared" si="190"/>
        <v>45488</v>
      </c>
      <c r="I2030" s="1">
        <f t="shared" si="191"/>
        <v>45474</v>
      </c>
      <c r="J2030">
        <v>940777.51000000013</v>
      </c>
      <c r="K2030">
        <v>44688</v>
      </c>
      <c r="L2030">
        <f t="shared" si="187"/>
        <v>21.05212831185106</v>
      </c>
      <c r="M2030">
        <v>3724</v>
      </c>
      <c r="N2030" s="2">
        <f t="shared" si="192"/>
        <v>252.62553974221271</v>
      </c>
      <c r="O2030">
        <v>12</v>
      </c>
    </row>
    <row r="2031" spans="1:15" x14ac:dyDescent="0.25">
      <c r="A2031" t="s">
        <v>46</v>
      </c>
      <c r="B2031" t="s">
        <v>15</v>
      </c>
      <c r="C2031" t="s">
        <v>36</v>
      </c>
      <c r="D2031" t="str">
        <f t="shared" si="188"/>
        <v>FAB2_ Entera Entera 1 L</v>
      </c>
      <c r="E2031">
        <v>2024</v>
      </c>
      <c r="F2031">
        <v>30</v>
      </c>
      <c r="G2031">
        <f t="shared" si="189"/>
        <v>7</v>
      </c>
      <c r="H2031" s="1">
        <f t="shared" si="190"/>
        <v>45495</v>
      </c>
      <c r="I2031" s="1">
        <f t="shared" si="191"/>
        <v>45474</v>
      </c>
      <c r="J2031">
        <v>647446.39</v>
      </c>
      <c r="K2031">
        <v>29928</v>
      </c>
      <c r="L2031">
        <f t="shared" si="187"/>
        <v>21.633466653301255</v>
      </c>
      <c r="M2031">
        <v>2494</v>
      </c>
      <c r="N2031" s="2">
        <f t="shared" si="192"/>
        <v>259.60159983961506</v>
      </c>
      <c r="O2031">
        <v>12</v>
      </c>
    </row>
    <row r="2032" spans="1:15" x14ac:dyDescent="0.25">
      <c r="A2032" t="s">
        <v>46</v>
      </c>
      <c r="B2032" t="s">
        <v>15</v>
      </c>
      <c r="C2032" t="s">
        <v>36</v>
      </c>
      <c r="D2032" t="str">
        <f t="shared" si="188"/>
        <v>FAB2_ Entera Entera 1 L</v>
      </c>
      <c r="E2032">
        <v>2024</v>
      </c>
      <c r="F2032">
        <v>31</v>
      </c>
      <c r="G2032">
        <f t="shared" si="189"/>
        <v>8</v>
      </c>
      <c r="H2032" s="1">
        <f t="shared" si="190"/>
        <v>45502</v>
      </c>
      <c r="I2032" s="1">
        <f t="shared" si="191"/>
        <v>45505</v>
      </c>
      <c r="J2032">
        <v>669805.18000000005</v>
      </c>
      <c r="K2032">
        <v>29880</v>
      </c>
      <c r="L2032">
        <f t="shared" si="187"/>
        <v>22.416505354752346</v>
      </c>
      <c r="M2032">
        <v>2490</v>
      </c>
      <c r="N2032" s="2">
        <f t="shared" si="192"/>
        <v>268.99806425702815</v>
      </c>
      <c r="O2032">
        <v>12</v>
      </c>
    </row>
    <row r="2033" spans="1:15" x14ac:dyDescent="0.25">
      <c r="A2033" t="s">
        <v>46</v>
      </c>
      <c r="B2033" t="s">
        <v>15</v>
      </c>
      <c r="C2033" t="s">
        <v>36</v>
      </c>
      <c r="D2033" t="str">
        <f t="shared" si="188"/>
        <v>FAB2_ Entera Entera 1 L</v>
      </c>
      <c r="E2033">
        <v>2024</v>
      </c>
      <c r="F2033">
        <v>32</v>
      </c>
      <c r="G2033">
        <f t="shared" si="189"/>
        <v>8</v>
      </c>
      <c r="H2033" s="1">
        <f t="shared" si="190"/>
        <v>45509</v>
      </c>
      <c r="I2033" s="1">
        <f t="shared" si="191"/>
        <v>45505</v>
      </c>
      <c r="J2033">
        <v>546385.63999999978</v>
      </c>
      <c r="K2033">
        <v>23484</v>
      </c>
      <c r="L2033">
        <f t="shared" si="187"/>
        <v>23.266293646738195</v>
      </c>
      <c r="M2033">
        <v>1957</v>
      </c>
      <c r="N2033" s="2">
        <f t="shared" si="192"/>
        <v>279.19552376085835</v>
      </c>
      <c r="O2033">
        <v>12</v>
      </c>
    </row>
    <row r="2034" spans="1:15" x14ac:dyDescent="0.25">
      <c r="A2034" t="s">
        <v>46</v>
      </c>
      <c r="B2034" t="s">
        <v>15</v>
      </c>
      <c r="C2034" t="s">
        <v>36</v>
      </c>
      <c r="D2034" t="str">
        <f t="shared" si="188"/>
        <v>FAB2_ Entera Entera 1 L</v>
      </c>
      <c r="E2034">
        <v>2024</v>
      </c>
      <c r="F2034">
        <v>33</v>
      </c>
      <c r="G2034">
        <f t="shared" si="189"/>
        <v>8</v>
      </c>
      <c r="H2034" s="1">
        <f t="shared" si="190"/>
        <v>45516</v>
      </c>
      <c r="I2034" s="1">
        <f t="shared" si="191"/>
        <v>45505</v>
      </c>
      <c r="J2034">
        <v>605699.56000000017</v>
      </c>
      <c r="K2034">
        <v>27276</v>
      </c>
      <c r="L2034">
        <f t="shared" si="187"/>
        <v>22.20631910837367</v>
      </c>
      <c r="M2034">
        <v>2273</v>
      </c>
      <c r="N2034" s="2">
        <f t="shared" si="192"/>
        <v>266.47582930048401</v>
      </c>
      <c r="O2034">
        <v>12</v>
      </c>
    </row>
    <row r="2035" spans="1:15" x14ac:dyDescent="0.25">
      <c r="A2035" t="s">
        <v>46</v>
      </c>
      <c r="B2035" t="s">
        <v>15</v>
      </c>
      <c r="C2035" t="s">
        <v>36</v>
      </c>
      <c r="D2035" t="str">
        <f t="shared" si="188"/>
        <v>FAB2_ Entera Entera 1 L</v>
      </c>
      <c r="E2035">
        <v>2024</v>
      </c>
      <c r="F2035">
        <v>34</v>
      </c>
      <c r="G2035">
        <f t="shared" si="189"/>
        <v>8</v>
      </c>
      <c r="H2035" s="1">
        <f t="shared" si="190"/>
        <v>45523</v>
      </c>
      <c r="I2035" s="1">
        <f t="shared" si="191"/>
        <v>45505</v>
      </c>
      <c r="J2035">
        <v>614892.49</v>
      </c>
      <c r="K2035">
        <v>27816</v>
      </c>
      <c r="L2035">
        <f t="shared" si="187"/>
        <v>22.105712180040264</v>
      </c>
      <c r="M2035">
        <v>2318</v>
      </c>
      <c r="N2035" s="2">
        <f t="shared" si="192"/>
        <v>265.2685461604832</v>
      </c>
      <c r="O2035">
        <v>12</v>
      </c>
    </row>
    <row r="2036" spans="1:15" x14ac:dyDescent="0.25">
      <c r="A2036" t="s">
        <v>46</v>
      </c>
      <c r="B2036" t="s">
        <v>15</v>
      </c>
      <c r="C2036" t="s">
        <v>36</v>
      </c>
      <c r="D2036" t="str">
        <f t="shared" si="188"/>
        <v>FAB2_ Entera Entera 1 L</v>
      </c>
      <c r="E2036">
        <v>2024</v>
      </c>
      <c r="F2036">
        <v>35</v>
      </c>
      <c r="G2036">
        <f t="shared" si="189"/>
        <v>8</v>
      </c>
      <c r="H2036" s="1">
        <f t="shared" si="190"/>
        <v>45530</v>
      </c>
      <c r="I2036" s="1">
        <f t="shared" si="191"/>
        <v>45505</v>
      </c>
      <c r="J2036">
        <v>996524.07000000018</v>
      </c>
      <c r="K2036">
        <v>67848</v>
      </c>
      <c r="L2036">
        <f t="shared" si="187"/>
        <v>14.687596834099756</v>
      </c>
      <c r="M2036">
        <v>5654</v>
      </c>
      <c r="N2036" s="2">
        <f t="shared" si="192"/>
        <v>176.25116200919706</v>
      </c>
      <c r="O2036">
        <v>12</v>
      </c>
    </row>
    <row r="2037" spans="1:15" x14ac:dyDescent="0.25">
      <c r="A2037" t="s">
        <v>46</v>
      </c>
      <c r="B2037" t="s">
        <v>15</v>
      </c>
      <c r="C2037" t="s">
        <v>36</v>
      </c>
      <c r="D2037" t="str">
        <f t="shared" si="188"/>
        <v>FAB2_ Entera Entera 1 L</v>
      </c>
      <c r="E2037">
        <v>2024</v>
      </c>
      <c r="F2037">
        <v>36</v>
      </c>
      <c r="G2037">
        <f t="shared" si="189"/>
        <v>9</v>
      </c>
      <c r="H2037" s="1">
        <f t="shared" si="190"/>
        <v>45537</v>
      </c>
      <c r="I2037" s="1">
        <f t="shared" si="191"/>
        <v>45536</v>
      </c>
      <c r="J2037">
        <v>250</v>
      </c>
      <c r="K2037">
        <v>12</v>
      </c>
      <c r="L2037">
        <f t="shared" si="187"/>
        <v>20.833333333333332</v>
      </c>
      <c r="M2037">
        <v>1</v>
      </c>
      <c r="N2037" s="2">
        <f t="shared" si="192"/>
        <v>250</v>
      </c>
      <c r="O2037">
        <v>12</v>
      </c>
    </row>
    <row r="2038" spans="1:15" x14ac:dyDescent="0.25">
      <c r="A2038" t="s">
        <v>46</v>
      </c>
      <c r="B2038" t="s">
        <v>15</v>
      </c>
      <c r="C2038" t="s">
        <v>36</v>
      </c>
      <c r="D2038" t="str">
        <f t="shared" si="188"/>
        <v>FAB2_ Entera Entera 1 L</v>
      </c>
      <c r="E2038">
        <v>2024</v>
      </c>
      <c r="F2038">
        <v>36</v>
      </c>
      <c r="G2038">
        <f t="shared" si="189"/>
        <v>9</v>
      </c>
      <c r="H2038" s="1">
        <f t="shared" si="190"/>
        <v>45537</v>
      </c>
      <c r="I2038" s="1">
        <f t="shared" si="191"/>
        <v>45536</v>
      </c>
      <c r="J2038">
        <v>25579.980000000003</v>
      </c>
      <c r="K2038">
        <v>2112</v>
      </c>
      <c r="L2038">
        <f t="shared" si="187"/>
        <v>12.111732954545456</v>
      </c>
      <c r="M2038">
        <v>176</v>
      </c>
      <c r="N2038" s="2">
        <f t="shared" si="192"/>
        <v>145.34079545454549</v>
      </c>
      <c r="O2038">
        <v>12</v>
      </c>
    </row>
    <row r="2039" spans="1:15" x14ac:dyDescent="0.25">
      <c r="A2039" t="s">
        <v>46</v>
      </c>
      <c r="B2039" t="s">
        <v>15</v>
      </c>
      <c r="C2039" t="s">
        <v>36</v>
      </c>
      <c r="D2039" t="str">
        <f t="shared" si="188"/>
        <v>FAB2_ Entera Entera 1 L</v>
      </c>
      <c r="E2039">
        <v>2024</v>
      </c>
      <c r="F2039">
        <v>37</v>
      </c>
      <c r="G2039">
        <f t="shared" si="189"/>
        <v>9</v>
      </c>
      <c r="H2039" s="1">
        <f t="shared" si="190"/>
        <v>45544</v>
      </c>
      <c r="I2039" s="1">
        <f t="shared" si="191"/>
        <v>45536</v>
      </c>
      <c r="J2039">
        <v>703</v>
      </c>
      <c r="K2039">
        <v>36</v>
      </c>
      <c r="L2039">
        <f t="shared" si="187"/>
        <v>19.527777777777779</v>
      </c>
      <c r="M2039">
        <v>3</v>
      </c>
      <c r="N2039" s="2">
        <f t="shared" si="192"/>
        <v>234.33333333333334</v>
      </c>
      <c r="O2039">
        <v>12</v>
      </c>
    </row>
    <row r="2040" spans="1:15" x14ac:dyDescent="0.25">
      <c r="A2040" t="s">
        <v>46</v>
      </c>
      <c r="B2040" t="s">
        <v>15</v>
      </c>
      <c r="C2040" t="s">
        <v>36</v>
      </c>
      <c r="D2040" t="str">
        <f t="shared" si="188"/>
        <v>FAB2_ Entera Entera 1 L</v>
      </c>
      <c r="E2040">
        <v>2024</v>
      </c>
      <c r="F2040">
        <v>40</v>
      </c>
      <c r="G2040">
        <f t="shared" si="189"/>
        <v>10</v>
      </c>
      <c r="H2040" s="1">
        <f t="shared" si="190"/>
        <v>45565</v>
      </c>
      <c r="I2040" s="1">
        <f t="shared" si="191"/>
        <v>45566</v>
      </c>
      <c r="J2040">
        <v>109</v>
      </c>
      <c r="K2040">
        <v>12</v>
      </c>
      <c r="L2040">
        <f t="shared" si="187"/>
        <v>9.0833333333333339</v>
      </c>
      <c r="M2040">
        <v>1</v>
      </c>
      <c r="N2040" s="2">
        <f t="shared" si="192"/>
        <v>109</v>
      </c>
      <c r="O2040">
        <v>12</v>
      </c>
    </row>
    <row r="2041" spans="1:15" x14ac:dyDescent="0.25">
      <c r="A2041" t="s">
        <v>46</v>
      </c>
      <c r="B2041" t="s">
        <v>15</v>
      </c>
      <c r="C2041" t="s">
        <v>36</v>
      </c>
      <c r="D2041" t="str">
        <f t="shared" si="188"/>
        <v>FAB2_ Entera Entera 1 L</v>
      </c>
      <c r="E2041">
        <v>2024</v>
      </c>
      <c r="F2041">
        <v>41</v>
      </c>
      <c r="G2041">
        <f t="shared" si="189"/>
        <v>10</v>
      </c>
      <c r="H2041" s="1">
        <f t="shared" si="190"/>
        <v>45572</v>
      </c>
      <c r="I2041" s="1">
        <f t="shared" si="191"/>
        <v>45566</v>
      </c>
      <c r="J2041">
        <v>285</v>
      </c>
      <c r="K2041">
        <v>12</v>
      </c>
      <c r="L2041">
        <f t="shared" si="187"/>
        <v>23.75</v>
      </c>
      <c r="M2041">
        <v>1</v>
      </c>
      <c r="N2041" s="2">
        <f t="shared" si="192"/>
        <v>285</v>
      </c>
      <c r="O2041">
        <v>12</v>
      </c>
    </row>
    <row r="2042" spans="1:15" x14ac:dyDescent="0.25">
      <c r="A2042" t="s">
        <v>46</v>
      </c>
      <c r="B2042" t="s">
        <v>15</v>
      </c>
      <c r="C2042" t="s">
        <v>36</v>
      </c>
      <c r="D2042" t="str">
        <f t="shared" si="188"/>
        <v>FAB2_ Entera Entera 1 L</v>
      </c>
      <c r="E2042">
        <v>2025</v>
      </c>
      <c r="F2042">
        <v>4</v>
      </c>
      <c r="G2042">
        <f t="shared" si="189"/>
        <v>1</v>
      </c>
      <c r="H2042" s="1">
        <f t="shared" si="190"/>
        <v>45677</v>
      </c>
      <c r="I2042" s="1">
        <f t="shared" si="191"/>
        <v>45658</v>
      </c>
      <c r="J2042">
        <v>578</v>
      </c>
      <c r="K2042">
        <v>24</v>
      </c>
      <c r="L2042">
        <f t="shared" si="187"/>
        <v>24.083333333333332</v>
      </c>
      <c r="M2042">
        <v>2</v>
      </c>
      <c r="N2042" s="2">
        <f t="shared" si="192"/>
        <v>289</v>
      </c>
      <c r="O2042">
        <v>12</v>
      </c>
    </row>
    <row r="2043" spans="1:15" x14ac:dyDescent="0.25">
      <c r="A2043" t="s">
        <v>46</v>
      </c>
      <c r="B2043" t="s">
        <v>15</v>
      </c>
      <c r="C2043" t="s">
        <v>37</v>
      </c>
      <c r="D2043" t="str">
        <f t="shared" si="188"/>
        <v>FAB2_ Light Light 1L</v>
      </c>
      <c r="E2043">
        <v>2022</v>
      </c>
      <c r="F2043">
        <v>1</v>
      </c>
      <c r="G2043">
        <f t="shared" si="189"/>
        <v>1</v>
      </c>
      <c r="H2043" s="1">
        <f t="shared" si="190"/>
        <v>44564</v>
      </c>
      <c r="I2043" s="1">
        <f t="shared" si="191"/>
        <v>44562</v>
      </c>
      <c r="J2043">
        <v>317165.57999999996</v>
      </c>
      <c r="K2043">
        <v>17856</v>
      </c>
      <c r="L2043">
        <f t="shared" si="187"/>
        <v>17.762409274193548</v>
      </c>
      <c r="M2043">
        <v>1488</v>
      </c>
      <c r="N2043" s="2">
        <f t="shared" si="192"/>
        <v>213.14891129032256</v>
      </c>
      <c r="O2043">
        <v>12</v>
      </c>
    </row>
    <row r="2044" spans="1:15" x14ac:dyDescent="0.25">
      <c r="A2044" t="s">
        <v>46</v>
      </c>
      <c r="B2044" t="s">
        <v>15</v>
      </c>
      <c r="C2044" t="s">
        <v>37</v>
      </c>
      <c r="D2044" t="str">
        <f t="shared" si="188"/>
        <v>FAB2_ Light Light 1L</v>
      </c>
      <c r="E2044">
        <v>2022</v>
      </c>
      <c r="F2044">
        <v>2</v>
      </c>
      <c r="G2044">
        <f t="shared" si="189"/>
        <v>1</v>
      </c>
      <c r="H2044" s="1">
        <f t="shared" si="190"/>
        <v>44571</v>
      </c>
      <c r="I2044" s="1">
        <f t="shared" si="191"/>
        <v>44562</v>
      </c>
      <c r="J2044">
        <v>291991.88</v>
      </c>
      <c r="K2044">
        <v>17196</v>
      </c>
      <c r="L2044">
        <f t="shared" si="187"/>
        <v>16.980220981623635</v>
      </c>
      <c r="M2044">
        <v>1433</v>
      </c>
      <c r="N2044" s="2">
        <f t="shared" si="192"/>
        <v>203.7626517794836</v>
      </c>
      <c r="O2044">
        <v>12</v>
      </c>
    </row>
    <row r="2045" spans="1:15" x14ac:dyDescent="0.25">
      <c r="A2045" t="s">
        <v>46</v>
      </c>
      <c r="B2045" t="s">
        <v>15</v>
      </c>
      <c r="C2045" t="s">
        <v>37</v>
      </c>
      <c r="D2045" t="str">
        <f t="shared" si="188"/>
        <v>FAB2_ Light Light 1L</v>
      </c>
      <c r="E2045">
        <v>2022</v>
      </c>
      <c r="F2045">
        <v>3</v>
      </c>
      <c r="G2045">
        <f t="shared" si="189"/>
        <v>1</v>
      </c>
      <c r="H2045" s="1">
        <f t="shared" si="190"/>
        <v>44578</v>
      </c>
      <c r="I2045" s="1">
        <f t="shared" si="191"/>
        <v>44562</v>
      </c>
      <c r="J2045">
        <v>331490.09999999998</v>
      </c>
      <c r="K2045">
        <v>19428</v>
      </c>
      <c r="L2045">
        <f t="shared" si="187"/>
        <v>17.062492279184681</v>
      </c>
      <c r="M2045">
        <v>1619</v>
      </c>
      <c r="N2045" s="2">
        <f t="shared" si="192"/>
        <v>204.74990735021618</v>
      </c>
      <c r="O2045">
        <v>12</v>
      </c>
    </row>
    <row r="2046" spans="1:15" x14ac:dyDescent="0.25">
      <c r="A2046" t="s">
        <v>46</v>
      </c>
      <c r="B2046" t="s">
        <v>15</v>
      </c>
      <c r="C2046" t="s">
        <v>37</v>
      </c>
      <c r="D2046" t="str">
        <f t="shared" si="188"/>
        <v>FAB2_ Light Light 1L</v>
      </c>
      <c r="E2046">
        <v>2022</v>
      </c>
      <c r="F2046">
        <v>4</v>
      </c>
      <c r="G2046">
        <f t="shared" si="189"/>
        <v>1</v>
      </c>
      <c r="H2046" s="1">
        <f t="shared" si="190"/>
        <v>44585</v>
      </c>
      <c r="I2046" s="1">
        <f t="shared" si="191"/>
        <v>44562</v>
      </c>
      <c r="J2046">
        <v>355940</v>
      </c>
      <c r="K2046">
        <v>20832</v>
      </c>
      <c r="L2046">
        <f t="shared" ref="L2046:L2109" si="193">J2046/(M2046*O2046)</f>
        <v>17.086213517665129</v>
      </c>
      <c r="M2046">
        <v>1736</v>
      </c>
      <c r="N2046" s="2">
        <f t="shared" si="192"/>
        <v>205.03456221198158</v>
      </c>
      <c r="O2046">
        <v>12</v>
      </c>
    </row>
    <row r="2047" spans="1:15" x14ac:dyDescent="0.25">
      <c r="A2047" t="s">
        <v>46</v>
      </c>
      <c r="B2047" t="s">
        <v>15</v>
      </c>
      <c r="C2047" t="s">
        <v>37</v>
      </c>
      <c r="D2047" t="str">
        <f t="shared" si="188"/>
        <v>FAB2_ Light Light 1L</v>
      </c>
      <c r="E2047">
        <v>2022</v>
      </c>
      <c r="F2047">
        <v>5</v>
      </c>
      <c r="G2047">
        <f t="shared" si="189"/>
        <v>2</v>
      </c>
      <c r="H2047" s="1">
        <f t="shared" si="190"/>
        <v>44592</v>
      </c>
      <c r="I2047" s="1">
        <f t="shared" si="191"/>
        <v>44593</v>
      </c>
      <c r="J2047">
        <v>387248.05</v>
      </c>
      <c r="K2047">
        <v>22668</v>
      </c>
      <c r="L2047">
        <f t="shared" si="193"/>
        <v>17.083467884242104</v>
      </c>
      <c r="M2047">
        <v>1889</v>
      </c>
      <c r="N2047" s="2">
        <f t="shared" si="192"/>
        <v>205.00161461090522</v>
      </c>
      <c r="O2047">
        <v>12</v>
      </c>
    </row>
    <row r="2048" spans="1:15" x14ac:dyDescent="0.25">
      <c r="A2048" t="s">
        <v>46</v>
      </c>
      <c r="B2048" t="s">
        <v>15</v>
      </c>
      <c r="C2048" t="s">
        <v>37</v>
      </c>
      <c r="D2048" t="str">
        <f t="shared" si="188"/>
        <v>FAB2_ Light Light 1L</v>
      </c>
      <c r="E2048">
        <v>2022</v>
      </c>
      <c r="F2048">
        <v>6</v>
      </c>
      <c r="G2048">
        <f t="shared" si="189"/>
        <v>2</v>
      </c>
      <c r="H2048" s="1">
        <f t="shared" si="190"/>
        <v>44599</v>
      </c>
      <c r="I2048" s="1">
        <f t="shared" si="191"/>
        <v>44593</v>
      </c>
      <c r="J2048">
        <v>611161.52</v>
      </c>
      <c r="K2048">
        <v>36312</v>
      </c>
      <c r="L2048">
        <f t="shared" si="193"/>
        <v>16.830841595064992</v>
      </c>
      <c r="M2048">
        <v>3026</v>
      </c>
      <c r="N2048" s="2">
        <f t="shared" si="192"/>
        <v>201.97009914077992</v>
      </c>
      <c r="O2048">
        <v>12</v>
      </c>
    </row>
    <row r="2049" spans="1:15" x14ac:dyDescent="0.25">
      <c r="A2049" t="s">
        <v>46</v>
      </c>
      <c r="B2049" t="s">
        <v>15</v>
      </c>
      <c r="C2049" t="s">
        <v>37</v>
      </c>
      <c r="D2049" t="str">
        <f t="shared" si="188"/>
        <v>FAB2_ Light Light 1L</v>
      </c>
      <c r="E2049">
        <v>2022</v>
      </c>
      <c r="F2049">
        <v>7</v>
      </c>
      <c r="G2049">
        <f t="shared" si="189"/>
        <v>2</v>
      </c>
      <c r="H2049" s="1">
        <f t="shared" si="190"/>
        <v>44606</v>
      </c>
      <c r="I2049" s="1">
        <f t="shared" si="191"/>
        <v>44593</v>
      </c>
      <c r="J2049">
        <v>1044322.5399999999</v>
      </c>
      <c r="K2049">
        <v>61128</v>
      </c>
      <c r="L2049">
        <f t="shared" si="193"/>
        <v>17.084192841251145</v>
      </c>
      <c r="M2049">
        <v>5094</v>
      </c>
      <c r="N2049" s="2">
        <f t="shared" si="192"/>
        <v>205.01031409501374</v>
      </c>
      <c r="O2049">
        <v>12</v>
      </c>
    </row>
    <row r="2050" spans="1:15" x14ac:dyDescent="0.25">
      <c r="A2050" t="s">
        <v>46</v>
      </c>
      <c r="B2050" t="s">
        <v>15</v>
      </c>
      <c r="C2050" t="s">
        <v>37</v>
      </c>
      <c r="D2050" t="str">
        <f t="shared" si="188"/>
        <v>FAB2_ Light Light 1L</v>
      </c>
      <c r="E2050">
        <v>2022</v>
      </c>
      <c r="F2050">
        <v>8</v>
      </c>
      <c r="G2050">
        <f t="shared" si="189"/>
        <v>2</v>
      </c>
      <c r="H2050" s="1">
        <f t="shared" si="190"/>
        <v>44613</v>
      </c>
      <c r="I2050" s="1">
        <f t="shared" si="191"/>
        <v>44593</v>
      </c>
      <c r="J2050">
        <v>566002.03</v>
      </c>
      <c r="K2050">
        <v>33432</v>
      </c>
      <c r="L2050">
        <f t="shared" si="193"/>
        <v>16.929948253170615</v>
      </c>
      <c r="M2050">
        <v>2786</v>
      </c>
      <c r="N2050" s="2">
        <f t="shared" si="192"/>
        <v>203.15937903804738</v>
      </c>
      <c r="O2050">
        <v>12</v>
      </c>
    </row>
    <row r="2051" spans="1:15" x14ac:dyDescent="0.25">
      <c r="A2051" t="s">
        <v>46</v>
      </c>
      <c r="B2051" t="s">
        <v>15</v>
      </c>
      <c r="C2051" t="s">
        <v>37</v>
      </c>
      <c r="D2051" t="str">
        <f t="shared" ref="D2051:D2114" si="194">B2051&amp;"_"&amp;C2051</f>
        <v>FAB2_ Light Light 1L</v>
      </c>
      <c r="E2051">
        <v>2022</v>
      </c>
      <c r="F2051">
        <v>9</v>
      </c>
      <c r="G2051">
        <f t="shared" ref="G2051:G2114" si="195">MONTH(DATE(E2051,1,4)+(F2051-1)*7-WEEKDAY(DATE(E2051,1,4),2)+4)</f>
        <v>3</v>
      </c>
      <c r="H2051" s="1">
        <f t="shared" ref="H2051:H2114" si="196">DATE(E2051,1,-2)-WEEKDAY(DATE(E2051,1,3))+F2051*7</f>
        <v>44620</v>
      </c>
      <c r="I2051" s="1">
        <f t="shared" ref="I2051:I2114" si="197">DATE(E2051,G2051,1)</f>
        <v>44621</v>
      </c>
      <c r="J2051">
        <v>644182.37</v>
      </c>
      <c r="K2051">
        <v>38592</v>
      </c>
      <c r="L2051">
        <f t="shared" si="193"/>
        <v>16.692121942371475</v>
      </c>
      <c r="M2051">
        <v>3216</v>
      </c>
      <c r="N2051" s="2">
        <f t="shared" ref="N2051:N2114" si="198">J2051/M2051</f>
        <v>200.30546330845772</v>
      </c>
      <c r="O2051">
        <v>12</v>
      </c>
    </row>
    <row r="2052" spans="1:15" x14ac:dyDescent="0.25">
      <c r="A2052" t="s">
        <v>46</v>
      </c>
      <c r="B2052" t="s">
        <v>15</v>
      </c>
      <c r="C2052" t="s">
        <v>37</v>
      </c>
      <c r="D2052" t="str">
        <f t="shared" si="194"/>
        <v>FAB2_ Light Light 1L</v>
      </c>
      <c r="E2052">
        <v>2022</v>
      </c>
      <c r="F2052">
        <v>10</v>
      </c>
      <c r="G2052">
        <f t="shared" si="195"/>
        <v>3</v>
      </c>
      <c r="H2052" s="1">
        <f t="shared" si="196"/>
        <v>44627</v>
      </c>
      <c r="I2052" s="1">
        <f t="shared" si="197"/>
        <v>44621</v>
      </c>
      <c r="J2052">
        <v>473663.10000000009</v>
      </c>
      <c r="K2052">
        <v>28092</v>
      </c>
      <c r="L2052">
        <f t="shared" si="193"/>
        <v>16.861138402392143</v>
      </c>
      <c r="M2052">
        <v>2341</v>
      </c>
      <c r="N2052" s="2">
        <f t="shared" si="198"/>
        <v>202.33366082870572</v>
      </c>
      <c r="O2052">
        <v>12</v>
      </c>
    </row>
    <row r="2053" spans="1:15" x14ac:dyDescent="0.25">
      <c r="A2053" t="s">
        <v>46</v>
      </c>
      <c r="B2053" t="s">
        <v>15</v>
      </c>
      <c r="C2053" t="s">
        <v>37</v>
      </c>
      <c r="D2053" t="str">
        <f t="shared" si="194"/>
        <v>FAB2_ Light Light 1L</v>
      </c>
      <c r="E2053">
        <v>2022</v>
      </c>
      <c r="F2053">
        <v>11</v>
      </c>
      <c r="G2053">
        <f t="shared" si="195"/>
        <v>3</v>
      </c>
      <c r="H2053" s="1">
        <f t="shared" si="196"/>
        <v>44634</v>
      </c>
      <c r="I2053" s="1">
        <f t="shared" si="197"/>
        <v>44621</v>
      </c>
      <c r="J2053">
        <v>493873.48999999982</v>
      </c>
      <c r="K2053">
        <v>29136</v>
      </c>
      <c r="L2053">
        <f t="shared" si="193"/>
        <v>16.950627745744089</v>
      </c>
      <c r="M2053">
        <v>2428</v>
      </c>
      <c r="N2053" s="2">
        <f t="shared" si="198"/>
        <v>203.40753294892909</v>
      </c>
      <c r="O2053">
        <v>12</v>
      </c>
    </row>
    <row r="2054" spans="1:15" x14ac:dyDescent="0.25">
      <c r="A2054" t="s">
        <v>46</v>
      </c>
      <c r="B2054" t="s">
        <v>15</v>
      </c>
      <c r="C2054" t="s">
        <v>37</v>
      </c>
      <c r="D2054" t="str">
        <f t="shared" si="194"/>
        <v>FAB2_ Light Light 1L</v>
      </c>
      <c r="E2054">
        <v>2022</v>
      </c>
      <c r="F2054">
        <v>12</v>
      </c>
      <c r="G2054">
        <f t="shared" si="195"/>
        <v>3</v>
      </c>
      <c r="H2054" s="1">
        <f t="shared" si="196"/>
        <v>44641</v>
      </c>
      <c r="I2054" s="1">
        <f t="shared" si="197"/>
        <v>44621</v>
      </c>
      <c r="J2054">
        <v>457631.96999999974</v>
      </c>
      <c r="K2054">
        <v>26760</v>
      </c>
      <c r="L2054">
        <f t="shared" si="193"/>
        <v>17.101344170403578</v>
      </c>
      <c r="M2054">
        <v>2230</v>
      </c>
      <c r="N2054" s="2">
        <f t="shared" si="198"/>
        <v>205.21613004484294</v>
      </c>
      <c r="O2054">
        <v>12</v>
      </c>
    </row>
    <row r="2055" spans="1:15" x14ac:dyDescent="0.25">
      <c r="A2055" t="s">
        <v>46</v>
      </c>
      <c r="B2055" t="s">
        <v>15</v>
      </c>
      <c r="C2055" t="s">
        <v>37</v>
      </c>
      <c r="D2055" t="str">
        <f t="shared" si="194"/>
        <v>FAB2_ Light Light 1L</v>
      </c>
      <c r="E2055">
        <v>2022</v>
      </c>
      <c r="F2055">
        <v>13</v>
      </c>
      <c r="G2055">
        <f t="shared" si="195"/>
        <v>3</v>
      </c>
      <c r="H2055" s="1">
        <f t="shared" si="196"/>
        <v>44648</v>
      </c>
      <c r="I2055" s="1">
        <f t="shared" si="197"/>
        <v>44621</v>
      </c>
      <c r="J2055">
        <v>528148.02000000014</v>
      </c>
      <c r="K2055">
        <v>30864</v>
      </c>
      <c r="L2055">
        <f t="shared" si="193"/>
        <v>17.112105365474342</v>
      </c>
      <c r="M2055">
        <v>2572</v>
      </c>
      <c r="N2055" s="2">
        <f t="shared" si="198"/>
        <v>205.34526438569213</v>
      </c>
      <c r="O2055">
        <v>12</v>
      </c>
    </row>
    <row r="2056" spans="1:15" x14ac:dyDescent="0.25">
      <c r="A2056" t="s">
        <v>46</v>
      </c>
      <c r="B2056" t="s">
        <v>15</v>
      </c>
      <c r="C2056" t="s">
        <v>37</v>
      </c>
      <c r="D2056" t="str">
        <f t="shared" si="194"/>
        <v>FAB2_ Light Light 1L</v>
      </c>
      <c r="E2056">
        <v>2022</v>
      </c>
      <c r="F2056">
        <v>14</v>
      </c>
      <c r="G2056">
        <f t="shared" si="195"/>
        <v>4</v>
      </c>
      <c r="H2056" s="1">
        <f t="shared" si="196"/>
        <v>44655</v>
      </c>
      <c r="I2056" s="1">
        <f t="shared" si="197"/>
        <v>44652</v>
      </c>
      <c r="J2056">
        <v>504347.66000000003</v>
      </c>
      <c r="K2056">
        <v>29280</v>
      </c>
      <c r="L2056">
        <f t="shared" si="193"/>
        <v>17.224988387978144</v>
      </c>
      <c r="M2056">
        <v>2440</v>
      </c>
      <c r="N2056" s="2">
        <f t="shared" si="198"/>
        <v>206.69986065573772</v>
      </c>
      <c r="O2056">
        <v>12</v>
      </c>
    </row>
    <row r="2057" spans="1:15" x14ac:dyDescent="0.25">
      <c r="A2057" t="s">
        <v>46</v>
      </c>
      <c r="B2057" t="s">
        <v>15</v>
      </c>
      <c r="C2057" t="s">
        <v>37</v>
      </c>
      <c r="D2057" t="str">
        <f t="shared" si="194"/>
        <v>FAB2_ Light Light 1L</v>
      </c>
      <c r="E2057">
        <v>2022</v>
      </c>
      <c r="F2057">
        <v>15</v>
      </c>
      <c r="G2057">
        <f t="shared" si="195"/>
        <v>4</v>
      </c>
      <c r="H2057" s="1">
        <f t="shared" si="196"/>
        <v>44662</v>
      </c>
      <c r="I2057" s="1">
        <f t="shared" si="197"/>
        <v>44652</v>
      </c>
      <c r="J2057">
        <v>422063.07000000018</v>
      </c>
      <c r="K2057">
        <v>24732</v>
      </c>
      <c r="L2057">
        <f t="shared" si="193"/>
        <v>17.065464580300834</v>
      </c>
      <c r="M2057">
        <v>2061</v>
      </c>
      <c r="N2057" s="2">
        <f t="shared" si="198"/>
        <v>204.78557496360997</v>
      </c>
      <c r="O2057">
        <v>12</v>
      </c>
    </row>
    <row r="2058" spans="1:15" x14ac:dyDescent="0.25">
      <c r="A2058" t="s">
        <v>46</v>
      </c>
      <c r="B2058" t="s">
        <v>15</v>
      </c>
      <c r="C2058" t="s">
        <v>37</v>
      </c>
      <c r="D2058" t="str">
        <f t="shared" si="194"/>
        <v>FAB2_ Light Light 1L</v>
      </c>
      <c r="E2058">
        <v>2022</v>
      </c>
      <c r="F2058">
        <v>16</v>
      </c>
      <c r="G2058">
        <f t="shared" si="195"/>
        <v>4</v>
      </c>
      <c r="H2058" s="1">
        <f t="shared" si="196"/>
        <v>44669</v>
      </c>
      <c r="I2058" s="1">
        <f t="shared" si="197"/>
        <v>44652</v>
      </c>
      <c r="J2058">
        <v>522920.38000000035</v>
      </c>
      <c r="K2058">
        <v>30600</v>
      </c>
      <c r="L2058">
        <f t="shared" si="193"/>
        <v>17.088901307189555</v>
      </c>
      <c r="M2058">
        <v>2550</v>
      </c>
      <c r="N2058" s="2">
        <f t="shared" si="198"/>
        <v>205.06681568627465</v>
      </c>
      <c r="O2058">
        <v>12</v>
      </c>
    </row>
    <row r="2059" spans="1:15" x14ac:dyDescent="0.25">
      <c r="A2059" t="s">
        <v>46</v>
      </c>
      <c r="B2059" t="s">
        <v>15</v>
      </c>
      <c r="C2059" t="s">
        <v>37</v>
      </c>
      <c r="D2059" t="str">
        <f t="shared" si="194"/>
        <v>FAB2_ Light Light 1L</v>
      </c>
      <c r="E2059">
        <v>2022</v>
      </c>
      <c r="F2059">
        <v>17</v>
      </c>
      <c r="G2059">
        <f t="shared" si="195"/>
        <v>4</v>
      </c>
      <c r="H2059" s="1">
        <f t="shared" si="196"/>
        <v>44676</v>
      </c>
      <c r="I2059" s="1">
        <f t="shared" si="197"/>
        <v>44652</v>
      </c>
      <c r="J2059">
        <v>570027.55000000016</v>
      </c>
      <c r="K2059">
        <v>35400</v>
      </c>
      <c r="L2059">
        <f t="shared" si="193"/>
        <v>16.102473163841811</v>
      </c>
      <c r="M2059">
        <v>2950</v>
      </c>
      <c r="N2059" s="2">
        <f t="shared" si="198"/>
        <v>193.22967796610175</v>
      </c>
      <c r="O2059">
        <v>12</v>
      </c>
    </row>
    <row r="2060" spans="1:15" x14ac:dyDescent="0.25">
      <c r="A2060" t="s">
        <v>46</v>
      </c>
      <c r="B2060" t="s">
        <v>15</v>
      </c>
      <c r="C2060" t="s">
        <v>37</v>
      </c>
      <c r="D2060" t="str">
        <f t="shared" si="194"/>
        <v>FAB2_ Light Light 1L</v>
      </c>
      <c r="E2060">
        <v>2022</v>
      </c>
      <c r="F2060">
        <v>18</v>
      </c>
      <c r="G2060">
        <f t="shared" si="195"/>
        <v>5</v>
      </c>
      <c r="H2060" s="1">
        <f t="shared" si="196"/>
        <v>44683</v>
      </c>
      <c r="I2060" s="1">
        <f t="shared" si="197"/>
        <v>44682</v>
      </c>
      <c r="J2060">
        <v>575450.88000000024</v>
      </c>
      <c r="K2060">
        <v>33792</v>
      </c>
      <c r="L2060">
        <f t="shared" si="193"/>
        <v>17.029204545454551</v>
      </c>
      <c r="M2060">
        <v>2816</v>
      </c>
      <c r="N2060" s="2">
        <f t="shared" si="198"/>
        <v>204.35045454545462</v>
      </c>
      <c r="O2060">
        <v>12</v>
      </c>
    </row>
    <row r="2061" spans="1:15" x14ac:dyDescent="0.25">
      <c r="A2061" t="s">
        <v>46</v>
      </c>
      <c r="B2061" t="s">
        <v>15</v>
      </c>
      <c r="C2061" t="s">
        <v>37</v>
      </c>
      <c r="D2061" t="str">
        <f t="shared" si="194"/>
        <v>FAB2_ Light Light 1L</v>
      </c>
      <c r="E2061">
        <v>2022</v>
      </c>
      <c r="F2061">
        <v>19</v>
      </c>
      <c r="G2061">
        <f t="shared" si="195"/>
        <v>5</v>
      </c>
      <c r="H2061" s="1">
        <f t="shared" si="196"/>
        <v>44690</v>
      </c>
      <c r="I2061" s="1">
        <f t="shared" si="197"/>
        <v>44682</v>
      </c>
      <c r="J2061">
        <v>391606.34000000032</v>
      </c>
      <c r="K2061">
        <v>21840</v>
      </c>
      <c r="L2061">
        <f t="shared" si="193"/>
        <v>17.930693223443239</v>
      </c>
      <c r="M2061">
        <v>1820</v>
      </c>
      <c r="N2061" s="2">
        <f t="shared" si="198"/>
        <v>215.16831868131885</v>
      </c>
      <c r="O2061">
        <v>12</v>
      </c>
    </row>
    <row r="2062" spans="1:15" x14ac:dyDescent="0.25">
      <c r="A2062" t="s">
        <v>46</v>
      </c>
      <c r="B2062" t="s">
        <v>15</v>
      </c>
      <c r="C2062" t="s">
        <v>37</v>
      </c>
      <c r="D2062" t="str">
        <f t="shared" si="194"/>
        <v>FAB2_ Light Light 1L</v>
      </c>
      <c r="E2062">
        <v>2022</v>
      </c>
      <c r="F2062">
        <v>20</v>
      </c>
      <c r="G2062">
        <f t="shared" si="195"/>
        <v>5</v>
      </c>
      <c r="H2062" s="1">
        <f t="shared" si="196"/>
        <v>44697</v>
      </c>
      <c r="I2062" s="1">
        <f t="shared" si="197"/>
        <v>44682</v>
      </c>
      <c r="J2062">
        <v>460025.48000000027</v>
      </c>
      <c r="K2062">
        <v>26028</v>
      </c>
      <c r="L2062">
        <f t="shared" si="193"/>
        <v>17.674253880436464</v>
      </c>
      <c r="M2062">
        <v>2169</v>
      </c>
      <c r="N2062" s="2">
        <f t="shared" si="198"/>
        <v>212.09104656523758</v>
      </c>
      <c r="O2062">
        <v>12</v>
      </c>
    </row>
    <row r="2063" spans="1:15" x14ac:dyDescent="0.25">
      <c r="A2063" t="s">
        <v>46</v>
      </c>
      <c r="B2063" t="s">
        <v>15</v>
      </c>
      <c r="C2063" t="s">
        <v>37</v>
      </c>
      <c r="D2063" t="str">
        <f t="shared" si="194"/>
        <v>FAB2_ Light Light 1L</v>
      </c>
      <c r="E2063">
        <v>2022</v>
      </c>
      <c r="F2063">
        <v>21</v>
      </c>
      <c r="G2063">
        <f t="shared" si="195"/>
        <v>5</v>
      </c>
      <c r="H2063" s="1">
        <f t="shared" si="196"/>
        <v>44704</v>
      </c>
      <c r="I2063" s="1">
        <f t="shared" si="197"/>
        <v>44682</v>
      </c>
      <c r="J2063">
        <v>358967.98000000021</v>
      </c>
      <c r="K2063">
        <v>20256</v>
      </c>
      <c r="L2063">
        <f t="shared" si="193"/>
        <v>17.721562993680894</v>
      </c>
      <c r="M2063">
        <v>1688</v>
      </c>
      <c r="N2063" s="2">
        <f t="shared" si="198"/>
        <v>212.65875592417075</v>
      </c>
      <c r="O2063">
        <v>12</v>
      </c>
    </row>
    <row r="2064" spans="1:15" x14ac:dyDescent="0.25">
      <c r="A2064" t="s">
        <v>46</v>
      </c>
      <c r="B2064" t="s">
        <v>15</v>
      </c>
      <c r="C2064" t="s">
        <v>37</v>
      </c>
      <c r="D2064" t="str">
        <f t="shared" si="194"/>
        <v>FAB2_ Light Light 1L</v>
      </c>
      <c r="E2064">
        <v>2022</v>
      </c>
      <c r="F2064">
        <v>22</v>
      </c>
      <c r="G2064">
        <f t="shared" si="195"/>
        <v>6</v>
      </c>
      <c r="H2064" s="1">
        <f t="shared" si="196"/>
        <v>44711</v>
      </c>
      <c r="I2064" s="1">
        <f t="shared" si="197"/>
        <v>44713</v>
      </c>
      <c r="J2064">
        <v>509800.8200000003</v>
      </c>
      <c r="K2064">
        <v>29352</v>
      </c>
      <c r="L2064">
        <f t="shared" si="193"/>
        <v>17.368520714091044</v>
      </c>
      <c r="M2064">
        <v>2446</v>
      </c>
      <c r="N2064" s="2">
        <f t="shared" si="198"/>
        <v>208.42224856909252</v>
      </c>
      <c r="O2064">
        <v>12</v>
      </c>
    </row>
    <row r="2065" spans="1:15" x14ac:dyDescent="0.25">
      <c r="A2065" t="s">
        <v>46</v>
      </c>
      <c r="B2065" t="s">
        <v>15</v>
      </c>
      <c r="C2065" t="s">
        <v>37</v>
      </c>
      <c r="D2065" t="str">
        <f t="shared" si="194"/>
        <v>FAB2_ Light Light 1L</v>
      </c>
      <c r="E2065">
        <v>2022</v>
      </c>
      <c r="F2065">
        <v>23</v>
      </c>
      <c r="G2065">
        <f t="shared" si="195"/>
        <v>6</v>
      </c>
      <c r="H2065" s="1">
        <f t="shared" si="196"/>
        <v>44718</v>
      </c>
      <c r="I2065" s="1">
        <f t="shared" si="197"/>
        <v>44713</v>
      </c>
      <c r="J2065">
        <v>514558.1100000001</v>
      </c>
      <c r="K2065">
        <v>31548</v>
      </c>
      <c r="L2065">
        <f t="shared" si="193"/>
        <v>16.31032426778243</v>
      </c>
      <c r="M2065">
        <v>2629</v>
      </c>
      <c r="N2065" s="2">
        <f t="shared" si="198"/>
        <v>195.72389121338915</v>
      </c>
      <c r="O2065">
        <v>12</v>
      </c>
    </row>
    <row r="2066" spans="1:15" x14ac:dyDescent="0.25">
      <c r="A2066" t="s">
        <v>46</v>
      </c>
      <c r="B2066" t="s">
        <v>15</v>
      </c>
      <c r="C2066" t="s">
        <v>37</v>
      </c>
      <c r="D2066" t="str">
        <f t="shared" si="194"/>
        <v>FAB2_ Light Light 1L</v>
      </c>
      <c r="E2066">
        <v>2022</v>
      </c>
      <c r="F2066">
        <v>24</v>
      </c>
      <c r="G2066">
        <f t="shared" si="195"/>
        <v>6</v>
      </c>
      <c r="H2066" s="1">
        <f t="shared" si="196"/>
        <v>44725</v>
      </c>
      <c r="I2066" s="1">
        <f t="shared" si="197"/>
        <v>44713</v>
      </c>
      <c r="J2066">
        <v>492703.99000000011</v>
      </c>
      <c r="K2066">
        <v>30120</v>
      </c>
      <c r="L2066">
        <f t="shared" si="193"/>
        <v>16.358034196547148</v>
      </c>
      <c r="M2066">
        <v>2510</v>
      </c>
      <c r="N2066" s="2">
        <f t="shared" si="198"/>
        <v>196.29641035856579</v>
      </c>
      <c r="O2066">
        <v>12</v>
      </c>
    </row>
    <row r="2067" spans="1:15" x14ac:dyDescent="0.25">
      <c r="A2067" t="s">
        <v>46</v>
      </c>
      <c r="B2067" t="s">
        <v>15</v>
      </c>
      <c r="C2067" t="s">
        <v>37</v>
      </c>
      <c r="D2067" t="str">
        <f t="shared" si="194"/>
        <v>FAB2_ Light Light 1L</v>
      </c>
      <c r="E2067">
        <v>2022</v>
      </c>
      <c r="F2067">
        <v>25</v>
      </c>
      <c r="G2067">
        <f t="shared" si="195"/>
        <v>6</v>
      </c>
      <c r="H2067" s="1">
        <f t="shared" si="196"/>
        <v>44732</v>
      </c>
      <c r="I2067" s="1">
        <f t="shared" si="197"/>
        <v>44713</v>
      </c>
      <c r="J2067">
        <v>430441.09</v>
      </c>
      <c r="K2067">
        <v>26328</v>
      </c>
      <c r="L2067">
        <f t="shared" si="193"/>
        <v>16.349175402613188</v>
      </c>
      <c r="M2067">
        <v>2194</v>
      </c>
      <c r="N2067" s="2">
        <f t="shared" si="198"/>
        <v>196.19010483135827</v>
      </c>
      <c r="O2067">
        <v>12</v>
      </c>
    </row>
    <row r="2068" spans="1:15" x14ac:dyDescent="0.25">
      <c r="A2068" t="s">
        <v>46</v>
      </c>
      <c r="B2068" t="s">
        <v>15</v>
      </c>
      <c r="C2068" t="s">
        <v>37</v>
      </c>
      <c r="D2068" t="str">
        <f t="shared" si="194"/>
        <v>FAB2_ Light Light 1L</v>
      </c>
      <c r="E2068">
        <v>2022</v>
      </c>
      <c r="F2068">
        <v>26</v>
      </c>
      <c r="G2068">
        <f t="shared" si="195"/>
        <v>6</v>
      </c>
      <c r="H2068" s="1">
        <f t="shared" si="196"/>
        <v>44739</v>
      </c>
      <c r="I2068" s="1">
        <f t="shared" si="197"/>
        <v>44713</v>
      </c>
      <c r="J2068">
        <v>451430.47000000026</v>
      </c>
      <c r="K2068">
        <v>27492</v>
      </c>
      <c r="L2068">
        <f t="shared" si="193"/>
        <v>16.420430306998409</v>
      </c>
      <c r="M2068">
        <v>2291</v>
      </c>
      <c r="N2068" s="2">
        <f t="shared" si="198"/>
        <v>197.04516368398092</v>
      </c>
      <c r="O2068">
        <v>12</v>
      </c>
    </row>
    <row r="2069" spans="1:15" x14ac:dyDescent="0.25">
      <c r="A2069" t="s">
        <v>46</v>
      </c>
      <c r="B2069" t="s">
        <v>15</v>
      </c>
      <c r="C2069" t="s">
        <v>37</v>
      </c>
      <c r="D2069" t="str">
        <f t="shared" si="194"/>
        <v>FAB2_ Light Light 1L</v>
      </c>
      <c r="E2069">
        <v>2022</v>
      </c>
      <c r="F2069">
        <v>27</v>
      </c>
      <c r="G2069">
        <f t="shared" si="195"/>
        <v>7</v>
      </c>
      <c r="H2069" s="1">
        <f t="shared" si="196"/>
        <v>44746</v>
      </c>
      <c r="I2069" s="1">
        <f t="shared" si="197"/>
        <v>44743</v>
      </c>
      <c r="J2069">
        <v>530124.85000000021</v>
      </c>
      <c r="K2069">
        <v>32460</v>
      </c>
      <c r="L2069">
        <f t="shared" si="193"/>
        <v>16.331634319162053</v>
      </c>
      <c r="M2069">
        <v>2705</v>
      </c>
      <c r="N2069" s="2">
        <f t="shared" si="198"/>
        <v>195.97961182994462</v>
      </c>
      <c r="O2069">
        <v>12</v>
      </c>
    </row>
    <row r="2070" spans="1:15" x14ac:dyDescent="0.25">
      <c r="A2070" t="s">
        <v>46</v>
      </c>
      <c r="B2070" t="s">
        <v>15</v>
      </c>
      <c r="C2070" t="s">
        <v>37</v>
      </c>
      <c r="D2070" t="str">
        <f t="shared" si="194"/>
        <v>FAB2_ Light Light 1L</v>
      </c>
      <c r="E2070">
        <v>2022</v>
      </c>
      <c r="F2070">
        <v>28</v>
      </c>
      <c r="G2070">
        <f t="shared" si="195"/>
        <v>7</v>
      </c>
      <c r="H2070" s="1">
        <f t="shared" si="196"/>
        <v>44753</v>
      </c>
      <c r="I2070" s="1">
        <f t="shared" si="197"/>
        <v>44743</v>
      </c>
      <c r="J2070">
        <v>422821.68000000005</v>
      </c>
      <c r="K2070">
        <v>25512</v>
      </c>
      <c r="L2070">
        <f t="shared" si="193"/>
        <v>16.573443085606776</v>
      </c>
      <c r="M2070">
        <v>2126</v>
      </c>
      <c r="N2070" s="2">
        <f t="shared" si="198"/>
        <v>198.88131702728131</v>
      </c>
      <c r="O2070">
        <v>12</v>
      </c>
    </row>
    <row r="2071" spans="1:15" x14ac:dyDescent="0.25">
      <c r="A2071" t="s">
        <v>46</v>
      </c>
      <c r="B2071" t="s">
        <v>15</v>
      </c>
      <c r="C2071" t="s">
        <v>37</v>
      </c>
      <c r="D2071" t="str">
        <f t="shared" si="194"/>
        <v>FAB2_ Light Light 1L</v>
      </c>
      <c r="E2071">
        <v>2022</v>
      </c>
      <c r="F2071">
        <v>29</v>
      </c>
      <c r="G2071">
        <f t="shared" si="195"/>
        <v>7</v>
      </c>
      <c r="H2071" s="1">
        <f t="shared" si="196"/>
        <v>44760</v>
      </c>
      <c r="I2071" s="1">
        <f t="shared" si="197"/>
        <v>44743</v>
      </c>
      <c r="J2071">
        <v>414384.98000000021</v>
      </c>
      <c r="K2071">
        <v>23496</v>
      </c>
      <c r="L2071">
        <f t="shared" si="193"/>
        <v>17.636405345590749</v>
      </c>
      <c r="M2071">
        <v>1958</v>
      </c>
      <c r="N2071" s="2">
        <f t="shared" si="198"/>
        <v>211.63686414708897</v>
      </c>
      <c r="O2071">
        <v>12</v>
      </c>
    </row>
    <row r="2072" spans="1:15" x14ac:dyDescent="0.25">
      <c r="A2072" t="s">
        <v>46</v>
      </c>
      <c r="B2072" t="s">
        <v>15</v>
      </c>
      <c r="C2072" t="s">
        <v>37</v>
      </c>
      <c r="D2072" t="str">
        <f t="shared" si="194"/>
        <v>FAB2_ Light Light 1L</v>
      </c>
      <c r="E2072">
        <v>2022</v>
      </c>
      <c r="F2072">
        <v>30</v>
      </c>
      <c r="G2072">
        <f t="shared" si="195"/>
        <v>7</v>
      </c>
      <c r="H2072" s="1">
        <f t="shared" si="196"/>
        <v>44767</v>
      </c>
      <c r="I2072" s="1">
        <f t="shared" si="197"/>
        <v>44743</v>
      </c>
      <c r="J2072">
        <v>374374.56000000006</v>
      </c>
      <c r="K2072">
        <v>21144</v>
      </c>
      <c r="L2072">
        <f t="shared" si="193"/>
        <v>17.705947786606131</v>
      </c>
      <c r="M2072">
        <v>1762</v>
      </c>
      <c r="N2072" s="2">
        <f t="shared" si="198"/>
        <v>212.47137343927358</v>
      </c>
      <c r="O2072">
        <v>12</v>
      </c>
    </row>
    <row r="2073" spans="1:15" x14ac:dyDescent="0.25">
      <c r="A2073" t="s">
        <v>46</v>
      </c>
      <c r="B2073" t="s">
        <v>15</v>
      </c>
      <c r="C2073" t="s">
        <v>37</v>
      </c>
      <c r="D2073" t="str">
        <f t="shared" si="194"/>
        <v>FAB2_ Light Light 1L</v>
      </c>
      <c r="E2073">
        <v>2022</v>
      </c>
      <c r="F2073">
        <v>31</v>
      </c>
      <c r="G2073">
        <f t="shared" si="195"/>
        <v>8</v>
      </c>
      <c r="H2073" s="1">
        <f t="shared" si="196"/>
        <v>44774</v>
      </c>
      <c r="I2073" s="1">
        <f t="shared" si="197"/>
        <v>44774</v>
      </c>
      <c r="J2073">
        <v>484627.12000000005</v>
      </c>
      <c r="K2073">
        <v>27252</v>
      </c>
      <c r="L2073">
        <f t="shared" si="193"/>
        <v>17.783176280639957</v>
      </c>
      <c r="M2073">
        <v>2271</v>
      </c>
      <c r="N2073" s="2">
        <f t="shared" si="198"/>
        <v>213.39811536767945</v>
      </c>
      <c r="O2073">
        <v>12</v>
      </c>
    </row>
    <row r="2074" spans="1:15" x14ac:dyDescent="0.25">
      <c r="A2074" t="s">
        <v>46</v>
      </c>
      <c r="B2074" t="s">
        <v>15</v>
      </c>
      <c r="C2074" t="s">
        <v>37</v>
      </c>
      <c r="D2074" t="str">
        <f t="shared" si="194"/>
        <v>FAB2_ Light Light 1L</v>
      </c>
      <c r="E2074">
        <v>2022</v>
      </c>
      <c r="F2074">
        <v>32</v>
      </c>
      <c r="G2074">
        <f t="shared" si="195"/>
        <v>8</v>
      </c>
      <c r="H2074" s="1">
        <f t="shared" si="196"/>
        <v>44781</v>
      </c>
      <c r="I2074" s="1">
        <f t="shared" si="197"/>
        <v>44774</v>
      </c>
      <c r="J2074">
        <v>391959.92</v>
      </c>
      <c r="K2074">
        <v>21864</v>
      </c>
      <c r="L2074">
        <f t="shared" si="193"/>
        <v>17.927182583241859</v>
      </c>
      <c r="M2074">
        <v>1822</v>
      </c>
      <c r="N2074" s="2">
        <f t="shared" si="198"/>
        <v>215.1261909989023</v>
      </c>
      <c r="O2074">
        <v>12</v>
      </c>
    </row>
    <row r="2075" spans="1:15" x14ac:dyDescent="0.25">
      <c r="A2075" t="s">
        <v>46</v>
      </c>
      <c r="B2075" t="s">
        <v>15</v>
      </c>
      <c r="C2075" t="s">
        <v>37</v>
      </c>
      <c r="D2075" t="str">
        <f t="shared" si="194"/>
        <v>FAB2_ Light Light 1L</v>
      </c>
      <c r="E2075">
        <v>2022</v>
      </c>
      <c r="F2075">
        <v>33</v>
      </c>
      <c r="G2075">
        <f t="shared" si="195"/>
        <v>8</v>
      </c>
      <c r="H2075" s="1">
        <f t="shared" si="196"/>
        <v>44788</v>
      </c>
      <c r="I2075" s="1">
        <f t="shared" si="197"/>
        <v>44774</v>
      </c>
      <c r="J2075">
        <v>385052.22999999981</v>
      </c>
      <c r="K2075">
        <v>21492</v>
      </c>
      <c r="L2075">
        <f t="shared" si="193"/>
        <v>17.91607249209007</v>
      </c>
      <c r="M2075">
        <v>1791</v>
      </c>
      <c r="N2075" s="2">
        <f t="shared" si="198"/>
        <v>214.99286990508085</v>
      </c>
      <c r="O2075">
        <v>12</v>
      </c>
    </row>
    <row r="2076" spans="1:15" x14ac:dyDescent="0.25">
      <c r="A2076" t="s">
        <v>46</v>
      </c>
      <c r="B2076" t="s">
        <v>15</v>
      </c>
      <c r="C2076" t="s">
        <v>37</v>
      </c>
      <c r="D2076" t="str">
        <f t="shared" si="194"/>
        <v>FAB2_ Light Light 1L</v>
      </c>
      <c r="E2076">
        <v>2022</v>
      </c>
      <c r="F2076">
        <v>34</v>
      </c>
      <c r="G2076">
        <f t="shared" si="195"/>
        <v>8</v>
      </c>
      <c r="H2076" s="1">
        <f t="shared" si="196"/>
        <v>44795</v>
      </c>
      <c r="I2076" s="1">
        <f t="shared" si="197"/>
        <v>44774</v>
      </c>
      <c r="J2076">
        <v>350281.08000000007</v>
      </c>
      <c r="K2076">
        <v>18480</v>
      </c>
      <c r="L2076">
        <f t="shared" si="193"/>
        <v>18.954603896103901</v>
      </c>
      <c r="M2076">
        <v>1540</v>
      </c>
      <c r="N2076" s="2">
        <f t="shared" si="198"/>
        <v>227.4552467532468</v>
      </c>
      <c r="O2076">
        <v>12</v>
      </c>
    </row>
    <row r="2077" spans="1:15" x14ac:dyDescent="0.25">
      <c r="A2077" t="s">
        <v>46</v>
      </c>
      <c r="B2077" t="s">
        <v>15</v>
      </c>
      <c r="C2077" t="s">
        <v>37</v>
      </c>
      <c r="D2077" t="str">
        <f t="shared" si="194"/>
        <v>FAB2_ Light Light 1L</v>
      </c>
      <c r="E2077">
        <v>2022</v>
      </c>
      <c r="F2077">
        <v>35</v>
      </c>
      <c r="G2077">
        <f t="shared" si="195"/>
        <v>9</v>
      </c>
      <c r="H2077" s="1">
        <f t="shared" si="196"/>
        <v>44802</v>
      </c>
      <c r="I2077" s="1">
        <f t="shared" si="197"/>
        <v>44805</v>
      </c>
      <c r="J2077">
        <v>470705.13</v>
      </c>
      <c r="K2077">
        <v>24984</v>
      </c>
      <c r="L2077">
        <f t="shared" si="193"/>
        <v>18.840262968299712</v>
      </c>
      <c r="M2077">
        <v>2082</v>
      </c>
      <c r="N2077" s="2">
        <f t="shared" si="198"/>
        <v>226.08315561959654</v>
      </c>
      <c r="O2077">
        <v>12</v>
      </c>
    </row>
    <row r="2078" spans="1:15" x14ac:dyDescent="0.25">
      <c r="A2078" t="s">
        <v>46</v>
      </c>
      <c r="B2078" t="s">
        <v>15</v>
      </c>
      <c r="C2078" t="s">
        <v>37</v>
      </c>
      <c r="D2078" t="str">
        <f t="shared" si="194"/>
        <v>FAB2_ Light Light 1L</v>
      </c>
      <c r="E2078">
        <v>2022</v>
      </c>
      <c r="F2078">
        <v>36</v>
      </c>
      <c r="G2078">
        <f t="shared" si="195"/>
        <v>9</v>
      </c>
      <c r="H2078" s="1">
        <f t="shared" si="196"/>
        <v>44809</v>
      </c>
      <c r="I2078" s="1">
        <f t="shared" si="197"/>
        <v>44805</v>
      </c>
      <c r="J2078">
        <v>417076.11999999988</v>
      </c>
      <c r="K2078">
        <v>22032</v>
      </c>
      <c r="L2078">
        <f t="shared" si="193"/>
        <v>18.930470225127081</v>
      </c>
      <c r="M2078">
        <v>1836</v>
      </c>
      <c r="N2078" s="2">
        <f t="shared" si="198"/>
        <v>227.165642701525</v>
      </c>
      <c r="O2078">
        <v>12</v>
      </c>
    </row>
    <row r="2079" spans="1:15" x14ac:dyDescent="0.25">
      <c r="A2079" t="s">
        <v>46</v>
      </c>
      <c r="B2079" t="s">
        <v>15</v>
      </c>
      <c r="C2079" t="s">
        <v>37</v>
      </c>
      <c r="D2079" t="str">
        <f t="shared" si="194"/>
        <v>FAB2_ Light Light 1L</v>
      </c>
      <c r="E2079">
        <v>2022</v>
      </c>
      <c r="F2079">
        <v>37</v>
      </c>
      <c r="G2079">
        <f t="shared" si="195"/>
        <v>9</v>
      </c>
      <c r="H2079" s="1">
        <f t="shared" si="196"/>
        <v>44816</v>
      </c>
      <c r="I2079" s="1">
        <f t="shared" si="197"/>
        <v>44805</v>
      </c>
      <c r="J2079">
        <v>438502.66999999987</v>
      </c>
      <c r="K2079">
        <v>23964</v>
      </c>
      <c r="L2079">
        <f t="shared" si="193"/>
        <v>18.298392171590713</v>
      </c>
      <c r="M2079">
        <v>1997</v>
      </c>
      <c r="N2079" s="2">
        <f t="shared" si="198"/>
        <v>219.58070605908856</v>
      </c>
      <c r="O2079">
        <v>12</v>
      </c>
    </row>
    <row r="2080" spans="1:15" x14ac:dyDescent="0.25">
      <c r="A2080" t="s">
        <v>46</v>
      </c>
      <c r="B2080" t="s">
        <v>15</v>
      </c>
      <c r="C2080" t="s">
        <v>37</v>
      </c>
      <c r="D2080" t="str">
        <f t="shared" si="194"/>
        <v>FAB2_ Light Light 1L</v>
      </c>
      <c r="E2080">
        <v>2022</v>
      </c>
      <c r="F2080">
        <v>38</v>
      </c>
      <c r="G2080">
        <f t="shared" si="195"/>
        <v>9</v>
      </c>
      <c r="H2080" s="1">
        <f t="shared" si="196"/>
        <v>44823</v>
      </c>
      <c r="I2080" s="1">
        <f t="shared" si="197"/>
        <v>44805</v>
      </c>
      <c r="J2080">
        <v>521783.88000000006</v>
      </c>
      <c r="K2080">
        <v>29484</v>
      </c>
      <c r="L2080">
        <f t="shared" si="193"/>
        <v>17.697187627187628</v>
      </c>
      <c r="M2080">
        <v>2457</v>
      </c>
      <c r="N2080" s="2">
        <f t="shared" si="198"/>
        <v>212.36625152625155</v>
      </c>
      <c r="O2080">
        <v>12</v>
      </c>
    </row>
    <row r="2081" spans="1:15" x14ac:dyDescent="0.25">
      <c r="A2081" t="s">
        <v>46</v>
      </c>
      <c r="B2081" t="s">
        <v>15</v>
      </c>
      <c r="C2081" t="s">
        <v>37</v>
      </c>
      <c r="D2081" t="str">
        <f t="shared" si="194"/>
        <v>FAB2_ Light Light 1L</v>
      </c>
      <c r="E2081">
        <v>2022</v>
      </c>
      <c r="F2081">
        <v>39</v>
      </c>
      <c r="G2081">
        <f t="shared" si="195"/>
        <v>9</v>
      </c>
      <c r="H2081" s="1">
        <f t="shared" si="196"/>
        <v>44830</v>
      </c>
      <c r="I2081" s="1">
        <f t="shared" si="197"/>
        <v>44805</v>
      </c>
      <c r="J2081">
        <v>375001.04</v>
      </c>
      <c r="K2081">
        <v>19764</v>
      </c>
      <c r="L2081">
        <f t="shared" si="193"/>
        <v>18.973944545638535</v>
      </c>
      <c r="M2081">
        <v>1647</v>
      </c>
      <c r="N2081" s="2">
        <f t="shared" si="198"/>
        <v>227.6873345476624</v>
      </c>
      <c r="O2081">
        <v>12</v>
      </c>
    </row>
    <row r="2082" spans="1:15" x14ac:dyDescent="0.25">
      <c r="A2082" t="s">
        <v>46</v>
      </c>
      <c r="B2082" t="s">
        <v>15</v>
      </c>
      <c r="C2082" t="s">
        <v>37</v>
      </c>
      <c r="D2082" t="str">
        <f t="shared" si="194"/>
        <v>FAB2_ Light Light 1L</v>
      </c>
      <c r="E2082">
        <v>2022</v>
      </c>
      <c r="F2082">
        <v>40</v>
      </c>
      <c r="G2082">
        <f t="shared" si="195"/>
        <v>10</v>
      </c>
      <c r="H2082" s="1">
        <f t="shared" si="196"/>
        <v>44837</v>
      </c>
      <c r="I2082" s="1">
        <f t="shared" si="197"/>
        <v>44835</v>
      </c>
      <c r="J2082">
        <v>492408.92999999982</v>
      </c>
      <c r="K2082">
        <v>26844</v>
      </c>
      <c r="L2082">
        <f t="shared" si="193"/>
        <v>18.343351586946795</v>
      </c>
      <c r="M2082">
        <v>2237</v>
      </c>
      <c r="N2082" s="2">
        <f t="shared" si="198"/>
        <v>220.12021904336157</v>
      </c>
      <c r="O2082">
        <v>12</v>
      </c>
    </row>
    <row r="2083" spans="1:15" x14ac:dyDescent="0.25">
      <c r="A2083" t="s">
        <v>46</v>
      </c>
      <c r="B2083" t="s">
        <v>15</v>
      </c>
      <c r="C2083" t="s">
        <v>37</v>
      </c>
      <c r="D2083" t="str">
        <f t="shared" si="194"/>
        <v>FAB2_ Light Light 1L</v>
      </c>
      <c r="E2083">
        <v>2022</v>
      </c>
      <c r="F2083">
        <v>41</v>
      </c>
      <c r="G2083">
        <f t="shared" si="195"/>
        <v>10</v>
      </c>
      <c r="H2083" s="1">
        <f t="shared" si="196"/>
        <v>44844</v>
      </c>
      <c r="I2083" s="1">
        <f t="shared" si="197"/>
        <v>44835</v>
      </c>
      <c r="J2083">
        <v>527127.56000000006</v>
      </c>
      <c r="K2083">
        <v>30444</v>
      </c>
      <c r="L2083">
        <f t="shared" si="193"/>
        <v>17.314661673893053</v>
      </c>
      <c r="M2083">
        <v>2537</v>
      </c>
      <c r="N2083" s="2">
        <f t="shared" si="198"/>
        <v>207.77594008671662</v>
      </c>
      <c r="O2083">
        <v>12</v>
      </c>
    </row>
    <row r="2084" spans="1:15" x14ac:dyDescent="0.25">
      <c r="A2084" t="s">
        <v>46</v>
      </c>
      <c r="B2084" t="s">
        <v>15</v>
      </c>
      <c r="C2084" t="s">
        <v>37</v>
      </c>
      <c r="D2084" t="str">
        <f t="shared" si="194"/>
        <v>FAB2_ Light Light 1L</v>
      </c>
      <c r="E2084">
        <v>2022</v>
      </c>
      <c r="F2084">
        <v>42</v>
      </c>
      <c r="G2084">
        <f t="shared" si="195"/>
        <v>10</v>
      </c>
      <c r="H2084" s="1">
        <f t="shared" si="196"/>
        <v>44851</v>
      </c>
      <c r="I2084" s="1">
        <f t="shared" si="197"/>
        <v>44835</v>
      </c>
      <c r="J2084">
        <v>470293.48999999993</v>
      </c>
      <c r="K2084">
        <v>26232</v>
      </c>
      <c r="L2084">
        <f t="shared" si="193"/>
        <v>17.928236123818234</v>
      </c>
      <c r="M2084">
        <v>2186</v>
      </c>
      <c r="N2084" s="2">
        <f t="shared" si="198"/>
        <v>215.13883348581882</v>
      </c>
      <c r="O2084">
        <v>12</v>
      </c>
    </row>
    <row r="2085" spans="1:15" x14ac:dyDescent="0.25">
      <c r="A2085" t="s">
        <v>46</v>
      </c>
      <c r="B2085" t="s">
        <v>15</v>
      </c>
      <c r="C2085" t="s">
        <v>37</v>
      </c>
      <c r="D2085" t="str">
        <f t="shared" si="194"/>
        <v>FAB2_ Light Light 1L</v>
      </c>
      <c r="E2085">
        <v>2022</v>
      </c>
      <c r="F2085">
        <v>43</v>
      </c>
      <c r="G2085">
        <f t="shared" si="195"/>
        <v>10</v>
      </c>
      <c r="H2085" s="1">
        <f t="shared" si="196"/>
        <v>44858</v>
      </c>
      <c r="I2085" s="1">
        <f t="shared" si="197"/>
        <v>44835</v>
      </c>
      <c r="J2085">
        <v>346091.50000000006</v>
      </c>
      <c r="K2085">
        <v>18252</v>
      </c>
      <c r="L2085">
        <f t="shared" si="193"/>
        <v>18.961839798378264</v>
      </c>
      <c r="M2085">
        <v>1521</v>
      </c>
      <c r="N2085" s="2">
        <f t="shared" si="198"/>
        <v>227.54207758053917</v>
      </c>
      <c r="O2085">
        <v>12</v>
      </c>
    </row>
    <row r="2086" spans="1:15" x14ac:dyDescent="0.25">
      <c r="A2086" t="s">
        <v>46</v>
      </c>
      <c r="B2086" t="s">
        <v>15</v>
      </c>
      <c r="C2086" t="s">
        <v>37</v>
      </c>
      <c r="D2086" t="str">
        <f t="shared" si="194"/>
        <v>FAB2_ Light Light 1L</v>
      </c>
      <c r="E2086">
        <v>2022</v>
      </c>
      <c r="F2086">
        <v>44</v>
      </c>
      <c r="G2086">
        <f t="shared" si="195"/>
        <v>11</v>
      </c>
      <c r="H2086" s="1">
        <f t="shared" si="196"/>
        <v>44865</v>
      </c>
      <c r="I2086" s="1">
        <f t="shared" si="197"/>
        <v>44866</v>
      </c>
      <c r="J2086">
        <v>396420.67000000004</v>
      </c>
      <c r="K2086">
        <v>21540</v>
      </c>
      <c r="L2086">
        <f t="shared" si="193"/>
        <v>18.403930826369546</v>
      </c>
      <c r="M2086">
        <v>1795</v>
      </c>
      <c r="N2086" s="2">
        <f t="shared" si="198"/>
        <v>220.84716991643455</v>
      </c>
      <c r="O2086">
        <v>12</v>
      </c>
    </row>
    <row r="2087" spans="1:15" x14ac:dyDescent="0.25">
      <c r="A2087" t="s">
        <v>46</v>
      </c>
      <c r="B2087" t="s">
        <v>15</v>
      </c>
      <c r="C2087" t="s">
        <v>37</v>
      </c>
      <c r="D2087" t="str">
        <f t="shared" si="194"/>
        <v>FAB2_ Light Light 1L</v>
      </c>
      <c r="E2087">
        <v>2022</v>
      </c>
      <c r="F2087">
        <v>45</v>
      </c>
      <c r="G2087">
        <f t="shared" si="195"/>
        <v>11</v>
      </c>
      <c r="H2087" s="1">
        <f t="shared" si="196"/>
        <v>44872</v>
      </c>
      <c r="I2087" s="1">
        <f t="shared" si="197"/>
        <v>44866</v>
      </c>
      <c r="J2087">
        <v>371005.7699999999</v>
      </c>
      <c r="K2087">
        <v>20940</v>
      </c>
      <c r="L2087">
        <f t="shared" si="193"/>
        <v>17.717563037249278</v>
      </c>
      <c r="M2087">
        <v>1745</v>
      </c>
      <c r="N2087" s="2">
        <f t="shared" si="198"/>
        <v>212.61075644699136</v>
      </c>
      <c r="O2087">
        <v>12</v>
      </c>
    </row>
    <row r="2088" spans="1:15" x14ac:dyDescent="0.25">
      <c r="A2088" t="s">
        <v>46</v>
      </c>
      <c r="B2088" t="s">
        <v>15</v>
      </c>
      <c r="C2088" t="s">
        <v>37</v>
      </c>
      <c r="D2088" t="str">
        <f t="shared" si="194"/>
        <v>FAB2_ Light Light 1L</v>
      </c>
      <c r="E2088">
        <v>2022</v>
      </c>
      <c r="F2088">
        <v>46</v>
      </c>
      <c r="G2088">
        <f t="shared" si="195"/>
        <v>11</v>
      </c>
      <c r="H2088" s="1">
        <f t="shared" si="196"/>
        <v>44879</v>
      </c>
      <c r="I2088" s="1">
        <f t="shared" si="197"/>
        <v>44866</v>
      </c>
      <c r="J2088">
        <v>507889.16999999987</v>
      </c>
      <c r="K2088">
        <v>27924</v>
      </c>
      <c r="L2088">
        <f t="shared" si="193"/>
        <v>18.188267082079925</v>
      </c>
      <c r="M2088">
        <v>2327</v>
      </c>
      <c r="N2088" s="2">
        <f t="shared" si="198"/>
        <v>218.25920498495913</v>
      </c>
      <c r="O2088">
        <v>12</v>
      </c>
    </row>
    <row r="2089" spans="1:15" x14ac:dyDescent="0.25">
      <c r="A2089" t="s">
        <v>46</v>
      </c>
      <c r="B2089" t="s">
        <v>15</v>
      </c>
      <c r="C2089" t="s">
        <v>37</v>
      </c>
      <c r="D2089" t="str">
        <f t="shared" si="194"/>
        <v>FAB2_ Light Light 1L</v>
      </c>
      <c r="E2089">
        <v>2022</v>
      </c>
      <c r="F2089">
        <v>47</v>
      </c>
      <c r="G2089">
        <f t="shared" si="195"/>
        <v>11</v>
      </c>
      <c r="H2089" s="1">
        <f t="shared" si="196"/>
        <v>44886</v>
      </c>
      <c r="I2089" s="1">
        <f t="shared" si="197"/>
        <v>44866</v>
      </c>
      <c r="J2089">
        <v>488879.91</v>
      </c>
      <c r="K2089">
        <v>26496</v>
      </c>
      <c r="L2089">
        <f t="shared" si="193"/>
        <v>18.451083559782607</v>
      </c>
      <c r="M2089">
        <v>2208</v>
      </c>
      <c r="N2089" s="2">
        <f t="shared" si="198"/>
        <v>221.41300271739129</v>
      </c>
      <c r="O2089">
        <v>12</v>
      </c>
    </row>
    <row r="2090" spans="1:15" x14ac:dyDescent="0.25">
      <c r="A2090" t="s">
        <v>46</v>
      </c>
      <c r="B2090" t="s">
        <v>15</v>
      </c>
      <c r="C2090" t="s">
        <v>37</v>
      </c>
      <c r="D2090" t="str">
        <f t="shared" si="194"/>
        <v>FAB2_ Light Light 1L</v>
      </c>
      <c r="E2090">
        <v>2022</v>
      </c>
      <c r="F2090">
        <v>48</v>
      </c>
      <c r="G2090">
        <f t="shared" si="195"/>
        <v>12</v>
      </c>
      <c r="H2090" s="1">
        <f t="shared" si="196"/>
        <v>44893</v>
      </c>
      <c r="I2090" s="1">
        <f t="shared" si="197"/>
        <v>44896</v>
      </c>
      <c r="J2090">
        <v>346316.57</v>
      </c>
      <c r="K2090">
        <v>18768</v>
      </c>
      <c r="L2090">
        <f t="shared" si="193"/>
        <v>18.452502664109122</v>
      </c>
      <c r="M2090">
        <v>1564</v>
      </c>
      <c r="N2090" s="2">
        <f t="shared" si="198"/>
        <v>221.43003196930945</v>
      </c>
      <c r="O2090">
        <v>12</v>
      </c>
    </row>
    <row r="2091" spans="1:15" x14ac:dyDescent="0.25">
      <c r="A2091" t="s">
        <v>46</v>
      </c>
      <c r="B2091" t="s">
        <v>15</v>
      </c>
      <c r="C2091" t="s">
        <v>37</v>
      </c>
      <c r="D2091" t="str">
        <f t="shared" si="194"/>
        <v>FAB2_ Light Light 1L</v>
      </c>
      <c r="E2091">
        <v>2022</v>
      </c>
      <c r="F2091">
        <v>49</v>
      </c>
      <c r="G2091">
        <f t="shared" si="195"/>
        <v>12</v>
      </c>
      <c r="H2091" s="1">
        <f t="shared" si="196"/>
        <v>44900</v>
      </c>
      <c r="I2091" s="1">
        <f t="shared" si="197"/>
        <v>44896</v>
      </c>
      <c r="J2091">
        <v>437796.35</v>
      </c>
      <c r="K2091">
        <v>23508</v>
      </c>
      <c r="L2091">
        <f t="shared" si="193"/>
        <v>18.623292070784412</v>
      </c>
      <c r="M2091">
        <v>1959</v>
      </c>
      <c r="N2091" s="2">
        <f t="shared" si="198"/>
        <v>223.47950484941296</v>
      </c>
      <c r="O2091">
        <v>12</v>
      </c>
    </row>
    <row r="2092" spans="1:15" x14ac:dyDescent="0.25">
      <c r="A2092" t="s">
        <v>46</v>
      </c>
      <c r="B2092" t="s">
        <v>15</v>
      </c>
      <c r="C2092" t="s">
        <v>37</v>
      </c>
      <c r="D2092" t="str">
        <f t="shared" si="194"/>
        <v>FAB2_ Light Light 1L</v>
      </c>
      <c r="E2092">
        <v>2022</v>
      </c>
      <c r="F2092">
        <v>50</v>
      </c>
      <c r="G2092">
        <f t="shared" si="195"/>
        <v>12</v>
      </c>
      <c r="H2092" s="1">
        <f t="shared" si="196"/>
        <v>44907</v>
      </c>
      <c r="I2092" s="1">
        <f t="shared" si="197"/>
        <v>44896</v>
      </c>
      <c r="J2092">
        <v>485175.29</v>
      </c>
      <c r="K2092">
        <v>27012</v>
      </c>
      <c r="L2092">
        <f t="shared" si="193"/>
        <v>17.961472308603582</v>
      </c>
      <c r="M2092">
        <v>2251</v>
      </c>
      <c r="N2092" s="2">
        <f t="shared" si="198"/>
        <v>215.53766770324299</v>
      </c>
      <c r="O2092">
        <v>12</v>
      </c>
    </row>
    <row r="2093" spans="1:15" x14ac:dyDescent="0.25">
      <c r="A2093" t="s">
        <v>46</v>
      </c>
      <c r="B2093" t="s">
        <v>15</v>
      </c>
      <c r="C2093" t="s">
        <v>37</v>
      </c>
      <c r="D2093" t="str">
        <f t="shared" si="194"/>
        <v>FAB2_ Light Light 1L</v>
      </c>
      <c r="E2093">
        <v>2022</v>
      </c>
      <c r="F2093">
        <v>51</v>
      </c>
      <c r="G2093">
        <f t="shared" si="195"/>
        <v>12</v>
      </c>
      <c r="H2093" s="1">
        <f t="shared" si="196"/>
        <v>44914</v>
      </c>
      <c r="I2093" s="1">
        <f t="shared" si="197"/>
        <v>44896</v>
      </c>
      <c r="J2093">
        <v>470684.88999999996</v>
      </c>
      <c r="K2093">
        <v>26100</v>
      </c>
      <c r="L2093">
        <f t="shared" si="193"/>
        <v>18.033903831417621</v>
      </c>
      <c r="M2093">
        <v>2175</v>
      </c>
      <c r="N2093" s="2">
        <f t="shared" si="198"/>
        <v>216.40684597701147</v>
      </c>
      <c r="O2093">
        <v>12</v>
      </c>
    </row>
    <row r="2094" spans="1:15" x14ac:dyDescent="0.25">
      <c r="A2094" t="s">
        <v>46</v>
      </c>
      <c r="B2094" t="s">
        <v>15</v>
      </c>
      <c r="C2094" t="s">
        <v>37</v>
      </c>
      <c r="D2094" t="str">
        <f t="shared" si="194"/>
        <v>FAB2_ Light Light 1L</v>
      </c>
      <c r="E2094">
        <v>2022</v>
      </c>
      <c r="F2094">
        <v>52</v>
      </c>
      <c r="G2094">
        <f t="shared" si="195"/>
        <v>12</v>
      </c>
      <c r="H2094" s="1">
        <f t="shared" si="196"/>
        <v>44921</v>
      </c>
      <c r="I2094" s="1">
        <f t="shared" si="197"/>
        <v>44896</v>
      </c>
      <c r="J2094">
        <v>419647.10000000003</v>
      </c>
      <c r="K2094">
        <v>23016</v>
      </c>
      <c r="L2094">
        <f t="shared" si="193"/>
        <v>18.232842370524853</v>
      </c>
      <c r="M2094">
        <v>1918</v>
      </c>
      <c r="N2094" s="2">
        <f t="shared" si="198"/>
        <v>218.79410844629825</v>
      </c>
      <c r="O2094">
        <v>12</v>
      </c>
    </row>
    <row r="2095" spans="1:15" x14ac:dyDescent="0.25">
      <c r="A2095" t="s">
        <v>46</v>
      </c>
      <c r="B2095" t="s">
        <v>15</v>
      </c>
      <c r="C2095" t="s">
        <v>37</v>
      </c>
      <c r="D2095" t="str">
        <f t="shared" si="194"/>
        <v>FAB2_ Light Light 1L</v>
      </c>
      <c r="E2095">
        <v>2023</v>
      </c>
      <c r="F2095">
        <v>1</v>
      </c>
      <c r="G2095">
        <f t="shared" si="195"/>
        <v>1</v>
      </c>
      <c r="H2095" s="1">
        <f t="shared" si="196"/>
        <v>44928</v>
      </c>
      <c r="I2095" s="1">
        <f t="shared" si="197"/>
        <v>44927</v>
      </c>
      <c r="J2095">
        <v>457804.02</v>
      </c>
      <c r="K2095">
        <v>24780</v>
      </c>
      <c r="L2095">
        <f t="shared" si="193"/>
        <v>18.474738498789346</v>
      </c>
      <c r="M2095">
        <v>2065</v>
      </c>
      <c r="N2095" s="2">
        <f t="shared" si="198"/>
        <v>221.69686198547217</v>
      </c>
      <c r="O2095">
        <v>12</v>
      </c>
    </row>
    <row r="2096" spans="1:15" x14ac:dyDescent="0.25">
      <c r="A2096" t="s">
        <v>46</v>
      </c>
      <c r="B2096" t="s">
        <v>15</v>
      </c>
      <c r="C2096" t="s">
        <v>37</v>
      </c>
      <c r="D2096" t="str">
        <f t="shared" si="194"/>
        <v>FAB2_ Light Light 1L</v>
      </c>
      <c r="E2096">
        <v>2023</v>
      </c>
      <c r="F2096">
        <v>2</v>
      </c>
      <c r="G2096">
        <f t="shared" si="195"/>
        <v>1</v>
      </c>
      <c r="H2096" s="1">
        <f t="shared" si="196"/>
        <v>44935</v>
      </c>
      <c r="I2096" s="1">
        <f t="shared" si="197"/>
        <v>44927</v>
      </c>
      <c r="J2096">
        <v>344160.55000000016</v>
      </c>
      <c r="K2096">
        <v>19188</v>
      </c>
      <c r="L2096">
        <f t="shared" si="193"/>
        <v>17.936238795080268</v>
      </c>
      <c r="M2096">
        <v>1599</v>
      </c>
      <c r="N2096" s="2">
        <f t="shared" si="198"/>
        <v>215.2348655409632</v>
      </c>
      <c r="O2096">
        <v>12</v>
      </c>
    </row>
    <row r="2097" spans="1:15" x14ac:dyDescent="0.25">
      <c r="A2097" t="s">
        <v>46</v>
      </c>
      <c r="B2097" t="s">
        <v>15</v>
      </c>
      <c r="C2097" t="s">
        <v>37</v>
      </c>
      <c r="D2097" t="str">
        <f t="shared" si="194"/>
        <v>FAB2_ Light Light 1L</v>
      </c>
      <c r="E2097">
        <v>2023</v>
      </c>
      <c r="F2097">
        <v>3</v>
      </c>
      <c r="G2097">
        <f t="shared" si="195"/>
        <v>1</v>
      </c>
      <c r="H2097" s="1">
        <f t="shared" si="196"/>
        <v>44942</v>
      </c>
      <c r="I2097" s="1">
        <f t="shared" si="197"/>
        <v>44927</v>
      </c>
      <c r="J2097">
        <v>424871.18</v>
      </c>
      <c r="K2097">
        <v>23700</v>
      </c>
      <c r="L2097">
        <f t="shared" si="193"/>
        <v>17.927054008438819</v>
      </c>
      <c r="M2097">
        <v>1975</v>
      </c>
      <c r="N2097" s="2">
        <f t="shared" si="198"/>
        <v>215.12464810126582</v>
      </c>
      <c r="O2097">
        <v>12</v>
      </c>
    </row>
    <row r="2098" spans="1:15" x14ac:dyDescent="0.25">
      <c r="A2098" t="s">
        <v>46</v>
      </c>
      <c r="B2098" t="s">
        <v>15</v>
      </c>
      <c r="C2098" t="s">
        <v>37</v>
      </c>
      <c r="D2098" t="str">
        <f t="shared" si="194"/>
        <v>FAB2_ Light Light 1L</v>
      </c>
      <c r="E2098">
        <v>2023</v>
      </c>
      <c r="F2098">
        <v>4</v>
      </c>
      <c r="G2098">
        <f t="shared" si="195"/>
        <v>1</v>
      </c>
      <c r="H2098" s="1">
        <f t="shared" si="196"/>
        <v>44949</v>
      </c>
      <c r="I2098" s="1">
        <f t="shared" si="197"/>
        <v>44927</v>
      </c>
      <c r="J2098">
        <v>372641.93999999994</v>
      </c>
      <c r="K2098">
        <v>20772</v>
      </c>
      <c r="L2098">
        <f t="shared" si="193"/>
        <v>17.939627383015594</v>
      </c>
      <c r="M2098">
        <v>1731</v>
      </c>
      <c r="N2098" s="2">
        <f t="shared" si="198"/>
        <v>215.27552859618714</v>
      </c>
      <c r="O2098">
        <v>12</v>
      </c>
    </row>
    <row r="2099" spans="1:15" x14ac:dyDescent="0.25">
      <c r="A2099" t="s">
        <v>46</v>
      </c>
      <c r="B2099" t="s">
        <v>15</v>
      </c>
      <c r="C2099" t="s">
        <v>37</v>
      </c>
      <c r="D2099" t="str">
        <f t="shared" si="194"/>
        <v>FAB2_ Light Light 1L</v>
      </c>
      <c r="E2099">
        <v>2023</v>
      </c>
      <c r="F2099">
        <v>5</v>
      </c>
      <c r="G2099">
        <f t="shared" si="195"/>
        <v>2</v>
      </c>
      <c r="H2099" s="1">
        <f t="shared" si="196"/>
        <v>44956</v>
      </c>
      <c r="I2099" s="1">
        <f t="shared" si="197"/>
        <v>44958</v>
      </c>
      <c r="J2099">
        <v>462226.55999999994</v>
      </c>
      <c r="K2099">
        <v>25128</v>
      </c>
      <c r="L2099">
        <f t="shared" si="193"/>
        <v>18.394880611270295</v>
      </c>
      <c r="M2099">
        <v>2094</v>
      </c>
      <c r="N2099" s="2">
        <f t="shared" si="198"/>
        <v>220.73856733524352</v>
      </c>
      <c r="O2099">
        <v>12</v>
      </c>
    </row>
    <row r="2100" spans="1:15" x14ac:dyDescent="0.25">
      <c r="A2100" t="s">
        <v>46</v>
      </c>
      <c r="B2100" t="s">
        <v>15</v>
      </c>
      <c r="C2100" t="s">
        <v>37</v>
      </c>
      <c r="D2100" t="str">
        <f t="shared" si="194"/>
        <v>FAB2_ Light Light 1L</v>
      </c>
      <c r="E2100">
        <v>2023</v>
      </c>
      <c r="F2100">
        <v>6</v>
      </c>
      <c r="G2100">
        <f t="shared" si="195"/>
        <v>2</v>
      </c>
      <c r="H2100" s="1">
        <f t="shared" si="196"/>
        <v>44963</v>
      </c>
      <c r="I2100" s="1">
        <f t="shared" si="197"/>
        <v>44958</v>
      </c>
      <c r="J2100">
        <v>437455.76</v>
      </c>
      <c r="K2100">
        <v>23928</v>
      </c>
      <c r="L2100">
        <f t="shared" si="193"/>
        <v>18.282169842861919</v>
      </c>
      <c r="M2100">
        <v>1994</v>
      </c>
      <c r="N2100" s="2">
        <f t="shared" si="198"/>
        <v>219.38603811434302</v>
      </c>
      <c r="O2100">
        <v>12</v>
      </c>
    </row>
    <row r="2101" spans="1:15" x14ac:dyDescent="0.25">
      <c r="A2101" t="s">
        <v>46</v>
      </c>
      <c r="B2101" t="s">
        <v>15</v>
      </c>
      <c r="C2101" t="s">
        <v>37</v>
      </c>
      <c r="D2101" t="str">
        <f t="shared" si="194"/>
        <v>FAB2_ Light Light 1L</v>
      </c>
      <c r="E2101">
        <v>2023</v>
      </c>
      <c r="F2101">
        <v>7</v>
      </c>
      <c r="G2101">
        <f t="shared" si="195"/>
        <v>2</v>
      </c>
      <c r="H2101" s="1">
        <f t="shared" si="196"/>
        <v>44970</v>
      </c>
      <c r="I2101" s="1">
        <f t="shared" si="197"/>
        <v>44958</v>
      </c>
      <c r="J2101">
        <v>591987.65</v>
      </c>
      <c r="K2101">
        <v>33912</v>
      </c>
      <c r="L2101">
        <f t="shared" si="193"/>
        <v>17.456583215380988</v>
      </c>
      <c r="M2101">
        <v>2826</v>
      </c>
      <c r="N2101" s="2">
        <f t="shared" si="198"/>
        <v>209.47899858457185</v>
      </c>
      <c r="O2101">
        <v>12</v>
      </c>
    </row>
    <row r="2102" spans="1:15" x14ac:dyDescent="0.25">
      <c r="A2102" t="s">
        <v>46</v>
      </c>
      <c r="B2102" t="s">
        <v>15</v>
      </c>
      <c r="C2102" t="s">
        <v>37</v>
      </c>
      <c r="D2102" t="str">
        <f t="shared" si="194"/>
        <v>FAB2_ Light Light 1L</v>
      </c>
      <c r="E2102">
        <v>2023</v>
      </c>
      <c r="F2102">
        <v>8</v>
      </c>
      <c r="G2102">
        <f t="shared" si="195"/>
        <v>2</v>
      </c>
      <c r="H2102" s="1">
        <f t="shared" si="196"/>
        <v>44977</v>
      </c>
      <c r="I2102" s="1">
        <f t="shared" si="197"/>
        <v>44958</v>
      </c>
      <c r="J2102">
        <v>333117.62</v>
      </c>
      <c r="K2102">
        <v>17748</v>
      </c>
      <c r="L2102">
        <f t="shared" si="193"/>
        <v>18.769304710389903</v>
      </c>
      <c r="M2102">
        <v>1479</v>
      </c>
      <c r="N2102" s="2">
        <f t="shared" si="198"/>
        <v>225.23165652467884</v>
      </c>
      <c r="O2102">
        <v>12</v>
      </c>
    </row>
    <row r="2103" spans="1:15" x14ac:dyDescent="0.25">
      <c r="A2103" t="s">
        <v>46</v>
      </c>
      <c r="B2103" t="s">
        <v>15</v>
      </c>
      <c r="C2103" t="s">
        <v>37</v>
      </c>
      <c r="D2103" t="str">
        <f t="shared" si="194"/>
        <v>FAB2_ Light Light 1L</v>
      </c>
      <c r="E2103">
        <v>2023</v>
      </c>
      <c r="F2103">
        <v>9</v>
      </c>
      <c r="G2103">
        <f t="shared" si="195"/>
        <v>3</v>
      </c>
      <c r="H2103" s="1">
        <f t="shared" si="196"/>
        <v>44984</v>
      </c>
      <c r="I2103" s="1">
        <f t="shared" si="197"/>
        <v>44986</v>
      </c>
      <c r="J2103">
        <v>421220.10000000009</v>
      </c>
      <c r="K2103">
        <v>22464</v>
      </c>
      <c r="L2103">
        <f t="shared" si="193"/>
        <v>18.75089476495727</v>
      </c>
      <c r="M2103">
        <v>1872</v>
      </c>
      <c r="N2103" s="2">
        <f t="shared" si="198"/>
        <v>225.01073717948722</v>
      </c>
      <c r="O2103">
        <v>12</v>
      </c>
    </row>
    <row r="2104" spans="1:15" x14ac:dyDescent="0.25">
      <c r="A2104" t="s">
        <v>46</v>
      </c>
      <c r="B2104" t="s">
        <v>15</v>
      </c>
      <c r="C2104" t="s">
        <v>37</v>
      </c>
      <c r="D2104" t="str">
        <f t="shared" si="194"/>
        <v>FAB2_ Light Light 1L</v>
      </c>
      <c r="E2104">
        <v>2023</v>
      </c>
      <c r="F2104">
        <v>10</v>
      </c>
      <c r="G2104">
        <f t="shared" si="195"/>
        <v>3</v>
      </c>
      <c r="H2104" s="1">
        <f t="shared" si="196"/>
        <v>44991</v>
      </c>
      <c r="I2104" s="1">
        <f t="shared" si="197"/>
        <v>44986</v>
      </c>
      <c r="J2104">
        <v>368143.99999999988</v>
      </c>
      <c r="K2104">
        <v>19692</v>
      </c>
      <c r="L2104">
        <f t="shared" si="193"/>
        <v>18.69510461100954</v>
      </c>
      <c r="M2104">
        <v>1641</v>
      </c>
      <c r="N2104" s="2">
        <f t="shared" si="198"/>
        <v>224.34125533211449</v>
      </c>
      <c r="O2104">
        <v>12</v>
      </c>
    </row>
    <row r="2105" spans="1:15" x14ac:dyDescent="0.25">
      <c r="A2105" t="s">
        <v>46</v>
      </c>
      <c r="B2105" t="s">
        <v>15</v>
      </c>
      <c r="C2105" t="s">
        <v>37</v>
      </c>
      <c r="D2105" t="str">
        <f t="shared" si="194"/>
        <v>FAB2_ Light Light 1L</v>
      </c>
      <c r="E2105">
        <v>2023</v>
      </c>
      <c r="F2105">
        <v>11</v>
      </c>
      <c r="G2105">
        <f t="shared" si="195"/>
        <v>3</v>
      </c>
      <c r="H2105" s="1">
        <f t="shared" si="196"/>
        <v>44998</v>
      </c>
      <c r="I2105" s="1">
        <f t="shared" si="197"/>
        <v>44986</v>
      </c>
      <c r="J2105">
        <v>441890.2099999999</v>
      </c>
      <c r="K2105">
        <v>23700</v>
      </c>
      <c r="L2105">
        <f t="shared" si="193"/>
        <v>18.645156540084383</v>
      </c>
      <c r="M2105">
        <v>1975</v>
      </c>
      <c r="N2105" s="2">
        <f t="shared" si="198"/>
        <v>223.74187848101261</v>
      </c>
      <c r="O2105">
        <v>12</v>
      </c>
    </row>
    <row r="2106" spans="1:15" x14ac:dyDescent="0.25">
      <c r="A2106" t="s">
        <v>46</v>
      </c>
      <c r="B2106" t="s">
        <v>15</v>
      </c>
      <c r="C2106" t="s">
        <v>37</v>
      </c>
      <c r="D2106" t="str">
        <f t="shared" si="194"/>
        <v>FAB2_ Light Light 1L</v>
      </c>
      <c r="E2106">
        <v>2023</v>
      </c>
      <c r="F2106">
        <v>12</v>
      </c>
      <c r="G2106">
        <f t="shared" si="195"/>
        <v>3</v>
      </c>
      <c r="H2106" s="1">
        <f t="shared" si="196"/>
        <v>45005</v>
      </c>
      <c r="I2106" s="1">
        <f t="shared" si="197"/>
        <v>44986</v>
      </c>
      <c r="J2106">
        <v>369959.66000000003</v>
      </c>
      <c r="K2106">
        <v>19692</v>
      </c>
      <c r="L2106">
        <f t="shared" si="193"/>
        <v>18.787307536055252</v>
      </c>
      <c r="M2106">
        <v>1641</v>
      </c>
      <c r="N2106" s="2">
        <f t="shared" si="198"/>
        <v>225.44769043266302</v>
      </c>
      <c r="O2106">
        <v>12</v>
      </c>
    </row>
    <row r="2107" spans="1:15" x14ac:dyDescent="0.25">
      <c r="A2107" t="s">
        <v>46</v>
      </c>
      <c r="B2107" t="s">
        <v>15</v>
      </c>
      <c r="C2107" t="s">
        <v>37</v>
      </c>
      <c r="D2107" t="str">
        <f t="shared" si="194"/>
        <v>FAB2_ Light Light 1L</v>
      </c>
      <c r="E2107">
        <v>2023</v>
      </c>
      <c r="F2107">
        <v>13</v>
      </c>
      <c r="G2107">
        <f t="shared" si="195"/>
        <v>3</v>
      </c>
      <c r="H2107" s="1">
        <f t="shared" si="196"/>
        <v>45012</v>
      </c>
      <c r="I2107" s="1">
        <f t="shared" si="197"/>
        <v>44986</v>
      </c>
      <c r="J2107">
        <v>372567.99999999988</v>
      </c>
      <c r="K2107">
        <v>19980</v>
      </c>
      <c r="L2107">
        <f t="shared" si="193"/>
        <v>18.647047047047042</v>
      </c>
      <c r="M2107">
        <v>1665</v>
      </c>
      <c r="N2107" s="2">
        <f t="shared" si="198"/>
        <v>223.76456456456449</v>
      </c>
      <c r="O2107">
        <v>12</v>
      </c>
    </row>
    <row r="2108" spans="1:15" x14ac:dyDescent="0.25">
      <c r="A2108" t="s">
        <v>46</v>
      </c>
      <c r="B2108" t="s">
        <v>15</v>
      </c>
      <c r="C2108" t="s">
        <v>37</v>
      </c>
      <c r="D2108" t="str">
        <f t="shared" si="194"/>
        <v>FAB2_ Light Light 1L</v>
      </c>
      <c r="E2108">
        <v>2023</v>
      </c>
      <c r="F2108">
        <v>14</v>
      </c>
      <c r="G2108">
        <f t="shared" si="195"/>
        <v>4</v>
      </c>
      <c r="H2108" s="1">
        <f t="shared" si="196"/>
        <v>45019</v>
      </c>
      <c r="I2108" s="1">
        <f t="shared" si="197"/>
        <v>45017</v>
      </c>
      <c r="J2108">
        <v>414771.73999999987</v>
      </c>
      <c r="K2108">
        <v>22716</v>
      </c>
      <c r="L2108">
        <f t="shared" si="193"/>
        <v>18.259013030463105</v>
      </c>
      <c r="M2108">
        <v>1893</v>
      </c>
      <c r="N2108" s="2">
        <f t="shared" si="198"/>
        <v>219.10815636555725</v>
      </c>
      <c r="O2108">
        <v>12</v>
      </c>
    </row>
    <row r="2109" spans="1:15" x14ac:dyDescent="0.25">
      <c r="A2109" t="s">
        <v>46</v>
      </c>
      <c r="B2109" t="s">
        <v>15</v>
      </c>
      <c r="C2109" t="s">
        <v>37</v>
      </c>
      <c r="D2109" t="str">
        <f t="shared" si="194"/>
        <v>FAB2_ Light Light 1L</v>
      </c>
      <c r="E2109">
        <v>2023</v>
      </c>
      <c r="F2109">
        <v>15</v>
      </c>
      <c r="G2109">
        <f t="shared" si="195"/>
        <v>4</v>
      </c>
      <c r="H2109" s="1">
        <f t="shared" si="196"/>
        <v>45026</v>
      </c>
      <c r="I2109" s="1">
        <f t="shared" si="197"/>
        <v>45017</v>
      </c>
      <c r="J2109">
        <v>339715.02999999991</v>
      </c>
      <c r="K2109">
        <v>18468</v>
      </c>
      <c r="L2109">
        <f t="shared" si="193"/>
        <v>18.394792614251674</v>
      </c>
      <c r="M2109">
        <v>1539</v>
      </c>
      <c r="N2109" s="2">
        <f t="shared" si="198"/>
        <v>220.73751137102008</v>
      </c>
      <c r="O2109">
        <v>12</v>
      </c>
    </row>
    <row r="2110" spans="1:15" x14ac:dyDescent="0.25">
      <c r="A2110" t="s">
        <v>46</v>
      </c>
      <c r="B2110" t="s">
        <v>15</v>
      </c>
      <c r="C2110" t="s">
        <v>37</v>
      </c>
      <c r="D2110" t="str">
        <f t="shared" si="194"/>
        <v>FAB2_ Light Light 1L</v>
      </c>
      <c r="E2110">
        <v>2023</v>
      </c>
      <c r="F2110">
        <v>16</v>
      </c>
      <c r="G2110">
        <f t="shared" si="195"/>
        <v>4</v>
      </c>
      <c r="H2110" s="1">
        <f t="shared" si="196"/>
        <v>45033</v>
      </c>
      <c r="I2110" s="1">
        <f t="shared" si="197"/>
        <v>45017</v>
      </c>
      <c r="J2110">
        <v>400443.73000000004</v>
      </c>
      <c r="K2110">
        <v>22056</v>
      </c>
      <c r="L2110">
        <f t="shared" ref="L2110:L2173" si="199">J2110/(M2110*O2110)</f>
        <v>18.155773032281466</v>
      </c>
      <c r="M2110">
        <v>1838</v>
      </c>
      <c r="N2110" s="2">
        <f t="shared" si="198"/>
        <v>217.8692763873776</v>
      </c>
      <c r="O2110">
        <v>12</v>
      </c>
    </row>
    <row r="2111" spans="1:15" x14ac:dyDescent="0.25">
      <c r="A2111" t="s">
        <v>46</v>
      </c>
      <c r="B2111" t="s">
        <v>15</v>
      </c>
      <c r="C2111" t="s">
        <v>37</v>
      </c>
      <c r="D2111" t="str">
        <f t="shared" si="194"/>
        <v>FAB2_ Light Light 1L</v>
      </c>
      <c r="E2111">
        <v>2023</v>
      </c>
      <c r="F2111">
        <v>17</v>
      </c>
      <c r="G2111">
        <f t="shared" si="195"/>
        <v>4</v>
      </c>
      <c r="H2111" s="1">
        <f t="shared" si="196"/>
        <v>45040</v>
      </c>
      <c r="I2111" s="1">
        <f t="shared" si="197"/>
        <v>45017</v>
      </c>
      <c r="J2111">
        <v>524236.08999999991</v>
      </c>
      <c r="K2111">
        <v>31152</v>
      </c>
      <c r="L2111">
        <f t="shared" si="199"/>
        <v>16.828328518233178</v>
      </c>
      <c r="M2111">
        <v>2596</v>
      </c>
      <c r="N2111" s="2">
        <f t="shared" si="198"/>
        <v>201.93994221879811</v>
      </c>
      <c r="O2111">
        <v>12</v>
      </c>
    </row>
    <row r="2112" spans="1:15" x14ac:dyDescent="0.25">
      <c r="A2112" t="s">
        <v>46</v>
      </c>
      <c r="B2112" t="s">
        <v>15</v>
      </c>
      <c r="C2112" t="s">
        <v>37</v>
      </c>
      <c r="D2112" t="str">
        <f t="shared" si="194"/>
        <v>FAB2_ Light Light 1L</v>
      </c>
      <c r="E2112">
        <v>2023</v>
      </c>
      <c r="F2112">
        <v>18</v>
      </c>
      <c r="G2112">
        <f t="shared" si="195"/>
        <v>5</v>
      </c>
      <c r="H2112" s="1">
        <f t="shared" si="196"/>
        <v>45047</v>
      </c>
      <c r="I2112" s="1">
        <f t="shared" si="197"/>
        <v>45047</v>
      </c>
      <c r="J2112">
        <v>477958.66</v>
      </c>
      <c r="K2112">
        <v>27708</v>
      </c>
      <c r="L2112">
        <f t="shared" si="199"/>
        <v>17.249843366536741</v>
      </c>
      <c r="M2112">
        <v>2309</v>
      </c>
      <c r="N2112" s="2">
        <f t="shared" si="198"/>
        <v>206.99812039844088</v>
      </c>
      <c r="O2112">
        <v>12</v>
      </c>
    </row>
    <row r="2113" spans="1:15" x14ac:dyDescent="0.25">
      <c r="A2113" t="s">
        <v>46</v>
      </c>
      <c r="B2113" t="s">
        <v>15</v>
      </c>
      <c r="C2113" t="s">
        <v>37</v>
      </c>
      <c r="D2113" t="str">
        <f t="shared" si="194"/>
        <v>FAB2_ Light Light 1L</v>
      </c>
      <c r="E2113">
        <v>2023</v>
      </c>
      <c r="F2113">
        <v>19</v>
      </c>
      <c r="G2113">
        <f t="shared" si="195"/>
        <v>5</v>
      </c>
      <c r="H2113" s="1">
        <f t="shared" si="196"/>
        <v>45054</v>
      </c>
      <c r="I2113" s="1">
        <f t="shared" si="197"/>
        <v>45047</v>
      </c>
      <c r="J2113">
        <v>354466.96000000014</v>
      </c>
      <c r="K2113">
        <v>20496</v>
      </c>
      <c r="L2113">
        <f t="shared" si="199"/>
        <v>17.294445745511325</v>
      </c>
      <c r="M2113">
        <v>1708</v>
      </c>
      <c r="N2113" s="2">
        <f t="shared" si="198"/>
        <v>207.5333489461359</v>
      </c>
      <c r="O2113">
        <v>12</v>
      </c>
    </row>
    <row r="2114" spans="1:15" x14ac:dyDescent="0.25">
      <c r="A2114" t="s">
        <v>46</v>
      </c>
      <c r="B2114" t="s">
        <v>15</v>
      </c>
      <c r="C2114" t="s">
        <v>37</v>
      </c>
      <c r="D2114" t="str">
        <f t="shared" si="194"/>
        <v>FAB2_ Light Light 1L</v>
      </c>
      <c r="E2114">
        <v>2023</v>
      </c>
      <c r="F2114">
        <v>20</v>
      </c>
      <c r="G2114">
        <f t="shared" si="195"/>
        <v>5</v>
      </c>
      <c r="H2114" s="1">
        <f t="shared" si="196"/>
        <v>45061</v>
      </c>
      <c r="I2114" s="1">
        <f t="shared" si="197"/>
        <v>45047</v>
      </c>
      <c r="J2114">
        <v>367206.32999999984</v>
      </c>
      <c r="K2114">
        <v>21768</v>
      </c>
      <c r="L2114">
        <f t="shared" si="199"/>
        <v>16.86908902976846</v>
      </c>
      <c r="M2114">
        <v>1814</v>
      </c>
      <c r="N2114" s="2">
        <f t="shared" si="198"/>
        <v>202.42906835722152</v>
      </c>
      <c r="O2114">
        <v>12</v>
      </c>
    </row>
    <row r="2115" spans="1:15" x14ac:dyDescent="0.25">
      <c r="A2115" t="s">
        <v>46</v>
      </c>
      <c r="B2115" t="s">
        <v>15</v>
      </c>
      <c r="C2115" t="s">
        <v>37</v>
      </c>
      <c r="D2115" t="str">
        <f t="shared" ref="D2115:D2178" si="200">B2115&amp;"_"&amp;C2115</f>
        <v>FAB2_ Light Light 1L</v>
      </c>
      <c r="E2115">
        <v>2023</v>
      </c>
      <c r="F2115">
        <v>21</v>
      </c>
      <c r="G2115">
        <f t="shared" ref="G2115:G2178" si="201">MONTH(DATE(E2115,1,4)+(F2115-1)*7-WEEKDAY(DATE(E2115,1,4),2)+4)</f>
        <v>5</v>
      </c>
      <c r="H2115" s="1">
        <f t="shared" ref="H2115:H2178" si="202">DATE(E2115,1,-2)-WEEKDAY(DATE(E2115,1,3))+F2115*7</f>
        <v>45068</v>
      </c>
      <c r="I2115" s="1">
        <f t="shared" ref="I2115:I2178" si="203">DATE(E2115,G2115,1)</f>
        <v>45047</v>
      </c>
      <c r="J2115">
        <v>342141.25999999995</v>
      </c>
      <c r="K2115">
        <v>19248</v>
      </c>
      <c r="L2115">
        <f t="shared" si="199"/>
        <v>17.775418744804654</v>
      </c>
      <c r="M2115">
        <v>1604</v>
      </c>
      <c r="N2115" s="2">
        <f t="shared" ref="N2115:N2178" si="204">J2115/M2115</f>
        <v>213.30502493765584</v>
      </c>
      <c r="O2115">
        <v>12</v>
      </c>
    </row>
    <row r="2116" spans="1:15" x14ac:dyDescent="0.25">
      <c r="A2116" t="s">
        <v>46</v>
      </c>
      <c r="B2116" t="s">
        <v>15</v>
      </c>
      <c r="C2116" t="s">
        <v>37</v>
      </c>
      <c r="D2116" t="str">
        <f t="shared" si="200"/>
        <v>FAB2_ Light Light 1L</v>
      </c>
      <c r="E2116">
        <v>2023</v>
      </c>
      <c r="F2116">
        <v>22</v>
      </c>
      <c r="G2116">
        <f t="shared" si="201"/>
        <v>6</v>
      </c>
      <c r="H2116" s="1">
        <f t="shared" si="202"/>
        <v>45075</v>
      </c>
      <c r="I2116" s="1">
        <f t="shared" si="203"/>
        <v>45078</v>
      </c>
      <c r="J2116">
        <v>353438.23999999993</v>
      </c>
      <c r="K2116">
        <v>18912</v>
      </c>
      <c r="L2116">
        <f t="shared" si="199"/>
        <v>18.688570219966156</v>
      </c>
      <c r="M2116">
        <v>1576</v>
      </c>
      <c r="N2116" s="2">
        <f t="shared" si="204"/>
        <v>224.26284263959386</v>
      </c>
      <c r="O2116">
        <v>12</v>
      </c>
    </row>
    <row r="2117" spans="1:15" x14ac:dyDescent="0.25">
      <c r="A2117" t="s">
        <v>46</v>
      </c>
      <c r="B2117" t="s">
        <v>15</v>
      </c>
      <c r="C2117" t="s">
        <v>37</v>
      </c>
      <c r="D2117" t="str">
        <f t="shared" si="200"/>
        <v>FAB2_ Light Light 1L</v>
      </c>
      <c r="E2117">
        <v>2023</v>
      </c>
      <c r="F2117">
        <v>23</v>
      </c>
      <c r="G2117">
        <f t="shared" si="201"/>
        <v>6</v>
      </c>
      <c r="H2117" s="1">
        <f t="shared" si="202"/>
        <v>45082</v>
      </c>
      <c r="I2117" s="1">
        <f t="shared" si="203"/>
        <v>45078</v>
      </c>
      <c r="J2117">
        <v>373235.59</v>
      </c>
      <c r="K2117">
        <v>19932</v>
      </c>
      <c r="L2117">
        <f t="shared" si="199"/>
        <v>18.725446016455951</v>
      </c>
      <c r="M2117">
        <v>1661</v>
      </c>
      <c r="N2117" s="2">
        <f t="shared" si="204"/>
        <v>224.70535219747143</v>
      </c>
      <c r="O2117">
        <v>12</v>
      </c>
    </row>
    <row r="2118" spans="1:15" x14ac:dyDescent="0.25">
      <c r="A2118" t="s">
        <v>46</v>
      </c>
      <c r="B2118" t="s">
        <v>15</v>
      </c>
      <c r="C2118" t="s">
        <v>37</v>
      </c>
      <c r="D2118" t="str">
        <f t="shared" si="200"/>
        <v>FAB2_ Light Light 1L</v>
      </c>
      <c r="E2118">
        <v>2023</v>
      </c>
      <c r="F2118">
        <v>24</v>
      </c>
      <c r="G2118">
        <f t="shared" si="201"/>
        <v>6</v>
      </c>
      <c r="H2118" s="1">
        <f t="shared" si="202"/>
        <v>45089</v>
      </c>
      <c r="I2118" s="1">
        <f t="shared" si="203"/>
        <v>45078</v>
      </c>
      <c r="J2118">
        <v>356776.62000000011</v>
      </c>
      <c r="K2118">
        <v>20640</v>
      </c>
      <c r="L2118">
        <f t="shared" si="199"/>
        <v>17.285688953488378</v>
      </c>
      <c r="M2118">
        <v>1720</v>
      </c>
      <c r="N2118" s="2">
        <f t="shared" si="204"/>
        <v>207.42826744186053</v>
      </c>
      <c r="O2118">
        <v>12</v>
      </c>
    </row>
    <row r="2119" spans="1:15" x14ac:dyDescent="0.25">
      <c r="A2119" t="s">
        <v>46</v>
      </c>
      <c r="B2119" t="s">
        <v>15</v>
      </c>
      <c r="C2119" t="s">
        <v>37</v>
      </c>
      <c r="D2119" t="str">
        <f t="shared" si="200"/>
        <v>FAB2_ Light Light 1L</v>
      </c>
      <c r="E2119">
        <v>2023</v>
      </c>
      <c r="F2119">
        <v>25</v>
      </c>
      <c r="G2119">
        <f t="shared" si="201"/>
        <v>6</v>
      </c>
      <c r="H2119" s="1">
        <f t="shared" si="202"/>
        <v>45096</v>
      </c>
      <c r="I2119" s="1">
        <f t="shared" si="203"/>
        <v>45078</v>
      </c>
      <c r="J2119">
        <v>367996.13999999996</v>
      </c>
      <c r="K2119">
        <v>21852</v>
      </c>
      <c r="L2119">
        <f t="shared" si="199"/>
        <v>16.840387149917625</v>
      </c>
      <c r="M2119">
        <v>1821</v>
      </c>
      <c r="N2119" s="2">
        <f t="shared" si="204"/>
        <v>202.0846457990115</v>
      </c>
      <c r="O2119">
        <v>12</v>
      </c>
    </row>
    <row r="2120" spans="1:15" x14ac:dyDescent="0.25">
      <c r="A2120" t="s">
        <v>46</v>
      </c>
      <c r="B2120" t="s">
        <v>15</v>
      </c>
      <c r="C2120" t="s">
        <v>37</v>
      </c>
      <c r="D2120" t="str">
        <f t="shared" si="200"/>
        <v>FAB2_ Light Light 1L</v>
      </c>
      <c r="E2120">
        <v>2023</v>
      </c>
      <c r="F2120">
        <v>26</v>
      </c>
      <c r="G2120">
        <f t="shared" si="201"/>
        <v>6</v>
      </c>
      <c r="H2120" s="1">
        <f t="shared" si="202"/>
        <v>45103</v>
      </c>
      <c r="I2120" s="1">
        <f t="shared" si="203"/>
        <v>45078</v>
      </c>
      <c r="J2120">
        <v>366050.26000000013</v>
      </c>
      <c r="K2120">
        <v>21912</v>
      </c>
      <c r="L2120">
        <f t="shared" si="199"/>
        <v>16.705470062066453</v>
      </c>
      <c r="M2120">
        <v>1826</v>
      </c>
      <c r="N2120" s="2">
        <f t="shared" si="204"/>
        <v>200.46564074479744</v>
      </c>
      <c r="O2120">
        <v>12</v>
      </c>
    </row>
    <row r="2121" spans="1:15" x14ac:dyDescent="0.25">
      <c r="A2121" t="s">
        <v>46</v>
      </c>
      <c r="B2121" t="s">
        <v>15</v>
      </c>
      <c r="C2121" t="s">
        <v>37</v>
      </c>
      <c r="D2121" t="str">
        <f t="shared" si="200"/>
        <v>FAB2_ Light Light 1L</v>
      </c>
      <c r="E2121">
        <v>2023</v>
      </c>
      <c r="F2121">
        <v>27</v>
      </c>
      <c r="G2121">
        <f t="shared" si="201"/>
        <v>7</v>
      </c>
      <c r="H2121" s="1">
        <f t="shared" si="202"/>
        <v>45110</v>
      </c>
      <c r="I2121" s="1">
        <f t="shared" si="203"/>
        <v>45108</v>
      </c>
      <c r="J2121">
        <v>482239.56999999995</v>
      </c>
      <c r="K2121">
        <v>28932</v>
      </c>
      <c r="L2121">
        <f t="shared" si="199"/>
        <v>16.668034356421952</v>
      </c>
      <c r="M2121">
        <v>2411</v>
      </c>
      <c r="N2121" s="2">
        <f t="shared" si="204"/>
        <v>200.01641227706344</v>
      </c>
      <c r="O2121">
        <v>12</v>
      </c>
    </row>
    <row r="2122" spans="1:15" x14ac:dyDescent="0.25">
      <c r="A2122" t="s">
        <v>46</v>
      </c>
      <c r="B2122" t="s">
        <v>15</v>
      </c>
      <c r="C2122" t="s">
        <v>37</v>
      </c>
      <c r="D2122" t="str">
        <f t="shared" si="200"/>
        <v>FAB2_ Light Light 1L</v>
      </c>
      <c r="E2122">
        <v>2023</v>
      </c>
      <c r="F2122">
        <v>28</v>
      </c>
      <c r="G2122">
        <f t="shared" si="201"/>
        <v>7</v>
      </c>
      <c r="H2122" s="1">
        <f t="shared" si="202"/>
        <v>45117</v>
      </c>
      <c r="I2122" s="1">
        <f t="shared" si="203"/>
        <v>45108</v>
      </c>
      <c r="J2122">
        <v>335805.99999999983</v>
      </c>
      <c r="K2122">
        <v>17496</v>
      </c>
      <c r="L2122">
        <f t="shared" si="199"/>
        <v>19.193301326017366</v>
      </c>
      <c r="M2122">
        <v>1458</v>
      </c>
      <c r="N2122" s="2">
        <f t="shared" si="204"/>
        <v>230.31961591220838</v>
      </c>
      <c r="O2122">
        <v>12</v>
      </c>
    </row>
    <row r="2123" spans="1:15" x14ac:dyDescent="0.25">
      <c r="A2123" t="s">
        <v>46</v>
      </c>
      <c r="B2123" t="s">
        <v>15</v>
      </c>
      <c r="C2123" t="s">
        <v>37</v>
      </c>
      <c r="D2123" t="str">
        <f t="shared" si="200"/>
        <v>FAB2_ Light Light 1L</v>
      </c>
      <c r="E2123">
        <v>2023</v>
      </c>
      <c r="F2123">
        <v>29</v>
      </c>
      <c r="G2123">
        <f t="shared" si="201"/>
        <v>7</v>
      </c>
      <c r="H2123" s="1">
        <f t="shared" si="202"/>
        <v>45124</v>
      </c>
      <c r="I2123" s="1">
        <f t="shared" si="203"/>
        <v>45108</v>
      </c>
      <c r="J2123">
        <v>418320.58000000007</v>
      </c>
      <c r="K2123">
        <v>23604</v>
      </c>
      <c r="L2123">
        <f t="shared" si="199"/>
        <v>17.722444500932049</v>
      </c>
      <c r="M2123">
        <v>1967</v>
      </c>
      <c r="N2123" s="2">
        <f t="shared" si="204"/>
        <v>212.66933401118459</v>
      </c>
      <c r="O2123">
        <v>12</v>
      </c>
    </row>
    <row r="2124" spans="1:15" x14ac:dyDescent="0.25">
      <c r="A2124" t="s">
        <v>46</v>
      </c>
      <c r="B2124" t="s">
        <v>15</v>
      </c>
      <c r="C2124" t="s">
        <v>37</v>
      </c>
      <c r="D2124" t="str">
        <f t="shared" si="200"/>
        <v>FAB2_ Light Light 1L</v>
      </c>
      <c r="E2124">
        <v>2023</v>
      </c>
      <c r="F2124">
        <v>30</v>
      </c>
      <c r="G2124">
        <f t="shared" si="201"/>
        <v>7</v>
      </c>
      <c r="H2124" s="1">
        <f t="shared" si="202"/>
        <v>45131</v>
      </c>
      <c r="I2124" s="1">
        <f t="shared" si="203"/>
        <v>45108</v>
      </c>
      <c r="J2124">
        <v>329084.98</v>
      </c>
      <c r="K2124">
        <v>18312</v>
      </c>
      <c r="L2124">
        <f t="shared" si="199"/>
        <v>17.971001529051986</v>
      </c>
      <c r="M2124">
        <v>1526</v>
      </c>
      <c r="N2124" s="2">
        <f t="shared" si="204"/>
        <v>215.65201834862384</v>
      </c>
      <c r="O2124">
        <v>12</v>
      </c>
    </row>
    <row r="2125" spans="1:15" x14ac:dyDescent="0.25">
      <c r="A2125" t="s">
        <v>46</v>
      </c>
      <c r="B2125" t="s">
        <v>15</v>
      </c>
      <c r="C2125" t="s">
        <v>37</v>
      </c>
      <c r="D2125" t="str">
        <f t="shared" si="200"/>
        <v>FAB2_ Light Light 1L</v>
      </c>
      <c r="E2125">
        <v>2023</v>
      </c>
      <c r="F2125">
        <v>31</v>
      </c>
      <c r="G2125">
        <f t="shared" si="201"/>
        <v>8</v>
      </c>
      <c r="H2125" s="1">
        <f t="shared" si="202"/>
        <v>45138</v>
      </c>
      <c r="I2125" s="1">
        <f t="shared" si="203"/>
        <v>45139</v>
      </c>
      <c r="J2125">
        <v>401670.85999999993</v>
      </c>
      <c r="K2125">
        <v>21192</v>
      </c>
      <c r="L2125">
        <f t="shared" si="199"/>
        <v>18.953891090977724</v>
      </c>
      <c r="M2125">
        <v>1766</v>
      </c>
      <c r="N2125" s="2">
        <f t="shared" si="204"/>
        <v>227.4466930917327</v>
      </c>
      <c r="O2125">
        <v>12</v>
      </c>
    </row>
    <row r="2126" spans="1:15" x14ac:dyDescent="0.25">
      <c r="A2126" t="s">
        <v>46</v>
      </c>
      <c r="B2126" t="s">
        <v>15</v>
      </c>
      <c r="C2126" t="s">
        <v>37</v>
      </c>
      <c r="D2126" t="str">
        <f t="shared" si="200"/>
        <v>FAB2_ Light Light 1L</v>
      </c>
      <c r="E2126">
        <v>2023</v>
      </c>
      <c r="F2126">
        <v>32</v>
      </c>
      <c r="G2126">
        <f t="shared" si="201"/>
        <v>8</v>
      </c>
      <c r="H2126" s="1">
        <f t="shared" si="202"/>
        <v>45145</v>
      </c>
      <c r="I2126" s="1">
        <f t="shared" si="203"/>
        <v>45139</v>
      </c>
      <c r="J2126">
        <v>321634.33999999997</v>
      </c>
      <c r="K2126">
        <v>15540</v>
      </c>
      <c r="L2126">
        <f t="shared" si="199"/>
        <v>20.697190476190475</v>
      </c>
      <c r="M2126">
        <v>1295</v>
      </c>
      <c r="N2126" s="2">
        <f t="shared" si="204"/>
        <v>248.36628571428568</v>
      </c>
      <c r="O2126">
        <v>12</v>
      </c>
    </row>
    <row r="2127" spans="1:15" x14ac:dyDescent="0.25">
      <c r="A2127" t="s">
        <v>46</v>
      </c>
      <c r="B2127" t="s">
        <v>15</v>
      </c>
      <c r="C2127" t="s">
        <v>37</v>
      </c>
      <c r="D2127" t="str">
        <f t="shared" si="200"/>
        <v>FAB2_ Light Light 1L</v>
      </c>
      <c r="E2127">
        <v>2023</v>
      </c>
      <c r="F2127">
        <v>33</v>
      </c>
      <c r="G2127">
        <f t="shared" si="201"/>
        <v>8</v>
      </c>
      <c r="H2127" s="1">
        <f t="shared" si="202"/>
        <v>45152</v>
      </c>
      <c r="I2127" s="1">
        <f t="shared" si="203"/>
        <v>45139</v>
      </c>
      <c r="J2127">
        <v>458559.14</v>
      </c>
      <c r="K2127">
        <v>23964</v>
      </c>
      <c r="L2127">
        <f t="shared" si="199"/>
        <v>19.135333834084459</v>
      </c>
      <c r="M2127">
        <v>1997</v>
      </c>
      <c r="N2127" s="2">
        <f t="shared" si="204"/>
        <v>229.62400600901353</v>
      </c>
      <c r="O2127">
        <v>12</v>
      </c>
    </row>
    <row r="2128" spans="1:15" x14ac:dyDescent="0.25">
      <c r="A2128" t="s">
        <v>46</v>
      </c>
      <c r="B2128" t="s">
        <v>15</v>
      </c>
      <c r="C2128" t="s">
        <v>37</v>
      </c>
      <c r="D2128" t="str">
        <f t="shared" si="200"/>
        <v>FAB2_ Light Light 1L</v>
      </c>
      <c r="E2128">
        <v>2023</v>
      </c>
      <c r="F2128">
        <v>34</v>
      </c>
      <c r="G2128">
        <f t="shared" si="201"/>
        <v>8</v>
      </c>
      <c r="H2128" s="1">
        <f t="shared" si="202"/>
        <v>45159</v>
      </c>
      <c r="I2128" s="1">
        <f t="shared" si="203"/>
        <v>45139</v>
      </c>
      <c r="J2128">
        <v>466220.88999999978</v>
      </c>
      <c r="K2128">
        <v>24360</v>
      </c>
      <c r="L2128">
        <f t="shared" si="199"/>
        <v>19.138788587848925</v>
      </c>
      <c r="M2128">
        <v>2030</v>
      </c>
      <c r="N2128" s="2">
        <f t="shared" si="204"/>
        <v>229.66546305418709</v>
      </c>
      <c r="O2128">
        <v>12</v>
      </c>
    </row>
    <row r="2129" spans="1:15" x14ac:dyDescent="0.25">
      <c r="A2129" t="s">
        <v>46</v>
      </c>
      <c r="B2129" t="s">
        <v>15</v>
      </c>
      <c r="C2129" t="s">
        <v>37</v>
      </c>
      <c r="D2129" t="str">
        <f t="shared" si="200"/>
        <v>FAB2_ Light Light 1L</v>
      </c>
      <c r="E2129">
        <v>2023</v>
      </c>
      <c r="F2129">
        <v>35</v>
      </c>
      <c r="G2129">
        <f t="shared" si="201"/>
        <v>8</v>
      </c>
      <c r="H2129" s="1">
        <f t="shared" si="202"/>
        <v>45166</v>
      </c>
      <c r="I2129" s="1">
        <f t="shared" si="203"/>
        <v>45139</v>
      </c>
      <c r="J2129">
        <v>397684.29999999993</v>
      </c>
      <c r="K2129">
        <v>19572</v>
      </c>
      <c r="L2129">
        <f t="shared" si="199"/>
        <v>20.319042509707742</v>
      </c>
      <c r="M2129">
        <v>1631</v>
      </c>
      <c r="N2129" s="2">
        <f t="shared" si="204"/>
        <v>243.82851011649291</v>
      </c>
      <c r="O2129">
        <v>12</v>
      </c>
    </row>
    <row r="2130" spans="1:15" x14ac:dyDescent="0.25">
      <c r="A2130" t="s">
        <v>46</v>
      </c>
      <c r="B2130" t="s">
        <v>15</v>
      </c>
      <c r="C2130" t="s">
        <v>37</v>
      </c>
      <c r="D2130" t="str">
        <f t="shared" si="200"/>
        <v>FAB2_ Light Light 1L</v>
      </c>
      <c r="E2130">
        <v>2023</v>
      </c>
      <c r="F2130">
        <v>36</v>
      </c>
      <c r="G2130">
        <f t="shared" si="201"/>
        <v>9</v>
      </c>
      <c r="H2130" s="1">
        <f t="shared" si="202"/>
        <v>45173</v>
      </c>
      <c r="I2130" s="1">
        <f t="shared" si="203"/>
        <v>45170</v>
      </c>
      <c r="J2130">
        <v>492628.32999999967</v>
      </c>
      <c r="K2130">
        <v>24708</v>
      </c>
      <c r="L2130">
        <f t="shared" si="199"/>
        <v>19.938009146835018</v>
      </c>
      <c r="M2130">
        <v>2059</v>
      </c>
      <c r="N2130" s="2">
        <f t="shared" si="204"/>
        <v>239.25610976202023</v>
      </c>
      <c r="O2130">
        <v>12</v>
      </c>
    </row>
    <row r="2131" spans="1:15" x14ac:dyDescent="0.25">
      <c r="A2131" t="s">
        <v>46</v>
      </c>
      <c r="B2131" t="s">
        <v>15</v>
      </c>
      <c r="C2131" t="s">
        <v>37</v>
      </c>
      <c r="D2131" t="str">
        <f t="shared" si="200"/>
        <v>FAB2_ Light Light 1L</v>
      </c>
      <c r="E2131">
        <v>2023</v>
      </c>
      <c r="F2131">
        <v>37</v>
      </c>
      <c r="G2131">
        <f t="shared" si="201"/>
        <v>9</v>
      </c>
      <c r="H2131" s="1">
        <f t="shared" si="202"/>
        <v>45180</v>
      </c>
      <c r="I2131" s="1">
        <f t="shared" si="203"/>
        <v>45170</v>
      </c>
      <c r="J2131">
        <v>466914.25999999983</v>
      </c>
      <c r="K2131">
        <v>24072</v>
      </c>
      <c r="L2131">
        <f t="shared" si="199"/>
        <v>19.396571119973405</v>
      </c>
      <c r="M2131">
        <v>2006</v>
      </c>
      <c r="N2131" s="2">
        <f t="shared" si="204"/>
        <v>232.75885343968088</v>
      </c>
      <c r="O2131">
        <v>12</v>
      </c>
    </row>
    <row r="2132" spans="1:15" x14ac:dyDescent="0.25">
      <c r="A2132" t="s">
        <v>46</v>
      </c>
      <c r="B2132" t="s">
        <v>15</v>
      </c>
      <c r="C2132" t="s">
        <v>37</v>
      </c>
      <c r="D2132" t="str">
        <f t="shared" si="200"/>
        <v>FAB2_ Light Light 1L</v>
      </c>
      <c r="E2132">
        <v>2023</v>
      </c>
      <c r="F2132">
        <v>38</v>
      </c>
      <c r="G2132">
        <f t="shared" si="201"/>
        <v>9</v>
      </c>
      <c r="H2132" s="1">
        <f t="shared" si="202"/>
        <v>45187</v>
      </c>
      <c r="I2132" s="1">
        <f t="shared" si="203"/>
        <v>45170</v>
      </c>
      <c r="J2132">
        <v>573727.24999999977</v>
      </c>
      <c r="K2132">
        <v>29448</v>
      </c>
      <c r="L2132">
        <f t="shared" si="199"/>
        <v>19.482723784297736</v>
      </c>
      <c r="M2132">
        <v>2454</v>
      </c>
      <c r="N2132" s="2">
        <f t="shared" si="204"/>
        <v>233.79268541157285</v>
      </c>
      <c r="O2132">
        <v>12</v>
      </c>
    </row>
    <row r="2133" spans="1:15" x14ac:dyDescent="0.25">
      <c r="A2133" t="s">
        <v>46</v>
      </c>
      <c r="B2133" t="s">
        <v>15</v>
      </c>
      <c r="C2133" t="s">
        <v>37</v>
      </c>
      <c r="D2133" t="str">
        <f t="shared" si="200"/>
        <v>FAB2_ Light Light 1L</v>
      </c>
      <c r="E2133">
        <v>2023</v>
      </c>
      <c r="F2133">
        <v>39</v>
      </c>
      <c r="G2133">
        <f t="shared" si="201"/>
        <v>9</v>
      </c>
      <c r="H2133" s="1">
        <f t="shared" si="202"/>
        <v>45194</v>
      </c>
      <c r="I2133" s="1">
        <f t="shared" si="203"/>
        <v>45170</v>
      </c>
      <c r="J2133">
        <v>411483.69999999978</v>
      </c>
      <c r="K2133">
        <v>20604</v>
      </c>
      <c r="L2133">
        <f t="shared" si="199"/>
        <v>19.971059017666462</v>
      </c>
      <c r="M2133">
        <v>1717</v>
      </c>
      <c r="N2133" s="2">
        <f t="shared" si="204"/>
        <v>239.65270821199755</v>
      </c>
      <c r="O2133">
        <v>12</v>
      </c>
    </row>
    <row r="2134" spans="1:15" x14ac:dyDescent="0.25">
      <c r="A2134" t="s">
        <v>46</v>
      </c>
      <c r="B2134" t="s">
        <v>15</v>
      </c>
      <c r="C2134" t="s">
        <v>37</v>
      </c>
      <c r="D2134" t="str">
        <f t="shared" si="200"/>
        <v>FAB2_ Light Light 1L</v>
      </c>
      <c r="E2134">
        <v>2023</v>
      </c>
      <c r="F2134">
        <v>40</v>
      </c>
      <c r="G2134">
        <f t="shared" si="201"/>
        <v>10</v>
      </c>
      <c r="H2134" s="1">
        <f t="shared" si="202"/>
        <v>45201</v>
      </c>
      <c r="I2134" s="1">
        <f t="shared" si="203"/>
        <v>45200</v>
      </c>
      <c r="J2134">
        <v>532253.57999999984</v>
      </c>
      <c r="K2134">
        <v>26760</v>
      </c>
      <c r="L2134">
        <f t="shared" si="199"/>
        <v>19.889894618834074</v>
      </c>
      <c r="M2134">
        <v>2230</v>
      </c>
      <c r="N2134" s="2">
        <f t="shared" si="204"/>
        <v>238.6787354260089</v>
      </c>
      <c r="O2134">
        <v>12</v>
      </c>
    </row>
    <row r="2135" spans="1:15" x14ac:dyDescent="0.25">
      <c r="A2135" t="s">
        <v>46</v>
      </c>
      <c r="B2135" t="s">
        <v>15</v>
      </c>
      <c r="C2135" t="s">
        <v>37</v>
      </c>
      <c r="D2135" t="str">
        <f t="shared" si="200"/>
        <v>FAB2_ Light Light 1L</v>
      </c>
      <c r="E2135">
        <v>2023</v>
      </c>
      <c r="F2135">
        <v>41</v>
      </c>
      <c r="G2135">
        <f t="shared" si="201"/>
        <v>10</v>
      </c>
      <c r="H2135" s="1">
        <f t="shared" si="202"/>
        <v>45208</v>
      </c>
      <c r="I2135" s="1">
        <f t="shared" si="203"/>
        <v>45200</v>
      </c>
      <c r="J2135">
        <v>531581.97999999963</v>
      </c>
      <c r="K2135">
        <v>26928</v>
      </c>
      <c r="L2135">
        <f t="shared" si="199"/>
        <v>19.740863784907887</v>
      </c>
      <c r="M2135">
        <v>2244</v>
      </c>
      <c r="N2135" s="2">
        <f t="shared" si="204"/>
        <v>236.89036541889467</v>
      </c>
      <c r="O2135">
        <v>12</v>
      </c>
    </row>
    <row r="2136" spans="1:15" x14ac:dyDescent="0.25">
      <c r="A2136" t="s">
        <v>46</v>
      </c>
      <c r="B2136" t="s">
        <v>15</v>
      </c>
      <c r="C2136" t="s">
        <v>37</v>
      </c>
      <c r="D2136" t="str">
        <f t="shared" si="200"/>
        <v>FAB2_ Light Light 1L</v>
      </c>
      <c r="E2136">
        <v>2023</v>
      </c>
      <c r="F2136">
        <v>42</v>
      </c>
      <c r="G2136">
        <f t="shared" si="201"/>
        <v>10</v>
      </c>
      <c r="H2136" s="1">
        <f t="shared" si="202"/>
        <v>45215</v>
      </c>
      <c r="I2136" s="1">
        <f t="shared" si="203"/>
        <v>45200</v>
      </c>
      <c r="J2136">
        <v>633409.50999999989</v>
      </c>
      <c r="K2136">
        <v>33156</v>
      </c>
      <c r="L2136">
        <f t="shared" si="199"/>
        <v>19.10391814452889</v>
      </c>
      <c r="M2136">
        <v>2763</v>
      </c>
      <c r="N2136" s="2">
        <f t="shared" si="204"/>
        <v>229.24701773434668</v>
      </c>
      <c r="O2136">
        <v>12</v>
      </c>
    </row>
    <row r="2137" spans="1:15" x14ac:dyDescent="0.25">
      <c r="A2137" t="s">
        <v>46</v>
      </c>
      <c r="B2137" t="s">
        <v>15</v>
      </c>
      <c r="C2137" t="s">
        <v>37</v>
      </c>
      <c r="D2137" t="str">
        <f t="shared" si="200"/>
        <v>FAB2_ Light Light 1L</v>
      </c>
      <c r="E2137">
        <v>2023</v>
      </c>
      <c r="F2137">
        <v>43</v>
      </c>
      <c r="G2137">
        <f t="shared" si="201"/>
        <v>10</v>
      </c>
      <c r="H2137" s="1">
        <f t="shared" si="202"/>
        <v>45222</v>
      </c>
      <c r="I2137" s="1">
        <f t="shared" si="203"/>
        <v>45200</v>
      </c>
      <c r="J2137">
        <v>455891.4599999999</v>
      </c>
      <c r="K2137">
        <v>23880</v>
      </c>
      <c r="L2137">
        <f t="shared" si="199"/>
        <v>19.090932160804016</v>
      </c>
      <c r="M2137">
        <v>1990</v>
      </c>
      <c r="N2137" s="2">
        <f t="shared" si="204"/>
        <v>229.09118592964819</v>
      </c>
      <c r="O2137">
        <v>12</v>
      </c>
    </row>
    <row r="2138" spans="1:15" x14ac:dyDescent="0.25">
      <c r="A2138" t="s">
        <v>46</v>
      </c>
      <c r="B2138" t="s">
        <v>15</v>
      </c>
      <c r="C2138" t="s">
        <v>37</v>
      </c>
      <c r="D2138" t="str">
        <f t="shared" si="200"/>
        <v>FAB2_ Light Light 1L</v>
      </c>
      <c r="E2138">
        <v>2023</v>
      </c>
      <c r="F2138">
        <v>44</v>
      </c>
      <c r="G2138">
        <f t="shared" si="201"/>
        <v>11</v>
      </c>
      <c r="H2138" s="1">
        <f t="shared" si="202"/>
        <v>45229</v>
      </c>
      <c r="I2138" s="1">
        <f t="shared" si="203"/>
        <v>45231</v>
      </c>
      <c r="J2138">
        <v>537947.7899999998</v>
      </c>
      <c r="K2138">
        <v>28692</v>
      </c>
      <c r="L2138">
        <f t="shared" si="199"/>
        <v>18.749051652028434</v>
      </c>
      <c r="M2138">
        <v>2391</v>
      </c>
      <c r="N2138" s="2">
        <f t="shared" si="204"/>
        <v>224.98861982434119</v>
      </c>
      <c r="O2138">
        <v>12</v>
      </c>
    </row>
    <row r="2139" spans="1:15" x14ac:dyDescent="0.25">
      <c r="A2139" t="s">
        <v>46</v>
      </c>
      <c r="B2139" t="s">
        <v>15</v>
      </c>
      <c r="C2139" t="s">
        <v>37</v>
      </c>
      <c r="D2139" t="str">
        <f t="shared" si="200"/>
        <v>FAB2_ Light Light 1L</v>
      </c>
      <c r="E2139">
        <v>2023</v>
      </c>
      <c r="F2139">
        <v>45</v>
      </c>
      <c r="G2139">
        <f t="shared" si="201"/>
        <v>11</v>
      </c>
      <c r="H2139" s="1">
        <f t="shared" si="202"/>
        <v>45236</v>
      </c>
      <c r="I2139" s="1">
        <f t="shared" si="203"/>
        <v>45231</v>
      </c>
      <c r="J2139">
        <v>480049.0199999999</v>
      </c>
      <c r="K2139">
        <v>25704</v>
      </c>
      <c r="L2139">
        <f t="shared" si="199"/>
        <v>18.676043417366945</v>
      </c>
      <c r="M2139">
        <v>2142</v>
      </c>
      <c r="N2139" s="2">
        <f t="shared" si="204"/>
        <v>224.11252100840332</v>
      </c>
      <c r="O2139">
        <v>12</v>
      </c>
    </row>
    <row r="2140" spans="1:15" x14ac:dyDescent="0.25">
      <c r="A2140" t="s">
        <v>46</v>
      </c>
      <c r="B2140" t="s">
        <v>15</v>
      </c>
      <c r="C2140" t="s">
        <v>37</v>
      </c>
      <c r="D2140" t="str">
        <f t="shared" si="200"/>
        <v>FAB2_ Light Light 1L</v>
      </c>
      <c r="E2140">
        <v>2023</v>
      </c>
      <c r="F2140">
        <v>46</v>
      </c>
      <c r="G2140">
        <f t="shared" si="201"/>
        <v>11</v>
      </c>
      <c r="H2140" s="1">
        <f t="shared" si="202"/>
        <v>45243</v>
      </c>
      <c r="I2140" s="1">
        <f t="shared" si="203"/>
        <v>45231</v>
      </c>
      <c r="J2140">
        <v>494446.5500000001</v>
      </c>
      <c r="K2140">
        <v>26076</v>
      </c>
      <c r="L2140">
        <f t="shared" si="199"/>
        <v>18.96174835097408</v>
      </c>
      <c r="M2140">
        <v>2173</v>
      </c>
      <c r="N2140" s="2">
        <f t="shared" si="204"/>
        <v>227.54098021168895</v>
      </c>
      <c r="O2140">
        <v>12</v>
      </c>
    </row>
    <row r="2141" spans="1:15" x14ac:dyDescent="0.25">
      <c r="A2141" t="s">
        <v>46</v>
      </c>
      <c r="B2141" t="s">
        <v>15</v>
      </c>
      <c r="C2141" t="s">
        <v>37</v>
      </c>
      <c r="D2141" t="str">
        <f t="shared" si="200"/>
        <v>FAB2_ Light Light 1L</v>
      </c>
      <c r="E2141">
        <v>2023</v>
      </c>
      <c r="F2141">
        <v>47</v>
      </c>
      <c r="G2141">
        <f t="shared" si="201"/>
        <v>11</v>
      </c>
      <c r="H2141" s="1">
        <f t="shared" si="202"/>
        <v>45250</v>
      </c>
      <c r="I2141" s="1">
        <f t="shared" si="203"/>
        <v>45231</v>
      </c>
      <c r="J2141">
        <v>539458.77</v>
      </c>
      <c r="K2141">
        <v>28632</v>
      </c>
      <c r="L2141">
        <f t="shared" si="199"/>
        <v>18.841113788767814</v>
      </c>
      <c r="M2141">
        <v>2386</v>
      </c>
      <c r="N2141" s="2">
        <f t="shared" si="204"/>
        <v>226.09336546521376</v>
      </c>
      <c r="O2141">
        <v>12</v>
      </c>
    </row>
    <row r="2142" spans="1:15" x14ac:dyDescent="0.25">
      <c r="A2142" t="s">
        <v>46</v>
      </c>
      <c r="B2142" t="s">
        <v>15</v>
      </c>
      <c r="C2142" t="s">
        <v>37</v>
      </c>
      <c r="D2142" t="str">
        <f t="shared" si="200"/>
        <v>FAB2_ Light Light 1L</v>
      </c>
      <c r="E2142">
        <v>2023</v>
      </c>
      <c r="F2142">
        <v>48</v>
      </c>
      <c r="G2142">
        <f t="shared" si="201"/>
        <v>11</v>
      </c>
      <c r="H2142" s="1">
        <f t="shared" si="202"/>
        <v>45257</v>
      </c>
      <c r="I2142" s="1">
        <f t="shared" si="203"/>
        <v>45231</v>
      </c>
      <c r="J2142">
        <v>367986.0499999997</v>
      </c>
      <c r="K2142">
        <v>19440</v>
      </c>
      <c r="L2142">
        <f t="shared" si="199"/>
        <v>18.929323559670767</v>
      </c>
      <c r="M2142">
        <v>1620</v>
      </c>
      <c r="N2142" s="2">
        <f t="shared" si="204"/>
        <v>227.15188271604919</v>
      </c>
      <c r="O2142">
        <v>12</v>
      </c>
    </row>
    <row r="2143" spans="1:15" x14ac:dyDescent="0.25">
      <c r="A2143" t="s">
        <v>46</v>
      </c>
      <c r="B2143" t="s">
        <v>15</v>
      </c>
      <c r="C2143" t="s">
        <v>37</v>
      </c>
      <c r="D2143" t="str">
        <f t="shared" si="200"/>
        <v>FAB2_ Light Light 1L</v>
      </c>
      <c r="E2143">
        <v>2023</v>
      </c>
      <c r="F2143">
        <v>49</v>
      </c>
      <c r="G2143">
        <f t="shared" si="201"/>
        <v>12</v>
      </c>
      <c r="H2143" s="1">
        <f t="shared" si="202"/>
        <v>45264</v>
      </c>
      <c r="I2143" s="1">
        <f t="shared" si="203"/>
        <v>45261</v>
      </c>
      <c r="J2143">
        <v>487818.89999999967</v>
      </c>
      <c r="K2143">
        <v>25464</v>
      </c>
      <c r="L2143">
        <f t="shared" si="199"/>
        <v>19.157198397737972</v>
      </c>
      <c r="M2143">
        <v>2122</v>
      </c>
      <c r="N2143" s="2">
        <f t="shared" si="204"/>
        <v>229.88638077285563</v>
      </c>
      <c r="O2143">
        <v>12</v>
      </c>
    </row>
    <row r="2144" spans="1:15" x14ac:dyDescent="0.25">
      <c r="A2144" t="s">
        <v>46</v>
      </c>
      <c r="B2144" t="s">
        <v>15</v>
      </c>
      <c r="C2144" t="s">
        <v>37</v>
      </c>
      <c r="D2144" t="str">
        <f t="shared" si="200"/>
        <v>FAB2_ Light Light 1L</v>
      </c>
      <c r="E2144">
        <v>2023</v>
      </c>
      <c r="F2144">
        <v>50</v>
      </c>
      <c r="G2144">
        <f t="shared" si="201"/>
        <v>12</v>
      </c>
      <c r="H2144" s="1">
        <f t="shared" si="202"/>
        <v>45271</v>
      </c>
      <c r="I2144" s="1">
        <f t="shared" si="203"/>
        <v>45261</v>
      </c>
      <c r="J2144">
        <v>482180.73000000016</v>
      </c>
      <c r="K2144">
        <v>24468</v>
      </c>
      <c r="L2144">
        <f t="shared" si="199"/>
        <v>19.706585335949001</v>
      </c>
      <c r="M2144">
        <v>2039</v>
      </c>
      <c r="N2144" s="2">
        <f t="shared" si="204"/>
        <v>236.47902403138801</v>
      </c>
      <c r="O2144">
        <v>12</v>
      </c>
    </row>
    <row r="2145" spans="1:15" x14ac:dyDescent="0.25">
      <c r="A2145" t="s">
        <v>46</v>
      </c>
      <c r="B2145" t="s">
        <v>15</v>
      </c>
      <c r="C2145" t="s">
        <v>37</v>
      </c>
      <c r="D2145" t="str">
        <f t="shared" si="200"/>
        <v>FAB2_ Light Light 1L</v>
      </c>
      <c r="E2145">
        <v>2023</v>
      </c>
      <c r="F2145">
        <v>51</v>
      </c>
      <c r="G2145">
        <f t="shared" si="201"/>
        <v>12</v>
      </c>
      <c r="H2145" s="1">
        <f t="shared" si="202"/>
        <v>45278</v>
      </c>
      <c r="I2145" s="1">
        <f t="shared" si="203"/>
        <v>45261</v>
      </c>
      <c r="J2145">
        <v>507936.93000000005</v>
      </c>
      <c r="K2145">
        <v>27036</v>
      </c>
      <c r="L2145">
        <f t="shared" si="199"/>
        <v>18.787428983577453</v>
      </c>
      <c r="M2145">
        <v>2253</v>
      </c>
      <c r="N2145" s="2">
        <f t="shared" si="204"/>
        <v>225.44914780292945</v>
      </c>
      <c r="O2145">
        <v>12</v>
      </c>
    </row>
    <row r="2146" spans="1:15" x14ac:dyDescent="0.25">
      <c r="A2146" t="s">
        <v>46</v>
      </c>
      <c r="B2146" t="s">
        <v>15</v>
      </c>
      <c r="C2146" t="s">
        <v>37</v>
      </c>
      <c r="D2146" t="str">
        <f t="shared" si="200"/>
        <v>FAB2_ Light Light 1L</v>
      </c>
      <c r="E2146">
        <v>2023</v>
      </c>
      <c r="F2146">
        <v>52</v>
      </c>
      <c r="G2146">
        <f t="shared" si="201"/>
        <v>12</v>
      </c>
      <c r="H2146" s="1">
        <f t="shared" si="202"/>
        <v>45285</v>
      </c>
      <c r="I2146" s="1">
        <f t="shared" si="203"/>
        <v>45261</v>
      </c>
      <c r="J2146">
        <v>410016.99000000005</v>
      </c>
      <c r="K2146">
        <v>21816</v>
      </c>
      <c r="L2146">
        <f t="shared" si="199"/>
        <v>18.794324807480752</v>
      </c>
      <c r="M2146">
        <v>1818</v>
      </c>
      <c r="N2146" s="2">
        <f t="shared" si="204"/>
        <v>225.53189768976901</v>
      </c>
      <c r="O2146">
        <v>12</v>
      </c>
    </row>
    <row r="2147" spans="1:15" x14ac:dyDescent="0.25">
      <c r="A2147" t="s">
        <v>46</v>
      </c>
      <c r="B2147" t="s">
        <v>15</v>
      </c>
      <c r="C2147" t="s">
        <v>37</v>
      </c>
      <c r="D2147" t="str">
        <f t="shared" si="200"/>
        <v>FAB2_ Light Light 1L</v>
      </c>
      <c r="E2147">
        <v>2024</v>
      </c>
      <c r="F2147">
        <v>1</v>
      </c>
      <c r="G2147">
        <f t="shared" si="201"/>
        <v>1</v>
      </c>
      <c r="H2147" s="1">
        <f t="shared" si="202"/>
        <v>45292</v>
      </c>
      <c r="I2147" s="1">
        <f t="shared" si="203"/>
        <v>45292</v>
      </c>
      <c r="J2147">
        <v>473605.30999999988</v>
      </c>
      <c r="K2147">
        <v>23088</v>
      </c>
      <c r="L2147">
        <f t="shared" si="199"/>
        <v>20.513050502425497</v>
      </c>
      <c r="M2147">
        <v>1924</v>
      </c>
      <c r="N2147" s="2">
        <f t="shared" si="204"/>
        <v>246.15660602910597</v>
      </c>
      <c r="O2147">
        <v>12</v>
      </c>
    </row>
    <row r="2148" spans="1:15" x14ac:dyDescent="0.25">
      <c r="A2148" t="s">
        <v>46</v>
      </c>
      <c r="B2148" t="s">
        <v>15</v>
      </c>
      <c r="C2148" t="s">
        <v>37</v>
      </c>
      <c r="D2148" t="str">
        <f t="shared" si="200"/>
        <v>FAB2_ Light Light 1L</v>
      </c>
      <c r="E2148">
        <v>2024</v>
      </c>
      <c r="F2148">
        <v>2</v>
      </c>
      <c r="G2148">
        <f t="shared" si="201"/>
        <v>1</v>
      </c>
      <c r="H2148" s="1">
        <f t="shared" si="202"/>
        <v>45299</v>
      </c>
      <c r="I2148" s="1">
        <f t="shared" si="203"/>
        <v>45292</v>
      </c>
      <c r="J2148">
        <v>406515.43999999983</v>
      </c>
      <c r="K2148">
        <v>19752</v>
      </c>
      <c r="L2148">
        <f t="shared" si="199"/>
        <v>20.580976103685693</v>
      </c>
      <c r="M2148">
        <v>1646</v>
      </c>
      <c r="N2148" s="2">
        <f t="shared" si="204"/>
        <v>246.97171324422834</v>
      </c>
      <c r="O2148">
        <v>12</v>
      </c>
    </row>
    <row r="2149" spans="1:15" x14ac:dyDescent="0.25">
      <c r="A2149" t="s">
        <v>46</v>
      </c>
      <c r="B2149" t="s">
        <v>15</v>
      </c>
      <c r="C2149" t="s">
        <v>37</v>
      </c>
      <c r="D2149" t="str">
        <f t="shared" si="200"/>
        <v>FAB2_ Light Light 1L</v>
      </c>
      <c r="E2149">
        <v>2024</v>
      </c>
      <c r="F2149">
        <v>3</v>
      </c>
      <c r="G2149">
        <f t="shared" si="201"/>
        <v>1</v>
      </c>
      <c r="H2149" s="1">
        <f t="shared" si="202"/>
        <v>45306</v>
      </c>
      <c r="I2149" s="1">
        <f t="shared" si="203"/>
        <v>45292</v>
      </c>
      <c r="J2149">
        <v>409938.70999999967</v>
      </c>
      <c r="K2149">
        <v>20232</v>
      </c>
      <c r="L2149">
        <f t="shared" si="199"/>
        <v>20.26189748912612</v>
      </c>
      <c r="M2149">
        <v>1686</v>
      </c>
      <c r="N2149" s="2">
        <f t="shared" si="204"/>
        <v>243.14276986951344</v>
      </c>
      <c r="O2149">
        <v>12</v>
      </c>
    </row>
    <row r="2150" spans="1:15" x14ac:dyDescent="0.25">
      <c r="A2150" t="s">
        <v>46</v>
      </c>
      <c r="B2150" t="s">
        <v>15</v>
      </c>
      <c r="C2150" t="s">
        <v>37</v>
      </c>
      <c r="D2150" t="str">
        <f t="shared" si="200"/>
        <v>FAB2_ Light Light 1L</v>
      </c>
      <c r="E2150">
        <v>2024</v>
      </c>
      <c r="F2150">
        <v>4</v>
      </c>
      <c r="G2150">
        <f t="shared" si="201"/>
        <v>1</v>
      </c>
      <c r="H2150" s="1">
        <f t="shared" si="202"/>
        <v>45313</v>
      </c>
      <c r="I2150" s="1">
        <f t="shared" si="203"/>
        <v>45292</v>
      </c>
      <c r="J2150">
        <v>416793.45999999973</v>
      </c>
      <c r="K2150">
        <v>20268</v>
      </c>
      <c r="L2150">
        <f t="shared" si="199"/>
        <v>20.564113874087219</v>
      </c>
      <c r="M2150">
        <v>1689</v>
      </c>
      <c r="N2150" s="2">
        <f t="shared" si="204"/>
        <v>246.7693664890466</v>
      </c>
      <c r="O2150">
        <v>12</v>
      </c>
    </row>
    <row r="2151" spans="1:15" x14ac:dyDescent="0.25">
      <c r="A2151" t="s">
        <v>46</v>
      </c>
      <c r="B2151" t="s">
        <v>15</v>
      </c>
      <c r="C2151" t="s">
        <v>37</v>
      </c>
      <c r="D2151" t="str">
        <f t="shared" si="200"/>
        <v>FAB2_ Light Light 1L</v>
      </c>
      <c r="E2151">
        <v>2024</v>
      </c>
      <c r="F2151">
        <v>5</v>
      </c>
      <c r="G2151">
        <f t="shared" si="201"/>
        <v>2</v>
      </c>
      <c r="H2151" s="1">
        <f t="shared" si="202"/>
        <v>45320</v>
      </c>
      <c r="I2151" s="1">
        <f t="shared" si="203"/>
        <v>45323</v>
      </c>
      <c r="J2151">
        <v>520785.22999999946</v>
      </c>
      <c r="K2151">
        <v>25284</v>
      </c>
      <c r="L2151">
        <f t="shared" si="199"/>
        <v>20.597422480620132</v>
      </c>
      <c r="M2151">
        <v>2107</v>
      </c>
      <c r="N2151" s="2">
        <f t="shared" si="204"/>
        <v>247.16906976744161</v>
      </c>
      <c r="O2151">
        <v>12</v>
      </c>
    </row>
    <row r="2152" spans="1:15" x14ac:dyDescent="0.25">
      <c r="A2152" t="s">
        <v>46</v>
      </c>
      <c r="B2152" t="s">
        <v>15</v>
      </c>
      <c r="C2152" t="s">
        <v>37</v>
      </c>
      <c r="D2152" t="str">
        <f t="shared" si="200"/>
        <v>FAB2_ Light Light 1L</v>
      </c>
      <c r="E2152">
        <v>2024</v>
      </c>
      <c r="F2152">
        <v>6</v>
      </c>
      <c r="G2152">
        <f t="shared" si="201"/>
        <v>2</v>
      </c>
      <c r="H2152" s="1">
        <f t="shared" si="202"/>
        <v>45327</v>
      </c>
      <c r="I2152" s="1">
        <f t="shared" si="203"/>
        <v>45323</v>
      </c>
      <c r="J2152">
        <v>435405.31999999977</v>
      </c>
      <c r="K2152">
        <v>21372</v>
      </c>
      <c r="L2152">
        <f t="shared" si="199"/>
        <v>20.372698858319286</v>
      </c>
      <c r="M2152">
        <v>1781</v>
      </c>
      <c r="N2152" s="2">
        <f t="shared" si="204"/>
        <v>244.47238629983144</v>
      </c>
      <c r="O2152">
        <v>12</v>
      </c>
    </row>
    <row r="2153" spans="1:15" x14ac:dyDescent="0.25">
      <c r="A2153" t="s">
        <v>46</v>
      </c>
      <c r="B2153" t="s">
        <v>15</v>
      </c>
      <c r="C2153" t="s">
        <v>37</v>
      </c>
      <c r="D2153" t="str">
        <f t="shared" si="200"/>
        <v>FAB2_ Light Light 1L</v>
      </c>
      <c r="E2153">
        <v>2024</v>
      </c>
      <c r="F2153">
        <v>7</v>
      </c>
      <c r="G2153">
        <f t="shared" si="201"/>
        <v>2</v>
      </c>
      <c r="H2153" s="1">
        <f t="shared" si="202"/>
        <v>45334</v>
      </c>
      <c r="I2153" s="1">
        <f t="shared" si="203"/>
        <v>45323</v>
      </c>
      <c r="J2153">
        <v>454556.57999999978</v>
      </c>
      <c r="K2153">
        <v>21084</v>
      </c>
      <c r="L2153">
        <f t="shared" si="199"/>
        <v>21.559314171883884</v>
      </c>
      <c r="M2153">
        <v>1757</v>
      </c>
      <c r="N2153" s="2">
        <f t="shared" si="204"/>
        <v>258.7117700626066</v>
      </c>
      <c r="O2153">
        <v>12</v>
      </c>
    </row>
    <row r="2154" spans="1:15" x14ac:dyDescent="0.25">
      <c r="A2154" t="s">
        <v>46</v>
      </c>
      <c r="B2154" t="s">
        <v>15</v>
      </c>
      <c r="C2154" t="s">
        <v>37</v>
      </c>
      <c r="D2154" t="str">
        <f t="shared" si="200"/>
        <v>FAB2_ Light Light 1L</v>
      </c>
      <c r="E2154">
        <v>2024</v>
      </c>
      <c r="F2154">
        <v>8</v>
      </c>
      <c r="G2154">
        <f t="shared" si="201"/>
        <v>2</v>
      </c>
      <c r="H2154" s="1">
        <f t="shared" si="202"/>
        <v>45341</v>
      </c>
      <c r="I2154" s="1">
        <f t="shared" si="203"/>
        <v>45323</v>
      </c>
      <c r="J2154">
        <v>460973.6299999996</v>
      </c>
      <c r="K2154">
        <v>21744</v>
      </c>
      <c r="L2154">
        <f t="shared" si="199"/>
        <v>21.200038171449577</v>
      </c>
      <c r="M2154">
        <v>1812</v>
      </c>
      <c r="N2154" s="2">
        <f t="shared" si="204"/>
        <v>254.40045805739493</v>
      </c>
      <c r="O2154">
        <v>12</v>
      </c>
    </row>
    <row r="2155" spans="1:15" x14ac:dyDescent="0.25">
      <c r="A2155" t="s">
        <v>46</v>
      </c>
      <c r="B2155" t="s">
        <v>15</v>
      </c>
      <c r="C2155" t="s">
        <v>37</v>
      </c>
      <c r="D2155" t="str">
        <f t="shared" si="200"/>
        <v>FAB2_ Light Light 1L</v>
      </c>
      <c r="E2155">
        <v>2024</v>
      </c>
      <c r="F2155">
        <v>9</v>
      </c>
      <c r="G2155">
        <f t="shared" si="201"/>
        <v>2</v>
      </c>
      <c r="H2155" s="1">
        <f t="shared" si="202"/>
        <v>45348</v>
      </c>
      <c r="I2155" s="1">
        <f t="shared" si="203"/>
        <v>45323</v>
      </c>
      <c r="J2155">
        <v>390342.33999999997</v>
      </c>
      <c r="K2155">
        <v>18144</v>
      </c>
      <c r="L2155">
        <f t="shared" si="199"/>
        <v>21.513576940035271</v>
      </c>
      <c r="M2155">
        <v>1512</v>
      </c>
      <c r="N2155" s="2">
        <f t="shared" si="204"/>
        <v>258.16292328042329</v>
      </c>
      <c r="O2155">
        <v>12</v>
      </c>
    </row>
    <row r="2156" spans="1:15" x14ac:dyDescent="0.25">
      <c r="A2156" t="s">
        <v>46</v>
      </c>
      <c r="B2156" t="s">
        <v>15</v>
      </c>
      <c r="C2156" t="s">
        <v>37</v>
      </c>
      <c r="D2156" t="str">
        <f t="shared" si="200"/>
        <v>FAB2_ Light Light 1L</v>
      </c>
      <c r="E2156">
        <v>2024</v>
      </c>
      <c r="F2156">
        <v>10</v>
      </c>
      <c r="G2156">
        <f t="shared" si="201"/>
        <v>3</v>
      </c>
      <c r="H2156" s="1">
        <f t="shared" si="202"/>
        <v>45355</v>
      </c>
      <c r="I2156" s="1">
        <f t="shared" si="203"/>
        <v>45352</v>
      </c>
      <c r="J2156">
        <v>494733.93999999983</v>
      </c>
      <c r="K2156">
        <v>23100</v>
      </c>
      <c r="L2156">
        <f t="shared" si="199"/>
        <v>21.417053679653673</v>
      </c>
      <c r="M2156">
        <v>1925</v>
      </c>
      <c r="N2156" s="2">
        <f t="shared" si="204"/>
        <v>257.00464415584406</v>
      </c>
      <c r="O2156">
        <v>12</v>
      </c>
    </row>
    <row r="2157" spans="1:15" x14ac:dyDescent="0.25">
      <c r="A2157" t="s">
        <v>46</v>
      </c>
      <c r="B2157" t="s">
        <v>15</v>
      </c>
      <c r="C2157" t="s">
        <v>37</v>
      </c>
      <c r="D2157" t="str">
        <f t="shared" si="200"/>
        <v>FAB2_ Light Light 1L</v>
      </c>
      <c r="E2157">
        <v>2024</v>
      </c>
      <c r="F2157">
        <v>11</v>
      </c>
      <c r="G2157">
        <f t="shared" si="201"/>
        <v>3</v>
      </c>
      <c r="H2157" s="1">
        <f t="shared" si="202"/>
        <v>45362</v>
      </c>
      <c r="I2157" s="1">
        <f t="shared" si="203"/>
        <v>45352</v>
      </c>
      <c r="J2157">
        <v>456406.52000000008</v>
      </c>
      <c r="K2157">
        <v>21864</v>
      </c>
      <c r="L2157">
        <f t="shared" si="199"/>
        <v>20.874795096963048</v>
      </c>
      <c r="M2157">
        <v>1822</v>
      </c>
      <c r="N2157" s="2">
        <f t="shared" si="204"/>
        <v>250.49754116355658</v>
      </c>
      <c r="O2157">
        <v>12</v>
      </c>
    </row>
    <row r="2158" spans="1:15" x14ac:dyDescent="0.25">
      <c r="A2158" t="s">
        <v>46</v>
      </c>
      <c r="B2158" t="s">
        <v>15</v>
      </c>
      <c r="C2158" t="s">
        <v>37</v>
      </c>
      <c r="D2158" t="str">
        <f t="shared" si="200"/>
        <v>FAB2_ Light Light 1L</v>
      </c>
      <c r="E2158">
        <v>2024</v>
      </c>
      <c r="F2158">
        <v>12</v>
      </c>
      <c r="G2158">
        <f t="shared" si="201"/>
        <v>3</v>
      </c>
      <c r="H2158" s="1">
        <f t="shared" si="202"/>
        <v>45369</v>
      </c>
      <c r="I2158" s="1">
        <f t="shared" si="203"/>
        <v>45352</v>
      </c>
      <c r="J2158">
        <v>396859.5400000001</v>
      </c>
      <c r="K2158">
        <v>19320</v>
      </c>
      <c r="L2158">
        <f t="shared" si="199"/>
        <v>20.541384057971019</v>
      </c>
      <c r="M2158">
        <v>1610</v>
      </c>
      <c r="N2158" s="2">
        <f t="shared" si="204"/>
        <v>246.49660869565224</v>
      </c>
      <c r="O2158">
        <v>12</v>
      </c>
    </row>
    <row r="2159" spans="1:15" x14ac:dyDescent="0.25">
      <c r="A2159" t="s">
        <v>46</v>
      </c>
      <c r="B2159" t="s">
        <v>15</v>
      </c>
      <c r="C2159" t="s">
        <v>37</v>
      </c>
      <c r="D2159" t="str">
        <f t="shared" si="200"/>
        <v>FAB2_ Light Light 1L</v>
      </c>
      <c r="E2159">
        <v>2024</v>
      </c>
      <c r="F2159">
        <v>13</v>
      </c>
      <c r="G2159">
        <f t="shared" si="201"/>
        <v>3</v>
      </c>
      <c r="H2159" s="1">
        <f t="shared" si="202"/>
        <v>45376</v>
      </c>
      <c r="I2159" s="1">
        <f t="shared" si="203"/>
        <v>45352</v>
      </c>
      <c r="J2159">
        <v>412294.79999999981</v>
      </c>
      <c r="K2159">
        <v>19692</v>
      </c>
      <c r="L2159">
        <f t="shared" si="199"/>
        <v>20.937172455819614</v>
      </c>
      <c r="M2159">
        <v>1641</v>
      </c>
      <c r="N2159" s="2">
        <f t="shared" si="204"/>
        <v>251.24606946983536</v>
      </c>
      <c r="O2159">
        <v>12</v>
      </c>
    </row>
    <row r="2160" spans="1:15" x14ac:dyDescent="0.25">
      <c r="A2160" t="s">
        <v>46</v>
      </c>
      <c r="B2160" t="s">
        <v>15</v>
      </c>
      <c r="C2160" t="s">
        <v>37</v>
      </c>
      <c r="D2160" t="str">
        <f t="shared" si="200"/>
        <v>FAB2_ Light Light 1L</v>
      </c>
      <c r="E2160">
        <v>2024</v>
      </c>
      <c r="F2160">
        <v>14</v>
      </c>
      <c r="G2160">
        <f t="shared" si="201"/>
        <v>4</v>
      </c>
      <c r="H2160" s="1">
        <f t="shared" si="202"/>
        <v>45383</v>
      </c>
      <c r="I2160" s="1">
        <f t="shared" si="203"/>
        <v>45383</v>
      </c>
      <c r="J2160">
        <v>464150.87999999977</v>
      </c>
      <c r="K2160">
        <v>22404</v>
      </c>
      <c r="L2160">
        <f t="shared" si="199"/>
        <v>20.717321906802347</v>
      </c>
      <c r="M2160">
        <v>1867</v>
      </c>
      <c r="N2160" s="2">
        <f t="shared" si="204"/>
        <v>248.60786288162817</v>
      </c>
      <c r="O2160">
        <v>12</v>
      </c>
    </row>
    <row r="2161" spans="1:15" x14ac:dyDescent="0.25">
      <c r="A2161" t="s">
        <v>46</v>
      </c>
      <c r="B2161" t="s">
        <v>15</v>
      </c>
      <c r="C2161" t="s">
        <v>37</v>
      </c>
      <c r="D2161" t="str">
        <f t="shared" si="200"/>
        <v>FAB2_ Light Light 1L</v>
      </c>
      <c r="E2161">
        <v>2024</v>
      </c>
      <c r="F2161">
        <v>15</v>
      </c>
      <c r="G2161">
        <f t="shared" si="201"/>
        <v>4</v>
      </c>
      <c r="H2161" s="1">
        <f t="shared" si="202"/>
        <v>45390</v>
      </c>
      <c r="I2161" s="1">
        <f t="shared" si="203"/>
        <v>45383</v>
      </c>
      <c r="J2161">
        <v>392195.94999999984</v>
      </c>
      <c r="K2161">
        <v>19524</v>
      </c>
      <c r="L2161">
        <f t="shared" si="199"/>
        <v>20.087889264494972</v>
      </c>
      <c r="M2161">
        <v>1627</v>
      </c>
      <c r="N2161" s="2">
        <f t="shared" si="204"/>
        <v>241.05467117393965</v>
      </c>
      <c r="O2161">
        <v>12</v>
      </c>
    </row>
    <row r="2162" spans="1:15" x14ac:dyDescent="0.25">
      <c r="A2162" t="s">
        <v>46</v>
      </c>
      <c r="B2162" t="s">
        <v>15</v>
      </c>
      <c r="C2162" t="s">
        <v>37</v>
      </c>
      <c r="D2162" t="str">
        <f t="shared" si="200"/>
        <v>FAB2_ Light Light 1L</v>
      </c>
      <c r="E2162">
        <v>2024</v>
      </c>
      <c r="F2162">
        <v>16</v>
      </c>
      <c r="G2162">
        <f t="shared" si="201"/>
        <v>4</v>
      </c>
      <c r="H2162" s="1">
        <f t="shared" si="202"/>
        <v>45397</v>
      </c>
      <c r="I2162" s="1">
        <f t="shared" si="203"/>
        <v>45383</v>
      </c>
      <c r="J2162">
        <v>428671.13999999978</v>
      </c>
      <c r="K2162">
        <v>21384</v>
      </c>
      <c r="L2162">
        <f t="shared" si="199"/>
        <v>20.046349607182929</v>
      </c>
      <c r="M2162">
        <v>1782</v>
      </c>
      <c r="N2162" s="2">
        <f t="shared" si="204"/>
        <v>240.55619528619516</v>
      </c>
      <c r="O2162">
        <v>12</v>
      </c>
    </row>
    <row r="2163" spans="1:15" x14ac:dyDescent="0.25">
      <c r="A2163" t="s">
        <v>46</v>
      </c>
      <c r="B2163" t="s">
        <v>15</v>
      </c>
      <c r="C2163" t="s">
        <v>37</v>
      </c>
      <c r="D2163" t="str">
        <f t="shared" si="200"/>
        <v>FAB2_ Light Light 1L</v>
      </c>
      <c r="E2163">
        <v>2024</v>
      </c>
      <c r="F2163">
        <v>17</v>
      </c>
      <c r="G2163">
        <f t="shared" si="201"/>
        <v>4</v>
      </c>
      <c r="H2163" s="1">
        <f t="shared" si="202"/>
        <v>45404</v>
      </c>
      <c r="I2163" s="1">
        <f t="shared" si="203"/>
        <v>45383</v>
      </c>
      <c r="J2163">
        <v>439563.65</v>
      </c>
      <c r="K2163">
        <v>22788</v>
      </c>
      <c r="L2163">
        <f t="shared" si="199"/>
        <v>19.289259698086713</v>
      </c>
      <c r="M2163">
        <v>1899</v>
      </c>
      <c r="N2163" s="2">
        <f t="shared" si="204"/>
        <v>231.47111637704057</v>
      </c>
      <c r="O2163">
        <v>12</v>
      </c>
    </row>
    <row r="2164" spans="1:15" x14ac:dyDescent="0.25">
      <c r="A2164" t="s">
        <v>46</v>
      </c>
      <c r="B2164" t="s">
        <v>15</v>
      </c>
      <c r="C2164" t="s">
        <v>37</v>
      </c>
      <c r="D2164" t="str">
        <f t="shared" si="200"/>
        <v>FAB2_ Light Light 1L</v>
      </c>
      <c r="E2164">
        <v>2024</v>
      </c>
      <c r="F2164">
        <v>18</v>
      </c>
      <c r="G2164">
        <f t="shared" si="201"/>
        <v>5</v>
      </c>
      <c r="H2164" s="1">
        <f t="shared" si="202"/>
        <v>45411</v>
      </c>
      <c r="I2164" s="1">
        <f t="shared" si="203"/>
        <v>45413</v>
      </c>
      <c r="J2164">
        <v>589058.19999999995</v>
      </c>
      <c r="K2164">
        <v>30936</v>
      </c>
      <c r="L2164">
        <f t="shared" si="199"/>
        <v>19.04118825963279</v>
      </c>
      <c r="M2164">
        <v>2578</v>
      </c>
      <c r="N2164" s="2">
        <f t="shared" si="204"/>
        <v>228.49425911559348</v>
      </c>
      <c r="O2164">
        <v>12</v>
      </c>
    </row>
    <row r="2165" spans="1:15" x14ac:dyDescent="0.25">
      <c r="A2165" t="s">
        <v>46</v>
      </c>
      <c r="B2165" t="s">
        <v>15</v>
      </c>
      <c r="C2165" t="s">
        <v>37</v>
      </c>
      <c r="D2165" t="str">
        <f t="shared" si="200"/>
        <v>FAB2_ Light Light 1L</v>
      </c>
      <c r="E2165">
        <v>2024</v>
      </c>
      <c r="F2165">
        <v>19</v>
      </c>
      <c r="G2165">
        <f t="shared" si="201"/>
        <v>5</v>
      </c>
      <c r="H2165" s="1">
        <f t="shared" si="202"/>
        <v>45418</v>
      </c>
      <c r="I2165" s="1">
        <f t="shared" si="203"/>
        <v>45413</v>
      </c>
      <c r="J2165">
        <v>452932.81000000006</v>
      </c>
      <c r="K2165">
        <v>23736</v>
      </c>
      <c r="L2165">
        <f t="shared" si="199"/>
        <v>19.08210355578025</v>
      </c>
      <c r="M2165">
        <v>1978</v>
      </c>
      <c r="N2165" s="2">
        <f t="shared" si="204"/>
        <v>228.98524266936303</v>
      </c>
      <c r="O2165">
        <v>12</v>
      </c>
    </row>
    <row r="2166" spans="1:15" x14ac:dyDescent="0.25">
      <c r="A2166" t="s">
        <v>46</v>
      </c>
      <c r="B2166" t="s">
        <v>15</v>
      </c>
      <c r="C2166" t="s">
        <v>37</v>
      </c>
      <c r="D2166" t="str">
        <f t="shared" si="200"/>
        <v>FAB2_ Light Light 1L</v>
      </c>
      <c r="E2166">
        <v>2024</v>
      </c>
      <c r="F2166">
        <v>20</v>
      </c>
      <c r="G2166">
        <f t="shared" si="201"/>
        <v>5</v>
      </c>
      <c r="H2166" s="1">
        <f t="shared" si="202"/>
        <v>45425</v>
      </c>
      <c r="I2166" s="1">
        <f t="shared" si="203"/>
        <v>45413</v>
      </c>
      <c r="J2166">
        <v>522795.75999999983</v>
      </c>
      <c r="K2166">
        <v>27648</v>
      </c>
      <c r="L2166">
        <f t="shared" si="199"/>
        <v>18.908990162037032</v>
      </c>
      <c r="M2166">
        <v>2304</v>
      </c>
      <c r="N2166" s="2">
        <f t="shared" si="204"/>
        <v>226.90788194444437</v>
      </c>
      <c r="O2166">
        <v>12</v>
      </c>
    </row>
    <row r="2167" spans="1:15" x14ac:dyDescent="0.25">
      <c r="A2167" t="s">
        <v>46</v>
      </c>
      <c r="B2167" t="s">
        <v>15</v>
      </c>
      <c r="C2167" t="s">
        <v>37</v>
      </c>
      <c r="D2167" t="str">
        <f t="shared" si="200"/>
        <v>FAB2_ Light Light 1L</v>
      </c>
      <c r="E2167">
        <v>2024</v>
      </c>
      <c r="F2167">
        <v>21</v>
      </c>
      <c r="G2167">
        <f t="shared" si="201"/>
        <v>5</v>
      </c>
      <c r="H2167" s="1">
        <f t="shared" si="202"/>
        <v>45432</v>
      </c>
      <c r="I2167" s="1">
        <f t="shared" si="203"/>
        <v>45413</v>
      </c>
      <c r="J2167">
        <v>435493.54999999981</v>
      </c>
      <c r="K2167">
        <v>22956</v>
      </c>
      <c r="L2167">
        <f t="shared" si="199"/>
        <v>18.970794127896838</v>
      </c>
      <c r="M2167">
        <v>1913</v>
      </c>
      <c r="N2167" s="2">
        <f t="shared" si="204"/>
        <v>227.64952953476205</v>
      </c>
      <c r="O2167">
        <v>12</v>
      </c>
    </row>
    <row r="2168" spans="1:15" x14ac:dyDescent="0.25">
      <c r="A2168" t="s">
        <v>46</v>
      </c>
      <c r="B2168" t="s">
        <v>15</v>
      </c>
      <c r="C2168" t="s">
        <v>37</v>
      </c>
      <c r="D2168" t="str">
        <f t="shared" si="200"/>
        <v>FAB2_ Light Light 1L</v>
      </c>
      <c r="E2168">
        <v>2024</v>
      </c>
      <c r="F2168">
        <v>22</v>
      </c>
      <c r="G2168">
        <f t="shared" si="201"/>
        <v>5</v>
      </c>
      <c r="H2168" s="1">
        <f t="shared" si="202"/>
        <v>45439</v>
      </c>
      <c r="I2168" s="1">
        <f t="shared" si="203"/>
        <v>45413</v>
      </c>
      <c r="J2168">
        <v>456692.78999999975</v>
      </c>
      <c r="K2168">
        <v>24312</v>
      </c>
      <c r="L2168">
        <f t="shared" si="199"/>
        <v>18.784665597235922</v>
      </c>
      <c r="M2168">
        <v>2026</v>
      </c>
      <c r="N2168" s="2">
        <f t="shared" si="204"/>
        <v>225.41598716683106</v>
      </c>
      <c r="O2168">
        <v>12</v>
      </c>
    </row>
    <row r="2169" spans="1:15" x14ac:dyDescent="0.25">
      <c r="A2169" t="s">
        <v>46</v>
      </c>
      <c r="B2169" t="s">
        <v>15</v>
      </c>
      <c r="C2169" t="s">
        <v>37</v>
      </c>
      <c r="D2169" t="str">
        <f t="shared" si="200"/>
        <v>FAB2_ Light Light 1L</v>
      </c>
      <c r="E2169">
        <v>2024</v>
      </c>
      <c r="F2169">
        <v>23</v>
      </c>
      <c r="G2169">
        <f t="shared" si="201"/>
        <v>6</v>
      </c>
      <c r="H2169" s="1">
        <f t="shared" si="202"/>
        <v>45446</v>
      </c>
      <c r="I2169" s="1">
        <f t="shared" si="203"/>
        <v>45444</v>
      </c>
      <c r="J2169">
        <v>539788.48999999964</v>
      </c>
      <c r="K2169">
        <v>28740</v>
      </c>
      <c r="L2169">
        <f t="shared" si="199"/>
        <v>18.781784620737636</v>
      </c>
      <c r="M2169">
        <v>2395</v>
      </c>
      <c r="N2169" s="2">
        <f t="shared" si="204"/>
        <v>225.38141544885161</v>
      </c>
      <c r="O2169">
        <v>12</v>
      </c>
    </row>
    <row r="2170" spans="1:15" x14ac:dyDescent="0.25">
      <c r="A2170" t="s">
        <v>46</v>
      </c>
      <c r="B2170" t="s">
        <v>15</v>
      </c>
      <c r="C2170" t="s">
        <v>37</v>
      </c>
      <c r="D2170" t="str">
        <f t="shared" si="200"/>
        <v>FAB2_ Light Light 1L</v>
      </c>
      <c r="E2170">
        <v>2024</v>
      </c>
      <c r="F2170">
        <v>24</v>
      </c>
      <c r="G2170">
        <f t="shared" si="201"/>
        <v>6</v>
      </c>
      <c r="H2170" s="1">
        <f t="shared" si="202"/>
        <v>45453</v>
      </c>
      <c r="I2170" s="1">
        <f t="shared" si="203"/>
        <v>45444</v>
      </c>
      <c r="J2170">
        <v>450278.43999999965</v>
      </c>
      <c r="K2170">
        <v>23820</v>
      </c>
      <c r="L2170">
        <f t="shared" si="199"/>
        <v>18.903376994122571</v>
      </c>
      <c r="M2170">
        <v>1985</v>
      </c>
      <c r="N2170" s="2">
        <f t="shared" si="204"/>
        <v>226.84052392947086</v>
      </c>
      <c r="O2170">
        <v>12</v>
      </c>
    </row>
    <row r="2171" spans="1:15" x14ac:dyDescent="0.25">
      <c r="A2171" t="s">
        <v>46</v>
      </c>
      <c r="B2171" t="s">
        <v>15</v>
      </c>
      <c r="C2171" t="s">
        <v>37</v>
      </c>
      <c r="D2171" t="str">
        <f t="shared" si="200"/>
        <v>FAB2_ Light Light 1L</v>
      </c>
      <c r="E2171">
        <v>2024</v>
      </c>
      <c r="F2171">
        <v>25</v>
      </c>
      <c r="G2171">
        <f t="shared" si="201"/>
        <v>6</v>
      </c>
      <c r="H2171" s="1">
        <f t="shared" si="202"/>
        <v>45460</v>
      </c>
      <c r="I2171" s="1">
        <f t="shared" si="203"/>
        <v>45444</v>
      </c>
      <c r="J2171">
        <v>429496.79999999987</v>
      </c>
      <c r="K2171">
        <v>22308</v>
      </c>
      <c r="L2171">
        <f t="shared" si="199"/>
        <v>19.25303926842388</v>
      </c>
      <c r="M2171">
        <v>1859</v>
      </c>
      <c r="N2171" s="2">
        <f t="shared" si="204"/>
        <v>231.03647122108654</v>
      </c>
      <c r="O2171">
        <v>12</v>
      </c>
    </row>
    <row r="2172" spans="1:15" x14ac:dyDescent="0.25">
      <c r="A2172" t="s">
        <v>46</v>
      </c>
      <c r="B2172" t="s">
        <v>15</v>
      </c>
      <c r="C2172" t="s">
        <v>37</v>
      </c>
      <c r="D2172" t="str">
        <f t="shared" si="200"/>
        <v>FAB2_ Light Light 1L</v>
      </c>
      <c r="E2172">
        <v>2024</v>
      </c>
      <c r="F2172">
        <v>26</v>
      </c>
      <c r="G2172">
        <f t="shared" si="201"/>
        <v>6</v>
      </c>
      <c r="H2172" s="1">
        <f t="shared" si="202"/>
        <v>45467</v>
      </c>
      <c r="I2172" s="1">
        <f t="shared" si="203"/>
        <v>45444</v>
      </c>
      <c r="J2172">
        <v>365797.41999999993</v>
      </c>
      <c r="K2172">
        <v>19056</v>
      </c>
      <c r="L2172">
        <f t="shared" si="199"/>
        <v>19.195918345927787</v>
      </c>
      <c r="M2172">
        <v>1588</v>
      </c>
      <c r="N2172" s="2">
        <f t="shared" si="204"/>
        <v>230.35102015113347</v>
      </c>
      <c r="O2172">
        <v>12</v>
      </c>
    </row>
    <row r="2173" spans="1:15" x14ac:dyDescent="0.25">
      <c r="A2173" t="s">
        <v>46</v>
      </c>
      <c r="B2173" t="s">
        <v>15</v>
      </c>
      <c r="C2173" t="s">
        <v>37</v>
      </c>
      <c r="D2173" t="str">
        <f t="shared" si="200"/>
        <v>FAB2_ Light Light 1L</v>
      </c>
      <c r="E2173">
        <v>2024</v>
      </c>
      <c r="F2173">
        <v>27</v>
      </c>
      <c r="G2173">
        <f t="shared" si="201"/>
        <v>7</v>
      </c>
      <c r="H2173" s="1">
        <f t="shared" si="202"/>
        <v>45474</v>
      </c>
      <c r="I2173" s="1">
        <f t="shared" si="203"/>
        <v>45474</v>
      </c>
      <c r="J2173">
        <v>507204.58999999973</v>
      </c>
      <c r="K2173">
        <v>25392</v>
      </c>
      <c r="L2173">
        <f t="shared" si="199"/>
        <v>19.97497597668556</v>
      </c>
      <c r="M2173">
        <v>2116</v>
      </c>
      <c r="N2173" s="2">
        <f t="shared" si="204"/>
        <v>239.69971172022673</v>
      </c>
      <c r="O2173">
        <v>12</v>
      </c>
    </row>
    <row r="2174" spans="1:15" x14ac:dyDescent="0.25">
      <c r="A2174" t="s">
        <v>46</v>
      </c>
      <c r="B2174" t="s">
        <v>15</v>
      </c>
      <c r="C2174" t="s">
        <v>37</v>
      </c>
      <c r="D2174" t="str">
        <f t="shared" si="200"/>
        <v>FAB2_ Light Light 1L</v>
      </c>
      <c r="E2174">
        <v>2024</v>
      </c>
      <c r="F2174">
        <v>28</v>
      </c>
      <c r="G2174">
        <f t="shared" si="201"/>
        <v>7</v>
      </c>
      <c r="H2174" s="1">
        <f t="shared" si="202"/>
        <v>45481</v>
      </c>
      <c r="I2174" s="1">
        <f t="shared" si="203"/>
        <v>45474</v>
      </c>
      <c r="J2174">
        <v>387043.46000000014</v>
      </c>
      <c r="K2174">
        <v>18792</v>
      </c>
      <c r="L2174">
        <f t="shared" ref="L2174:L2237" si="205">J2174/(M2174*O2174)</f>
        <v>20.59618241805024</v>
      </c>
      <c r="M2174">
        <v>1566</v>
      </c>
      <c r="N2174" s="2">
        <f t="shared" si="204"/>
        <v>247.15418901660288</v>
      </c>
      <c r="O2174">
        <v>12</v>
      </c>
    </row>
    <row r="2175" spans="1:15" x14ac:dyDescent="0.25">
      <c r="A2175" t="s">
        <v>46</v>
      </c>
      <c r="B2175" t="s">
        <v>15</v>
      </c>
      <c r="C2175" t="s">
        <v>37</v>
      </c>
      <c r="D2175" t="str">
        <f t="shared" si="200"/>
        <v>FAB2_ Light Light 1L</v>
      </c>
      <c r="E2175">
        <v>2024</v>
      </c>
      <c r="F2175">
        <v>29</v>
      </c>
      <c r="G2175">
        <f t="shared" si="201"/>
        <v>7</v>
      </c>
      <c r="H2175" s="1">
        <f t="shared" si="202"/>
        <v>45488</v>
      </c>
      <c r="I2175" s="1">
        <f t="shared" si="203"/>
        <v>45474</v>
      </c>
      <c r="J2175">
        <v>459906.02999999991</v>
      </c>
      <c r="K2175">
        <v>21876</v>
      </c>
      <c r="L2175">
        <f t="shared" si="205"/>
        <v>21.023314591332962</v>
      </c>
      <c r="M2175">
        <v>1823</v>
      </c>
      <c r="N2175" s="2">
        <f t="shared" si="204"/>
        <v>252.27977509599557</v>
      </c>
      <c r="O2175">
        <v>12</v>
      </c>
    </row>
    <row r="2176" spans="1:15" x14ac:dyDescent="0.25">
      <c r="A2176" t="s">
        <v>46</v>
      </c>
      <c r="B2176" t="s">
        <v>15</v>
      </c>
      <c r="C2176" t="s">
        <v>37</v>
      </c>
      <c r="D2176" t="str">
        <f t="shared" si="200"/>
        <v>FAB2_ Light Light 1L</v>
      </c>
      <c r="E2176">
        <v>2024</v>
      </c>
      <c r="F2176">
        <v>30</v>
      </c>
      <c r="G2176">
        <f t="shared" si="201"/>
        <v>7</v>
      </c>
      <c r="H2176" s="1">
        <f t="shared" si="202"/>
        <v>45495</v>
      </c>
      <c r="I2176" s="1">
        <f t="shared" si="203"/>
        <v>45474</v>
      </c>
      <c r="J2176">
        <v>393070.38000000006</v>
      </c>
      <c r="K2176">
        <v>18936</v>
      </c>
      <c r="L2176">
        <f t="shared" si="205"/>
        <v>20.757835868187584</v>
      </c>
      <c r="M2176">
        <v>1578</v>
      </c>
      <c r="N2176" s="2">
        <f t="shared" si="204"/>
        <v>249.09403041825098</v>
      </c>
      <c r="O2176">
        <v>12</v>
      </c>
    </row>
    <row r="2177" spans="1:15" x14ac:dyDescent="0.25">
      <c r="A2177" t="s">
        <v>46</v>
      </c>
      <c r="B2177" t="s">
        <v>15</v>
      </c>
      <c r="C2177" t="s">
        <v>37</v>
      </c>
      <c r="D2177" t="str">
        <f t="shared" si="200"/>
        <v>FAB2_ Light Light 1L</v>
      </c>
      <c r="E2177">
        <v>2024</v>
      </c>
      <c r="F2177">
        <v>31</v>
      </c>
      <c r="G2177">
        <f t="shared" si="201"/>
        <v>8</v>
      </c>
      <c r="H2177" s="1">
        <f t="shared" si="202"/>
        <v>45502</v>
      </c>
      <c r="I2177" s="1">
        <f t="shared" si="203"/>
        <v>45505</v>
      </c>
      <c r="J2177">
        <v>414308.89</v>
      </c>
      <c r="K2177">
        <v>19092</v>
      </c>
      <c r="L2177">
        <f t="shared" si="205"/>
        <v>21.700654200712339</v>
      </c>
      <c r="M2177">
        <v>1591</v>
      </c>
      <c r="N2177" s="2">
        <f t="shared" si="204"/>
        <v>260.40785040854809</v>
      </c>
      <c r="O2177">
        <v>12</v>
      </c>
    </row>
    <row r="2178" spans="1:15" x14ac:dyDescent="0.25">
      <c r="A2178" t="s">
        <v>46</v>
      </c>
      <c r="B2178" t="s">
        <v>15</v>
      </c>
      <c r="C2178" t="s">
        <v>37</v>
      </c>
      <c r="D2178" t="str">
        <f t="shared" si="200"/>
        <v>FAB2_ Light Light 1L</v>
      </c>
      <c r="E2178">
        <v>2024</v>
      </c>
      <c r="F2178">
        <v>32</v>
      </c>
      <c r="G2178">
        <f t="shared" si="201"/>
        <v>8</v>
      </c>
      <c r="H2178" s="1">
        <f t="shared" si="202"/>
        <v>45509</v>
      </c>
      <c r="I2178" s="1">
        <f t="shared" si="203"/>
        <v>45505</v>
      </c>
      <c r="J2178">
        <v>358728.12999999995</v>
      </c>
      <c r="K2178">
        <v>16224</v>
      </c>
      <c r="L2178">
        <f t="shared" si="205"/>
        <v>22.11095475838264</v>
      </c>
      <c r="M2178">
        <v>1352</v>
      </c>
      <c r="N2178" s="2">
        <f t="shared" si="204"/>
        <v>265.33145710059165</v>
      </c>
      <c r="O2178">
        <v>12</v>
      </c>
    </row>
    <row r="2179" spans="1:15" x14ac:dyDescent="0.25">
      <c r="A2179" t="s">
        <v>46</v>
      </c>
      <c r="B2179" t="s">
        <v>15</v>
      </c>
      <c r="C2179" t="s">
        <v>37</v>
      </c>
      <c r="D2179" t="str">
        <f t="shared" ref="D2179:D2242" si="206">B2179&amp;"_"&amp;C2179</f>
        <v>FAB2_ Light Light 1L</v>
      </c>
      <c r="E2179">
        <v>2024</v>
      </c>
      <c r="F2179">
        <v>33</v>
      </c>
      <c r="G2179">
        <f t="shared" ref="G2179:G2242" si="207">MONTH(DATE(E2179,1,4)+(F2179-1)*7-WEEKDAY(DATE(E2179,1,4),2)+4)</f>
        <v>8</v>
      </c>
      <c r="H2179" s="1">
        <f t="shared" ref="H2179:H2242" si="208">DATE(E2179,1,-2)-WEEKDAY(DATE(E2179,1,3))+F2179*7</f>
        <v>45516</v>
      </c>
      <c r="I2179" s="1">
        <f t="shared" ref="I2179:I2242" si="209">DATE(E2179,G2179,1)</f>
        <v>45505</v>
      </c>
      <c r="J2179">
        <v>373508.41000000003</v>
      </c>
      <c r="K2179">
        <v>17232</v>
      </c>
      <c r="L2179">
        <f t="shared" si="205"/>
        <v>21.675279131847727</v>
      </c>
      <c r="M2179">
        <v>1436</v>
      </c>
      <c r="N2179" s="2">
        <f t="shared" ref="N2179:N2242" si="210">J2179/M2179</f>
        <v>260.10334958217271</v>
      </c>
      <c r="O2179">
        <v>12</v>
      </c>
    </row>
    <row r="2180" spans="1:15" x14ac:dyDescent="0.25">
      <c r="A2180" t="s">
        <v>46</v>
      </c>
      <c r="B2180" t="s">
        <v>15</v>
      </c>
      <c r="C2180" t="s">
        <v>37</v>
      </c>
      <c r="D2180" t="str">
        <f t="shared" si="206"/>
        <v>FAB2_ Light Light 1L</v>
      </c>
      <c r="E2180">
        <v>2024</v>
      </c>
      <c r="F2180">
        <v>34</v>
      </c>
      <c r="G2180">
        <f t="shared" si="207"/>
        <v>8</v>
      </c>
      <c r="H2180" s="1">
        <f t="shared" si="208"/>
        <v>45523</v>
      </c>
      <c r="I2180" s="1">
        <f t="shared" si="209"/>
        <v>45505</v>
      </c>
      <c r="J2180">
        <v>381995.68999999971</v>
      </c>
      <c r="K2180">
        <v>17508</v>
      </c>
      <c r="L2180">
        <f t="shared" si="205"/>
        <v>21.818351039524771</v>
      </c>
      <c r="M2180">
        <v>1459</v>
      </c>
      <c r="N2180" s="2">
        <f t="shared" si="210"/>
        <v>261.82021247429725</v>
      </c>
      <c r="O2180">
        <v>12</v>
      </c>
    </row>
    <row r="2181" spans="1:15" x14ac:dyDescent="0.25">
      <c r="A2181" t="s">
        <v>46</v>
      </c>
      <c r="B2181" t="s">
        <v>15</v>
      </c>
      <c r="C2181" t="s">
        <v>37</v>
      </c>
      <c r="D2181" t="str">
        <f t="shared" si="206"/>
        <v>FAB2_ Light Light 1L</v>
      </c>
      <c r="E2181">
        <v>2024</v>
      </c>
      <c r="F2181">
        <v>35</v>
      </c>
      <c r="G2181">
        <f t="shared" si="207"/>
        <v>8</v>
      </c>
      <c r="H2181" s="1">
        <f t="shared" si="208"/>
        <v>45530</v>
      </c>
      <c r="I2181" s="1">
        <f t="shared" si="209"/>
        <v>45505</v>
      </c>
      <c r="J2181">
        <v>357560.85999999981</v>
      </c>
      <c r="K2181">
        <v>17088</v>
      </c>
      <c r="L2181">
        <f t="shared" si="205"/>
        <v>20.924675795880137</v>
      </c>
      <c r="M2181">
        <v>1424</v>
      </c>
      <c r="N2181" s="2">
        <f t="shared" si="210"/>
        <v>251.09610955056166</v>
      </c>
      <c r="O2181">
        <v>12</v>
      </c>
    </row>
    <row r="2182" spans="1:15" x14ac:dyDescent="0.25">
      <c r="A2182" t="s">
        <v>46</v>
      </c>
      <c r="B2182" t="s">
        <v>15</v>
      </c>
      <c r="C2182" t="s">
        <v>37</v>
      </c>
      <c r="D2182" t="str">
        <f t="shared" si="206"/>
        <v>FAB2_ Light Light 1L</v>
      </c>
      <c r="E2182">
        <v>2024</v>
      </c>
      <c r="F2182">
        <v>36</v>
      </c>
      <c r="G2182">
        <f t="shared" si="207"/>
        <v>9</v>
      </c>
      <c r="H2182" s="1">
        <f t="shared" si="208"/>
        <v>45537</v>
      </c>
      <c r="I2182" s="1">
        <f t="shared" si="209"/>
        <v>45536</v>
      </c>
      <c r="J2182">
        <v>441715.82999999961</v>
      </c>
      <c r="K2182">
        <v>20400</v>
      </c>
      <c r="L2182">
        <f t="shared" si="205"/>
        <v>21.652736764705864</v>
      </c>
      <c r="M2182">
        <v>1700</v>
      </c>
      <c r="N2182" s="2">
        <f t="shared" si="210"/>
        <v>259.83284117647037</v>
      </c>
      <c r="O2182">
        <v>12</v>
      </c>
    </row>
    <row r="2183" spans="1:15" x14ac:dyDescent="0.25">
      <c r="A2183" t="s">
        <v>46</v>
      </c>
      <c r="B2183" t="s">
        <v>15</v>
      </c>
      <c r="C2183" t="s">
        <v>37</v>
      </c>
      <c r="D2183" t="str">
        <f t="shared" si="206"/>
        <v>FAB2_ Light Light 1L</v>
      </c>
      <c r="E2183">
        <v>2024</v>
      </c>
      <c r="F2183">
        <v>37</v>
      </c>
      <c r="G2183">
        <f t="shared" si="207"/>
        <v>9</v>
      </c>
      <c r="H2183" s="1">
        <f t="shared" si="208"/>
        <v>45544</v>
      </c>
      <c r="I2183" s="1">
        <f t="shared" si="209"/>
        <v>45536</v>
      </c>
      <c r="J2183">
        <v>380890.42999999993</v>
      </c>
      <c r="K2183">
        <v>17256</v>
      </c>
      <c r="L2183">
        <f t="shared" si="205"/>
        <v>22.072927097821044</v>
      </c>
      <c r="M2183">
        <v>1438</v>
      </c>
      <c r="N2183" s="2">
        <f t="shared" si="210"/>
        <v>264.87512517385255</v>
      </c>
      <c r="O2183">
        <v>12</v>
      </c>
    </row>
    <row r="2184" spans="1:15" x14ac:dyDescent="0.25">
      <c r="A2184" t="s">
        <v>46</v>
      </c>
      <c r="B2184" t="s">
        <v>15</v>
      </c>
      <c r="C2184" t="s">
        <v>37</v>
      </c>
      <c r="D2184" t="str">
        <f t="shared" si="206"/>
        <v>FAB2_ Light Light 1L</v>
      </c>
      <c r="E2184">
        <v>2024</v>
      </c>
      <c r="F2184">
        <v>38</v>
      </c>
      <c r="G2184">
        <f t="shared" si="207"/>
        <v>9</v>
      </c>
      <c r="H2184" s="1">
        <f t="shared" si="208"/>
        <v>45551</v>
      </c>
      <c r="I2184" s="1">
        <f t="shared" si="209"/>
        <v>45536</v>
      </c>
      <c r="J2184">
        <v>449189.58999999997</v>
      </c>
      <c r="K2184">
        <v>22128</v>
      </c>
      <c r="L2184">
        <f t="shared" si="205"/>
        <v>20.29960186189443</v>
      </c>
      <c r="M2184">
        <v>1844</v>
      </c>
      <c r="N2184" s="2">
        <f t="shared" si="210"/>
        <v>243.59522234273317</v>
      </c>
      <c r="O2184">
        <v>12</v>
      </c>
    </row>
    <row r="2185" spans="1:15" x14ac:dyDescent="0.25">
      <c r="A2185" t="s">
        <v>46</v>
      </c>
      <c r="B2185" t="s">
        <v>15</v>
      </c>
      <c r="C2185" t="s">
        <v>37</v>
      </c>
      <c r="D2185" t="str">
        <f t="shared" si="206"/>
        <v>FAB2_ Light Light 1L</v>
      </c>
      <c r="E2185">
        <v>2024</v>
      </c>
      <c r="F2185">
        <v>39</v>
      </c>
      <c r="G2185">
        <f t="shared" si="207"/>
        <v>9</v>
      </c>
      <c r="H2185" s="1">
        <f t="shared" si="208"/>
        <v>45558</v>
      </c>
      <c r="I2185" s="1">
        <f t="shared" si="209"/>
        <v>45536</v>
      </c>
      <c r="J2185">
        <v>328233.9099999998</v>
      </c>
      <c r="K2185">
        <v>14736</v>
      </c>
      <c r="L2185">
        <f t="shared" si="205"/>
        <v>22.274288137893581</v>
      </c>
      <c r="M2185">
        <v>1228</v>
      </c>
      <c r="N2185" s="2">
        <f t="shared" si="210"/>
        <v>267.29145765472299</v>
      </c>
      <c r="O2185">
        <v>12</v>
      </c>
    </row>
    <row r="2186" spans="1:15" x14ac:dyDescent="0.25">
      <c r="A2186" t="s">
        <v>46</v>
      </c>
      <c r="B2186" t="s">
        <v>15</v>
      </c>
      <c r="C2186" t="s">
        <v>37</v>
      </c>
      <c r="D2186" t="str">
        <f t="shared" si="206"/>
        <v>FAB2_ Light Light 1L</v>
      </c>
      <c r="E2186">
        <v>2024</v>
      </c>
      <c r="F2186">
        <v>40</v>
      </c>
      <c r="G2186">
        <f t="shared" si="207"/>
        <v>10</v>
      </c>
      <c r="H2186" s="1">
        <f t="shared" si="208"/>
        <v>45565</v>
      </c>
      <c r="I2186" s="1">
        <f t="shared" si="209"/>
        <v>45566</v>
      </c>
      <c r="J2186">
        <v>450392.57999999973</v>
      </c>
      <c r="K2186">
        <v>20640</v>
      </c>
      <c r="L2186">
        <f t="shared" si="205"/>
        <v>21.821345930232546</v>
      </c>
      <c r="M2186">
        <v>1720</v>
      </c>
      <c r="N2186" s="2">
        <f t="shared" si="210"/>
        <v>261.85615116279052</v>
      </c>
      <c r="O2186">
        <v>12</v>
      </c>
    </row>
    <row r="2187" spans="1:15" x14ac:dyDescent="0.25">
      <c r="A2187" t="s">
        <v>46</v>
      </c>
      <c r="B2187" t="s">
        <v>15</v>
      </c>
      <c r="C2187" t="s">
        <v>37</v>
      </c>
      <c r="D2187" t="str">
        <f t="shared" si="206"/>
        <v>FAB2_ Light Light 1L</v>
      </c>
      <c r="E2187">
        <v>2024</v>
      </c>
      <c r="F2187">
        <v>41</v>
      </c>
      <c r="G2187">
        <f t="shared" si="207"/>
        <v>10</v>
      </c>
      <c r="H2187" s="1">
        <f t="shared" si="208"/>
        <v>45572</v>
      </c>
      <c r="I2187" s="1">
        <f t="shared" si="209"/>
        <v>45566</v>
      </c>
      <c r="J2187">
        <v>368240.86999999976</v>
      </c>
      <c r="K2187">
        <v>16068</v>
      </c>
      <c r="L2187">
        <f t="shared" si="205"/>
        <v>22.917654344037825</v>
      </c>
      <c r="M2187">
        <v>1339</v>
      </c>
      <c r="N2187" s="2">
        <f t="shared" si="210"/>
        <v>275.01185212845388</v>
      </c>
      <c r="O2187">
        <v>12</v>
      </c>
    </row>
    <row r="2188" spans="1:15" x14ac:dyDescent="0.25">
      <c r="A2188" t="s">
        <v>46</v>
      </c>
      <c r="B2188" t="s">
        <v>15</v>
      </c>
      <c r="C2188" t="s">
        <v>37</v>
      </c>
      <c r="D2188" t="str">
        <f t="shared" si="206"/>
        <v>FAB2_ Light Light 1L</v>
      </c>
      <c r="E2188">
        <v>2024</v>
      </c>
      <c r="F2188">
        <v>41</v>
      </c>
      <c r="G2188">
        <f t="shared" si="207"/>
        <v>10</v>
      </c>
      <c r="H2188" s="1">
        <f t="shared" si="208"/>
        <v>45572</v>
      </c>
      <c r="I2188" s="1">
        <f t="shared" si="209"/>
        <v>45566</v>
      </c>
      <c r="J2188">
        <v>8889.06</v>
      </c>
      <c r="K2188">
        <v>420</v>
      </c>
      <c r="L2188">
        <f t="shared" si="205"/>
        <v>21.164428571428569</v>
      </c>
      <c r="M2188">
        <v>35</v>
      </c>
      <c r="N2188" s="2">
        <f t="shared" si="210"/>
        <v>253.97314285714285</v>
      </c>
      <c r="O2188">
        <v>12</v>
      </c>
    </row>
    <row r="2189" spans="1:15" x14ac:dyDescent="0.25">
      <c r="A2189" t="s">
        <v>46</v>
      </c>
      <c r="B2189" t="s">
        <v>15</v>
      </c>
      <c r="C2189" t="s">
        <v>37</v>
      </c>
      <c r="D2189" t="str">
        <f t="shared" si="206"/>
        <v>FAB2_ Light Light 1L</v>
      </c>
      <c r="E2189">
        <v>2024</v>
      </c>
      <c r="F2189">
        <v>42</v>
      </c>
      <c r="G2189">
        <f t="shared" si="207"/>
        <v>10</v>
      </c>
      <c r="H2189" s="1">
        <f t="shared" si="208"/>
        <v>45579</v>
      </c>
      <c r="I2189" s="1">
        <f t="shared" si="209"/>
        <v>45566</v>
      </c>
      <c r="J2189">
        <v>203469.12999999998</v>
      </c>
      <c r="K2189">
        <v>9588</v>
      </c>
      <c r="L2189">
        <f t="shared" si="205"/>
        <v>21.221227576136837</v>
      </c>
      <c r="M2189">
        <v>799</v>
      </c>
      <c r="N2189" s="2">
        <f t="shared" si="210"/>
        <v>254.65473091364203</v>
      </c>
      <c r="O2189">
        <v>12</v>
      </c>
    </row>
    <row r="2190" spans="1:15" x14ac:dyDescent="0.25">
      <c r="A2190" t="s">
        <v>46</v>
      </c>
      <c r="B2190" t="s">
        <v>15</v>
      </c>
      <c r="C2190" t="s">
        <v>37</v>
      </c>
      <c r="D2190" t="str">
        <f t="shared" si="206"/>
        <v>FAB2_ Light Light 1L</v>
      </c>
      <c r="E2190">
        <v>2024</v>
      </c>
      <c r="F2190">
        <v>42</v>
      </c>
      <c r="G2190">
        <f t="shared" si="207"/>
        <v>10</v>
      </c>
      <c r="H2190" s="1">
        <f t="shared" si="208"/>
        <v>45579</v>
      </c>
      <c r="I2190" s="1">
        <f t="shared" si="209"/>
        <v>45566</v>
      </c>
      <c r="J2190">
        <v>98498.02</v>
      </c>
      <c r="K2190">
        <v>4632</v>
      </c>
      <c r="L2190">
        <f t="shared" si="205"/>
        <v>21.264684801381694</v>
      </c>
      <c r="M2190">
        <v>386</v>
      </c>
      <c r="N2190" s="2">
        <f t="shared" si="210"/>
        <v>255.17621761658032</v>
      </c>
      <c r="O2190">
        <v>12</v>
      </c>
    </row>
    <row r="2191" spans="1:15" x14ac:dyDescent="0.25">
      <c r="A2191" t="s">
        <v>46</v>
      </c>
      <c r="B2191" t="s">
        <v>15</v>
      </c>
      <c r="C2191" t="s">
        <v>37</v>
      </c>
      <c r="D2191" t="str">
        <f t="shared" si="206"/>
        <v>FAB2_ Light Light 1L</v>
      </c>
      <c r="E2191">
        <v>2024</v>
      </c>
      <c r="F2191">
        <v>43</v>
      </c>
      <c r="G2191">
        <f t="shared" si="207"/>
        <v>10</v>
      </c>
      <c r="H2191" s="1">
        <f t="shared" si="208"/>
        <v>45586</v>
      </c>
      <c r="I2191" s="1">
        <f t="shared" si="209"/>
        <v>45566</v>
      </c>
      <c r="J2191">
        <v>61346.32</v>
      </c>
      <c r="K2191">
        <v>2904</v>
      </c>
      <c r="L2191">
        <f t="shared" si="205"/>
        <v>21.124765840220384</v>
      </c>
      <c r="M2191">
        <v>242</v>
      </c>
      <c r="N2191" s="2">
        <f t="shared" si="210"/>
        <v>253.49719008264464</v>
      </c>
      <c r="O2191">
        <v>12</v>
      </c>
    </row>
    <row r="2192" spans="1:15" x14ac:dyDescent="0.25">
      <c r="A2192" t="s">
        <v>46</v>
      </c>
      <c r="B2192" t="s">
        <v>15</v>
      </c>
      <c r="C2192" t="s">
        <v>37</v>
      </c>
      <c r="D2192" t="str">
        <f t="shared" si="206"/>
        <v>FAB2_ Light Light 1L</v>
      </c>
      <c r="E2192">
        <v>2024</v>
      </c>
      <c r="F2192">
        <v>43</v>
      </c>
      <c r="G2192">
        <f t="shared" si="207"/>
        <v>10</v>
      </c>
      <c r="H2192" s="1">
        <f t="shared" si="208"/>
        <v>45586</v>
      </c>
      <c r="I2192" s="1">
        <f t="shared" si="209"/>
        <v>45566</v>
      </c>
      <c r="J2192">
        <v>277786.10000000003</v>
      </c>
      <c r="K2192">
        <v>12756</v>
      </c>
      <c r="L2192">
        <f t="shared" si="205"/>
        <v>21.776897146440895</v>
      </c>
      <c r="M2192">
        <v>1063</v>
      </c>
      <c r="N2192" s="2">
        <f t="shared" si="210"/>
        <v>261.32276575729071</v>
      </c>
      <c r="O2192">
        <v>12</v>
      </c>
    </row>
    <row r="2193" spans="1:15" x14ac:dyDescent="0.25">
      <c r="A2193" t="s">
        <v>46</v>
      </c>
      <c r="B2193" t="s">
        <v>15</v>
      </c>
      <c r="C2193" t="s">
        <v>37</v>
      </c>
      <c r="D2193" t="str">
        <f t="shared" si="206"/>
        <v>FAB2_ Light Light 1L</v>
      </c>
      <c r="E2193">
        <v>2024</v>
      </c>
      <c r="F2193">
        <v>44</v>
      </c>
      <c r="G2193">
        <f t="shared" si="207"/>
        <v>10</v>
      </c>
      <c r="H2193" s="1">
        <f t="shared" si="208"/>
        <v>45593</v>
      </c>
      <c r="I2193" s="1">
        <f t="shared" si="209"/>
        <v>45566</v>
      </c>
      <c r="J2193">
        <v>7686.45</v>
      </c>
      <c r="K2193">
        <v>336</v>
      </c>
      <c r="L2193">
        <f t="shared" si="205"/>
        <v>22.876339285714284</v>
      </c>
      <c r="M2193">
        <v>28</v>
      </c>
      <c r="N2193" s="2">
        <f t="shared" si="210"/>
        <v>274.51607142857142</v>
      </c>
      <c r="O2193">
        <v>12</v>
      </c>
    </row>
    <row r="2194" spans="1:15" x14ac:dyDescent="0.25">
      <c r="A2194" t="s">
        <v>46</v>
      </c>
      <c r="B2194" t="s">
        <v>15</v>
      </c>
      <c r="C2194" t="s">
        <v>37</v>
      </c>
      <c r="D2194" t="str">
        <f t="shared" si="206"/>
        <v>FAB2_ Light Light 1L</v>
      </c>
      <c r="E2194">
        <v>2024</v>
      </c>
      <c r="F2194">
        <v>44</v>
      </c>
      <c r="G2194">
        <f t="shared" si="207"/>
        <v>10</v>
      </c>
      <c r="H2194" s="1">
        <f t="shared" si="208"/>
        <v>45593</v>
      </c>
      <c r="I2194" s="1">
        <f t="shared" si="209"/>
        <v>45566</v>
      </c>
      <c r="J2194">
        <v>289431.6399999999</v>
      </c>
      <c r="K2194">
        <v>12156</v>
      </c>
      <c r="L2194">
        <f t="shared" si="205"/>
        <v>23.80977624218492</v>
      </c>
      <c r="M2194">
        <v>1013</v>
      </c>
      <c r="N2194" s="2">
        <f t="shared" si="210"/>
        <v>285.71731490621903</v>
      </c>
      <c r="O2194">
        <v>12</v>
      </c>
    </row>
    <row r="2195" spans="1:15" x14ac:dyDescent="0.25">
      <c r="A2195" t="s">
        <v>46</v>
      </c>
      <c r="B2195" t="s">
        <v>15</v>
      </c>
      <c r="C2195" t="s">
        <v>37</v>
      </c>
      <c r="D2195" t="str">
        <f t="shared" si="206"/>
        <v>FAB2_ Light Light 1L</v>
      </c>
      <c r="E2195">
        <v>2024</v>
      </c>
      <c r="F2195">
        <v>45</v>
      </c>
      <c r="G2195">
        <f t="shared" si="207"/>
        <v>11</v>
      </c>
      <c r="H2195" s="1">
        <f t="shared" si="208"/>
        <v>45600</v>
      </c>
      <c r="I2195" s="1">
        <f t="shared" si="209"/>
        <v>45597</v>
      </c>
      <c r="J2195">
        <v>2362</v>
      </c>
      <c r="K2195">
        <v>108</v>
      </c>
      <c r="L2195">
        <f t="shared" si="205"/>
        <v>21.87037037037037</v>
      </c>
      <c r="M2195">
        <v>9</v>
      </c>
      <c r="N2195" s="2">
        <f t="shared" si="210"/>
        <v>262.44444444444446</v>
      </c>
      <c r="O2195">
        <v>12</v>
      </c>
    </row>
    <row r="2196" spans="1:15" x14ac:dyDescent="0.25">
      <c r="A2196" t="s">
        <v>46</v>
      </c>
      <c r="B2196" t="s">
        <v>15</v>
      </c>
      <c r="C2196" t="s">
        <v>37</v>
      </c>
      <c r="D2196" t="str">
        <f t="shared" si="206"/>
        <v>FAB2_ Light Light 1L</v>
      </c>
      <c r="E2196">
        <v>2024</v>
      </c>
      <c r="F2196">
        <v>45</v>
      </c>
      <c r="G2196">
        <f t="shared" si="207"/>
        <v>11</v>
      </c>
      <c r="H2196" s="1">
        <f t="shared" si="208"/>
        <v>45600</v>
      </c>
      <c r="I2196" s="1">
        <f t="shared" si="209"/>
        <v>45597</v>
      </c>
      <c r="J2196">
        <v>307080.71000000002</v>
      </c>
      <c r="K2196">
        <v>12564</v>
      </c>
      <c r="L2196">
        <f t="shared" si="205"/>
        <v>24.441317255651068</v>
      </c>
      <c r="M2196">
        <v>1047</v>
      </c>
      <c r="N2196" s="2">
        <f t="shared" si="210"/>
        <v>293.2958070678128</v>
      </c>
      <c r="O2196">
        <v>12</v>
      </c>
    </row>
    <row r="2197" spans="1:15" x14ac:dyDescent="0.25">
      <c r="A2197" t="s">
        <v>46</v>
      </c>
      <c r="B2197" t="s">
        <v>15</v>
      </c>
      <c r="C2197" t="s">
        <v>37</v>
      </c>
      <c r="D2197" t="str">
        <f t="shared" si="206"/>
        <v>FAB2_ Light Light 1L</v>
      </c>
      <c r="E2197">
        <v>2024</v>
      </c>
      <c r="F2197">
        <v>46</v>
      </c>
      <c r="G2197">
        <f t="shared" si="207"/>
        <v>11</v>
      </c>
      <c r="H2197" s="1">
        <f t="shared" si="208"/>
        <v>45607</v>
      </c>
      <c r="I2197" s="1">
        <f t="shared" si="209"/>
        <v>45597</v>
      </c>
      <c r="J2197">
        <v>885</v>
      </c>
      <c r="K2197">
        <v>36</v>
      </c>
      <c r="L2197">
        <f t="shared" si="205"/>
        <v>24.583333333333332</v>
      </c>
      <c r="M2197">
        <v>3</v>
      </c>
      <c r="N2197" s="2">
        <f t="shared" si="210"/>
        <v>295</v>
      </c>
      <c r="O2197">
        <v>12</v>
      </c>
    </row>
    <row r="2198" spans="1:15" x14ac:dyDescent="0.25">
      <c r="A2198" t="s">
        <v>46</v>
      </c>
      <c r="B2198" t="s">
        <v>15</v>
      </c>
      <c r="C2198" t="s">
        <v>37</v>
      </c>
      <c r="D2198" t="str">
        <f t="shared" si="206"/>
        <v>FAB2_ Light Light 1L</v>
      </c>
      <c r="E2198">
        <v>2024</v>
      </c>
      <c r="F2198">
        <v>46</v>
      </c>
      <c r="G2198">
        <f t="shared" si="207"/>
        <v>11</v>
      </c>
      <c r="H2198" s="1">
        <f t="shared" si="208"/>
        <v>45607</v>
      </c>
      <c r="I2198" s="1">
        <f t="shared" si="209"/>
        <v>45597</v>
      </c>
      <c r="J2198">
        <v>294959.95000000013</v>
      </c>
      <c r="K2198">
        <v>12456</v>
      </c>
      <c r="L2198">
        <f t="shared" si="205"/>
        <v>23.680150128452162</v>
      </c>
      <c r="M2198">
        <v>1038</v>
      </c>
      <c r="N2198" s="2">
        <f t="shared" si="210"/>
        <v>284.16180154142592</v>
      </c>
      <c r="O2198">
        <v>12</v>
      </c>
    </row>
    <row r="2199" spans="1:15" x14ac:dyDescent="0.25">
      <c r="A2199" t="s">
        <v>46</v>
      </c>
      <c r="B2199" t="s">
        <v>15</v>
      </c>
      <c r="C2199" t="s">
        <v>37</v>
      </c>
      <c r="D2199" t="str">
        <f t="shared" si="206"/>
        <v>FAB2_ Light Light 1L</v>
      </c>
      <c r="E2199">
        <v>2024</v>
      </c>
      <c r="F2199">
        <v>47</v>
      </c>
      <c r="G2199">
        <f t="shared" si="207"/>
        <v>11</v>
      </c>
      <c r="H2199" s="1">
        <f t="shared" si="208"/>
        <v>45614</v>
      </c>
      <c r="I2199" s="1">
        <f t="shared" si="209"/>
        <v>45597</v>
      </c>
      <c r="J2199">
        <v>328416.97000000009</v>
      </c>
      <c r="K2199">
        <v>14928</v>
      </c>
      <c r="L2199">
        <f t="shared" si="205"/>
        <v>22.000064978563778</v>
      </c>
      <c r="M2199">
        <v>1244</v>
      </c>
      <c r="N2199" s="2">
        <f t="shared" si="210"/>
        <v>264.00077974276536</v>
      </c>
      <c r="O2199">
        <v>12</v>
      </c>
    </row>
    <row r="2200" spans="1:15" x14ac:dyDescent="0.25">
      <c r="A2200" t="s">
        <v>46</v>
      </c>
      <c r="B2200" t="s">
        <v>15</v>
      </c>
      <c r="C2200" t="s">
        <v>37</v>
      </c>
      <c r="D2200" t="str">
        <f t="shared" si="206"/>
        <v>FAB2_ Light Light 1L</v>
      </c>
      <c r="E2200">
        <v>2024</v>
      </c>
      <c r="F2200">
        <v>48</v>
      </c>
      <c r="G2200">
        <f t="shared" si="207"/>
        <v>11</v>
      </c>
      <c r="H2200" s="1">
        <f t="shared" si="208"/>
        <v>45621</v>
      </c>
      <c r="I2200" s="1">
        <f t="shared" si="209"/>
        <v>45597</v>
      </c>
      <c r="J2200">
        <v>244873.55</v>
      </c>
      <c r="K2200">
        <v>11136</v>
      </c>
      <c r="L2200">
        <f t="shared" si="205"/>
        <v>21.989363326149423</v>
      </c>
      <c r="M2200">
        <v>928</v>
      </c>
      <c r="N2200" s="2">
        <f t="shared" si="210"/>
        <v>263.8723599137931</v>
      </c>
      <c r="O2200">
        <v>12</v>
      </c>
    </row>
    <row r="2201" spans="1:15" x14ac:dyDescent="0.25">
      <c r="A2201" t="s">
        <v>46</v>
      </c>
      <c r="B2201" t="s">
        <v>15</v>
      </c>
      <c r="C2201" t="s">
        <v>37</v>
      </c>
      <c r="D2201" t="str">
        <f t="shared" si="206"/>
        <v>FAB2_ Light Light 1L</v>
      </c>
      <c r="E2201">
        <v>2024</v>
      </c>
      <c r="F2201">
        <v>49</v>
      </c>
      <c r="G2201">
        <f t="shared" si="207"/>
        <v>12</v>
      </c>
      <c r="H2201" s="1">
        <f t="shared" si="208"/>
        <v>45628</v>
      </c>
      <c r="I2201" s="1">
        <f t="shared" si="209"/>
        <v>45627</v>
      </c>
      <c r="J2201">
        <v>275155.59000000008</v>
      </c>
      <c r="K2201">
        <v>12408</v>
      </c>
      <c r="L2201">
        <f t="shared" si="205"/>
        <v>22.175660058027088</v>
      </c>
      <c r="M2201">
        <v>1034</v>
      </c>
      <c r="N2201" s="2">
        <f t="shared" si="210"/>
        <v>266.10792069632504</v>
      </c>
      <c r="O2201">
        <v>12</v>
      </c>
    </row>
    <row r="2202" spans="1:15" x14ac:dyDescent="0.25">
      <c r="A2202" t="s">
        <v>46</v>
      </c>
      <c r="B2202" t="s">
        <v>15</v>
      </c>
      <c r="C2202" t="s">
        <v>37</v>
      </c>
      <c r="D2202" t="str">
        <f t="shared" si="206"/>
        <v>FAB2_ Light Light 1L</v>
      </c>
      <c r="E2202">
        <v>2024</v>
      </c>
      <c r="F2202">
        <v>50</v>
      </c>
      <c r="G2202">
        <f t="shared" si="207"/>
        <v>12</v>
      </c>
      <c r="H2202" s="1">
        <f t="shared" si="208"/>
        <v>45635</v>
      </c>
      <c r="I2202" s="1">
        <f t="shared" si="209"/>
        <v>45627</v>
      </c>
      <c r="J2202">
        <v>329549.68000000005</v>
      </c>
      <c r="K2202">
        <v>14136</v>
      </c>
      <c r="L2202">
        <f t="shared" si="205"/>
        <v>23.312795698924734</v>
      </c>
      <c r="M2202">
        <v>1178</v>
      </c>
      <c r="N2202" s="2">
        <f t="shared" si="210"/>
        <v>279.75354838709683</v>
      </c>
      <c r="O2202">
        <v>12</v>
      </c>
    </row>
    <row r="2203" spans="1:15" x14ac:dyDescent="0.25">
      <c r="A2203" t="s">
        <v>46</v>
      </c>
      <c r="B2203" t="s">
        <v>15</v>
      </c>
      <c r="C2203" t="s">
        <v>37</v>
      </c>
      <c r="D2203" t="str">
        <f t="shared" si="206"/>
        <v>FAB2_ Light Light 1L</v>
      </c>
      <c r="E2203">
        <v>2024</v>
      </c>
      <c r="F2203">
        <v>51</v>
      </c>
      <c r="G2203">
        <f t="shared" si="207"/>
        <v>12</v>
      </c>
      <c r="H2203" s="1">
        <f t="shared" si="208"/>
        <v>45642</v>
      </c>
      <c r="I2203" s="1">
        <f t="shared" si="209"/>
        <v>45627</v>
      </c>
      <c r="J2203">
        <v>339643.03000000009</v>
      </c>
      <c r="K2203">
        <v>14628</v>
      </c>
      <c r="L2203">
        <f t="shared" si="205"/>
        <v>23.21869223407165</v>
      </c>
      <c r="M2203">
        <v>1219</v>
      </c>
      <c r="N2203" s="2">
        <f t="shared" si="210"/>
        <v>278.62430680885979</v>
      </c>
      <c r="O2203">
        <v>12</v>
      </c>
    </row>
    <row r="2204" spans="1:15" x14ac:dyDescent="0.25">
      <c r="A2204" t="s">
        <v>46</v>
      </c>
      <c r="B2204" t="s">
        <v>15</v>
      </c>
      <c r="C2204" t="s">
        <v>37</v>
      </c>
      <c r="D2204" t="str">
        <f t="shared" si="206"/>
        <v>FAB2_ Light Light 1L</v>
      </c>
      <c r="E2204">
        <v>2024</v>
      </c>
      <c r="F2204">
        <v>52</v>
      </c>
      <c r="G2204">
        <f t="shared" si="207"/>
        <v>12</v>
      </c>
      <c r="H2204" s="1">
        <f t="shared" si="208"/>
        <v>45649</v>
      </c>
      <c r="I2204" s="1">
        <f t="shared" si="209"/>
        <v>45627</v>
      </c>
      <c r="J2204">
        <v>283890.53999999992</v>
      </c>
      <c r="K2204">
        <v>12084</v>
      </c>
      <c r="L2204">
        <f t="shared" si="205"/>
        <v>23.493093346573975</v>
      </c>
      <c r="M2204">
        <v>1007</v>
      </c>
      <c r="N2204" s="2">
        <f t="shared" si="210"/>
        <v>281.91712015888771</v>
      </c>
      <c r="O2204">
        <v>12</v>
      </c>
    </row>
    <row r="2205" spans="1:15" x14ac:dyDescent="0.25">
      <c r="A2205" t="s">
        <v>46</v>
      </c>
      <c r="B2205" t="s">
        <v>15</v>
      </c>
      <c r="C2205" t="s">
        <v>37</v>
      </c>
      <c r="D2205" t="str">
        <f t="shared" si="206"/>
        <v>FAB2_ Light Light 1L</v>
      </c>
      <c r="E2205">
        <v>2025</v>
      </c>
      <c r="F2205">
        <v>1</v>
      </c>
      <c r="G2205">
        <f t="shared" si="207"/>
        <v>1</v>
      </c>
      <c r="H2205" s="1">
        <f t="shared" si="208"/>
        <v>45656</v>
      </c>
      <c r="I2205" s="1">
        <f t="shared" si="209"/>
        <v>45658</v>
      </c>
      <c r="J2205">
        <v>278405.34999999998</v>
      </c>
      <c r="K2205">
        <v>10944</v>
      </c>
      <c r="L2205">
        <f t="shared" si="205"/>
        <v>25.43908534356725</v>
      </c>
      <c r="M2205">
        <v>912</v>
      </c>
      <c r="N2205" s="2">
        <f t="shared" si="210"/>
        <v>305.26902412280697</v>
      </c>
      <c r="O2205">
        <v>12</v>
      </c>
    </row>
    <row r="2206" spans="1:15" x14ac:dyDescent="0.25">
      <c r="A2206" t="s">
        <v>46</v>
      </c>
      <c r="B2206" t="s">
        <v>15</v>
      </c>
      <c r="C2206" t="s">
        <v>37</v>
      </c>
      <c r="D2206" t="str">
        <f t="shared" si="206"/>
        <v>FAB2_ Light Light 1L</v>
      </c>
      <c r="E2206">
        <v>2025</v>
      </c>
      <c r="F2206">
        <v>2</v>
      </c>
      <c r="G2206">
        <f t="shared" si="207"/>
        <v>1</v>
      </c>
      <c r="H2206" s="1">
        <f t="shared" si="208"/>
        <v>45663</v>
      </c>
      <c r="I2206" s="1">
        <f t="shared" si="209"/>
        <v>45658</v>
      </c>
      <c r="J2206">
        <v>248799.30999999997</v>
      </c>
      <c r="K2206">
        <v>9780</v>
      </c>
      <c r="L2206">
        <f t="shared" si="205"/>
        <v>25.43960224948875</v>
      </c>
      <c r="M2206">
        <v>815</v>
      </c>
      <c r="N2206" s="2">
        <f t="shared" si="210"/>
        <v>305.27522699386498</v>
      </c>
      <c r="O2206">
        <v>12</v>
      </c>
    </row>
    <row r="2207" spans="1:15" x14ac:dyDescent="0.25">
      <c r="A2207" t="s">
        <v>46</v>
      </c>
      <c r="B2207" t="s">
        <v>15</v>
      </c>
      <c r="C2207" t="s">
        <v>37</v>
      </c>
      <c r="D2207" t="str">
        <f t="shared" si="206"/>
        <v>FAB2_ Light Light 1L</v>
      </c>
      <c r="E2207">
        <v>2025</v>
      </c>
      <c r="F2207">
        <v>3</v>
      </c>
      <c r="G2207">
        <f t="shared" si="207"/>
        <v>1</v>
      </c>
      <c r="H2207" s="1">
        <f t="shared" si="208"/>
        <v>45670</v>
      </c>
      <c r="I2207" s="1">
        <f t="shared" si="209"/>
        <v>45658</v>
      </c>
      <c r="J2207">
        <v>259917.16000000003</v>
      </c>
      <c r="K2207">
        <v>10284</v>
      </c>
      <c r="L2207">
        <f t="shared" si="205"/>
        <v>25.273936211590822</v>
      </c>
      <c r="M2207">
        <v>857</v>
      </c>
      <c r="N2207" s="2">
        <f t="shared" si="210"/>
        <v>303.28723453908987</v>
      </c>
      <c r="O2207">
        <v>12</v>
      </c>
    </row>
    <row r="2208" spans="1:15" x14ac:dyDescent="0.25">
      <c r="A2208" t="s">
        <v>46</v>
      </c>
      <c r="B2208" t="s">
        <v>15</v>
      </c>
      <c r="C2208" t="s">
        <v>37</v>
      </c>
      <c r="D2208" t="str">
        <f t="shared" si="206"/>
        <v>FAB2_ Light Light 1L</v>
      </c>
      <c r="E2208">
        <v>2025</v>
      </c>
      <c r="F2208">
        <v>4</v>
      </c>
      <c r="G2208">
        <f t="shared" si="207"/>
        <v>1</v>
      </c>
      <c r="H2208" s="1">
        <f t="shared" si="208"/>
        <v>45677</v>
      </c>
      <c r="I2208" s="1">
        <f t="shared" si="209"/>
        <v>45658</v>
      </c>
      <c r="J2208">
        <v>232045.34999999998</v>
      </c>
      <c r="K2208">
        <v>9120</v>
      </c>
      <c r="L2208">
        <f t="shared" si="205"/>
        <v>25.443569078947366</v>
      </c>
      <c r="M2208">
        <v>760</v>
      </c>
      <c r="N2208" s="2">
        <f t="shared" si="210"/>
        <v>305.32282894736841</v>
      </c>
      <c r="O2208">
        <v>12</v>
      </c>
    </row>
    <row r="2209" spans="1:15" x14ac:dyDescent="0.25">
      <c r="A2209" t="s">
        <v>46</v>
      </c>
      <c r="B2209" t="s">
        <v>15</v>
      </c>
      <c r="C2209" t="s">
        <v>37</v>
      </c>
      <c r="D2209" t="str">
        <f t="shared" si="206"/>
        <v>FAB2_ Light Light 1L</v>
      </c>
      <c r="E2209">
        <v>2025</v>
      </c>
      <c r="F2209">
        <v>5</v>
      </c>
      <c r="G2209">
        <f t="shared" si="207"/>
        <v>1</v>
      </c>
      <c r="H2209" s="1">
        <f t="shared" si="208"/>
        <v>45684</v>
      </c>
      <c r="I2209" s="1">
        <f t="shared" si="209"/>
        <v>45658</v>
      </c>
      <c r="J2209">
        <v>277266.68000000005</v>
      </c>
      <c r="K2209">
        <v>10992</v>
      </c>
      <c r="L2209">
        <f t="shared" si="205"/>
        <v>25.22440684133916</v>
      </c>
      <c r="M2209">
        <v>916</v>
      </c>
      <c r="N2209" s="2">
        <f t="shared" si="210"/>
        <v>302.69288209606992</v>
      </c>
      <c r="O2209">
        <v>12</v>
      </c>
    </row>
    <row r="2210" spans="1:15" x14ac:dyDescent="0.25">
      <c r="A2210" t="s">
        <v>46</v>
      </c>
      <c r="B2210" t="s">
        <v>15</v>
      </c>
      <c r="C2210" t="s">
        <v>37</v>
      </c>
      <c r="D2210" t="str">
        <f t="shared" si="206"/>
        <v>FAB2_ Light Light 1L</v>
      </c>
      <c r="E2210">
        <v>2025</v>
      </c>
      <c r="F2210">
        <v>6</v>
      </c>
      <c r="G2210">
        <f t="shared" si="207"/>
        <v>2</v>
      </c>
      <c r="H2210" s="1">
        <f t="shared" si="208"/>
        <v>45691</v>
      </c>
      <c r="I2210" s="1">
        <f t="shared" si="209"/>
        <v>45689</v>
      </c>
      <c r="J2210">
        <v>323647.7699999999</v>
      </c>
      <c r="K2210">
        <v>13140</v>
      </c>
      <c r="L2210">
        <f t="shared" si="205"/>
        <v>24.630728310502274</v>
      </c>
      <c r="M2210">
        <v>1095</v>
      </c>
      <c r="N2210" s="2">
        <f t="shared" si="210"/>
        <v>295.56873972602733</v>
      </c>
      <c r="O2210">
        <v>12</v>
      </c>
    </row>
    <row r="2211" spans="1:15" x14ac:dyDescent="0.25">
      <c r="A2211" t="s">
        <v>46</v>
      </c>
      <c r="B2211" t="s">
        <v>15</v>
      </c>
      <c r="C2211" t="s">
        <v>37</v>
      </c>
      <c r="D2211" t="str">
        <f t="shared" si="206"/>
        <v>FAB2_ Light Light 1L</v>
      </c>
      <c r="E2211">
        <v>2025</v>
      </c>
      <c r="F2211">
        <v>7</v>
      </c>
      <c r="G2211">
        <f t="shared" si="207"/>
        <v>2</v>
      </c>
      <c r="H2211" s="1">
        <f t="shared" si="208"/>
        <v>45698</v>
      </c>
      <c r="I2211" s="1">
        <f t="shared" si="209"/>
        <v>45689</v>
      </c>
      <c r="J2211">
        <v>280243.28999999998</v>
      </c>
      <c r="K2211">
        <v>11448</v>
      </c>
      <c r="L2211">
        <f t="shared" si="205"/>
        <v>24.479672431865826</v>
      </c>
      <c r="M2211">
        <v>954</v>
      </c>
      <c r="N2211" s="2">
        <f t="shared" si="210"/>
        <v>293.75606918238992</v>
      </c>
      <c r="O2211">
        <v>12</v>
      </c>
    </row>
    <row r="2212" spans="1:15" x14ac:dyDescent="0.25">
      <c r="A2212" t="s">
        <v>46</v>
      </c>
      <c r="B2212" t="s">
        <v>15</v>
      </c>
      <c r="C2212" t="s">
        <v>37</v>
      </c>
      <c r="D2212" t="str">
        <f t="shared" si="206"/>
        <v>FAB2_ Light Light 1L</v>
      </c>
      <c r="E2212">
        <v>2025</v>
      </c>
      <c r="F2212">
        <v>8</v>
      </c>
      <c r="G2212">
        <f t="shared" si="207"/>
        <v>2</v>
      </c>
      <c r="H2212" s="1">
        <f t="shared" si="208"/>
        <v>45705</v>
      </c>
      <c r="I2212" s="1">
        <f t="shared" si="209"/>
        <v>45689</v>
      </c>
      <c r="J2212">
        <v>310728.24</v>
      </c>
      <c r="K2212">
        <v>12624</v>
      </c>
      <c r="L2212">
        <f t="shared" si="205"/>
        <v>24.614087452471484</v>
      </c>
      <c r="M2212">
        <v>1052</v>
      </c>
      <c r="N2212" s="2">
        <f t="shared" si="210"/>
        <v>295.36904942965776</v>
      </c>
      <c r="O2212">
        <v>12</v>
      </c>
    </row>
    <row r="2213" spans="1:15" x14ac:dyDescent="0.25">
      <c r="A2213" t="s">
        <v>46</v>
      </c>
      <c r="B2213" t="s">
        <v>15</v>
      </c>
      <c r="C2213" t="s">
        <v>37</v>
      </c>
      <c r="D2213" t="str">
        <f t="shared" si="206"/>
        <v>FAB2_ Light Light 1L</v>
      </c>
      <c r="E2213">
        <v>2025</v>
      </c>
      <c r="F2213">
        <v>9</v>
      </c>
      <c r="G2213">
        <f t="shared" si="207"/>
        <v>2</v>
      </c>
      <c r="H2213" s="1">
        <f t="shared" si="208"/>
        <v>45712</v>
      </c>
      <c r="I2213" s="1">
        <f t="shared" si="209"/>
        <v>45689</v>
      </c>
      <c r="J2213">
        <v>215519.82000000007</v>
      </c>
      <c r="K2213">
        <v>8364</v>
      </c>
      <c r="L2213">
        <f t="shared" si="205"/>
        <v>25.767553802008617</v>
      </c>
      <c r="M2213">
        <v>697</v>
      </c>
      <c r="N2213" s="2">
        <f t="shared" si="210"/>
        <v>309.21064562410339</v>
      </c>
      <c r="O2213">
        <v>12</v>
      </c>
    </row>
    <row r="2214" spans="1:15" x14ac:dyDescent="0.25">
      <c r="A2214" t="s">
        <v>46</v>
      </c>
      <c r="B2214" t="s">
        <v>15</v>
      </c>
      <c r="C2214" t="s">
        <v>37</v>
      </c>
      <c r="D2214" t="str">
        <f t="shared" si="206"/>
        <v>FAB2_ Light Light 1L</v>
      </c>
      <c r="E2214">
        <v>2025</v>
      </c>
      <c r="F2214">
        <v>10</v>
      </c>
      <c r="G2214">
        <f t="shared" si="207"/>
        <v>3</v>
      </c>
      <c r="H2214" s="1">
        <f t="shared" si="208"/>
        <v>45719</v>
      </c>
      <c r="I2214" s="1">
        <f t="shared" si="209"/>
        <v>45717</v>
      </c>
      <c r="J2214">
        <v>304723.56999999989</v>
      </c>
      <c r="K2214">
        <v>12420</v>
      </c>
      <c r="L2214">
        <f t="shared" si="205"/>
        <v>24.534909017713357</v>
      </c>
      <c r="M2214">
        <v>1035</v>
      </c>
      <c r="N2214" s="2">
        <f t="shared" si="210"/>
        <v>294.41890821256027</v>
      </c>
      <c r="O2214">
        <v>12</v>
      </c>
    </row>
    <row r="2215" spans="1:15" x14ac:dyDescent="0.25">
      <c r="A2215" t="s">
        <v>46</v>
      </c>
      <c r="B2215" t="s">
        <v>15</v>
      </c>
      <c r="C2215" t="s">
        <v>37</v>
      </c>
      <c r="D2215" t="str">
        <f t="shared" si="206"/>
        <v>FAB2_ Light Light 1L</v>
      </c>
      <c r="E2215">
        <v>2025</v>
      </c>
      <c r="F2215">
        <v>11</v>
      </c>
      <c r="G2215">
        <f t="shared" si="207"/>
        <v>3</v>
      </c>
      <c r="H2215" s="1">
        <f t="shared" si="208"/>
        <v>45726</v>
      </c>
      <c r="I2215" s="1">
        <f t="shared" si="209"/>
        <v>45717</v>
      </c>
      <c r="J2215">
        <v>258446.27000000014</v>
      </c>
      <c r="K2215">
        <v>11112</v>
      </c>
      <c r="L2215">
        <f t="shared" si="205"/>
        <v>23.258303635709154</v>
      </c>
      <c r="M2215">
        <v>926</v>
      </c>
      <c r="N2215" s="2">
        <f t="shared" si="210"/>
        <v>279.09964362850985</v>
      </c>
      <c r="O2215">
        <v>12</v>
      </c>
    </row>
    <row r="2216" spans="1:15" x14ac:dyDescent="0.25">
      <c r="A2216" t="s">
        <v>46</v>
      </c>
      <c r="B2216" t="s">
        <v>15</v>
      </c>
      <c r="C2216" t="s">
        <v>37</v>
      </c>
      <c r="D2216" t="str">
        <f t="shared" si="206"/>
        <v>FAB2_ Light Light 1L</v>
      </c>
      <c r="E2216">
        <v>2025</v>
      </c>
      <c r="F2216">
        <v>12</v>
      </c>
      <c r="G2216">
        <f t="shared" si="207"/>
        <v>3</v>
      </c>
      <c r="H2216" s="1">
        <f t="shared" si="208"/>
        <v>45733</v>
      </c>
      <c r="I2216" s="1">
        <f t="shared" si="209"/>
        <v>45717</v>
      </c>
      <c r="J2216">
        <v>280263.1100000001</v>
      </c>
      <c r="K2216">
        <v>11988</v>
      </c>
      <c r="L2216">
        <f t="shared" si="205"/>
        <v>23.378637804471147</v>
      </c>
      <c r="M2216">
        <v>999</v>
      </c>
      <c r="N2216" s="2">
        <f t="shared" si="210"/>
        <v>280.54365365365373</v>
      </c>
      <c r="O2216">
        <v>12</v>
      </c>
    </row>
    <row r="2217" spans="1:15" x14ac:dyDescent="0.25">
      <c r="A2217" t="s">
        <v>46</v>
      </c>
      <c r="B2217" t="s">
        <v>15</v>
      </c>
      <c r="C2217" t="s">
        <v>37</v>
      </c>
      <c r="D2217" t="str">
        <f t="shared" si="206"/>
        <v>FAB2_ Light Light 1L</v>
      </c>
      <c r="E2217">
        <v>2025</v>
      </c>
      <c r="F2217">
        <v>13</v>
      </c>
      <c r="G2217">
        <f t="shared" si="207"/>
        <v>3</v>
      </c>
      <c r="H2217" s="1">
        <f t="shared" si="208"/>
        <v>45740</v>
      </c>
      <c r="I2217" s="1">
        <f t="shared" si="209"/>
        <v>45717</v>
      </c>
      <c r="J2217">
        <v>263617.43000000005</v>
      </c>
      <c r="K2217">
        <v>11304</v>
      </c>
      <c r="L2217">
        <f t="shared" si="205"/>
        <v>23.32072098372258</v>
      </c>
      <c r="M2217">
        <v>942</v>
      </c>
      <c r="N2217" s="2">
        <f t="shared" si="210"/>
        <v>279.84865180467096</v>
      </c>
      <c r="O2217">
        <v>12</v>
      </c>
    </row>
    <row r="2218" spans="1:15" x14ac:dyDescent="0.25">
      <c r="A2218" t="s">
        <v>46</v>
      </c>
      <c r="B2218" t="s">
        <v>15</v>
      </c>
      <c r="C2218" t="s">
        <v>37</v>
      </c>
      <c r="D2218" t="str">
        <f t="shared" si="206"/>
        <v>FAB2_ Light Light 1L</v>
      </c>
      <c r="E2218">
        <v>2025</v>
      </c>
      <c r="F2218">
        <v>14</v>
      </c>
      <c r="G2218">
        <f t="shared" si="207"/>
        <v>4</v>
      </c>
      <c r="H2218" s="1">
        <f t="shared" si="208"/>
        <v>45747</v>
      </c>
      <c r="I2218" s="1">
        <f t="shared" si="209"/>
        <v>45748</v>
      </c>
      <c r="J2218">
        <v>318173.43</v>
      </c>
      <c r="K2218">
        <v>12984</v>
      </c>
      <c r="L2218">
        <f t="shared" si="205"/>
        <v>24.505039279112754</v>
      </c>
      <c r="M2218">
        <v>1082</v>
      </c>
      <c r="N2218" s="2">
        <f t="shared" si="210"/>
        <v>294.06047134935307</v>
      </c>
      <c r="O2218">
        <v>12</v>
      </c>
    </row>
    <row r="2219" spans="1:15" x14ac:dyDescent="0.25">
      <c r="A2219" t="s">
        <v>46</v>
      </c>
      <c r="B2219" t="s">
        <v>15</v>
      </c>
      <c r="C2219" t="s">
        <v>37</v>
      </c>
      <c r="D2219" t="str">
        <f t="shared" si="206"/>
        <v>FAB2_ Light Light 1L</v>
      </c>
      <c r="E2219">
        <v>2025</v>
      </c>
      <c r="F2219">
        <v>15</v>
      </c>
      <c r="G2219">
        <f t="shared" si="207"/>
        <v>4</v>
      </c>
      <c r="H2219" s="1">
        <f t="shared" si="208"/>
        <v>45754</v>
      </c>
      <c r="I2219" s="1">
        <f t="shared" si="209"/>
        <v>45748</v>
      </c>
      <c r="J2219">
        <v>194439.38999999998</v>
      </c>
      <c r="K2219">
        <v>7560</v>
      </c>
      <c r="L2219">
        <f t="shared" si="205"/>
        <v>25.719496031746029</v>
      </c>
      <c r="M2219">
        <v>630</v>
      </c>
      <c r="N2219" s="2">
        <f t="shared" si="210"/>
        <v>308.63395238095234</v>
      </c>
      <c r="O2219">
        <v>12</v>
      </c>
    </row>
    <row r="2220" spans="1:15" x14ac:dyDescent="0.25">
      <c r="A2220" t="s">
        <v>46</v>
      </c>
      <c r="B2220" t="s">
        <v>15</v>
      </c>
      <c r="C2220" t="s">
        <v>37</v>
      </c>
      <c r="D2220" t="str">
        <f t="shared" si="206"/>
        <v>FAB2_ Light Light 1L</v>
      </c>
      <c r="E2220">
        <v>2025</v>
      </c>
      <c r="F2220">
        <v>16</v>
      </c>
      <c r="G2220">
        <f t="shared" si="207"/>
        <v>4</v>
      </c>
      <c r="H2220" s="1">
        <f t="shared" si="208"/>
        <v>45761</v>
      </c>
      <c r="I2220" s="1">
        <f t="shared" si="209"/>
        <v>45748</v>
      </c>
      <c r="J2220">
        <v>253957.56999999992</v>
      </c>
      <c r="K2220">
        <v>9852</v>
      </c>
      <c r="L2220">
        <f t="shared" si="205"/>
        <v>25.777260454729994</v>
      </c>
      <c r="M2220">
        <v>821</v>
      </c>
      <c r="N2220" s="2">
        <f t="shared" si="210"/>
        <v>309.32712545675997</v>
      </c>
      <c r="O2220">
        <v>12</v>
      </c>
    </row>
    <row r="2221" spans="1:15" x14ac:dyDescent="0.25">
      <c r="A2221" t="s">
        <v>46</v>
      </c>
      <c r="B2221" t="s">
        <v>15</v>
      </c>
      <c r="C2221" t="s">
        <v>37</v>
      </c>
      <c r="D2221" t="str">
        <f t="shared" si="206"/>
        <v>FAB2_ Light Light 1L</v>
      </c>
      <c r="E2221">
        <v>2025</v>
      </c>
      <c r="F2221">
        <v>17</v>
      </c>
      <c r="G2221">
        <f t="shared" si="207"/>
        <v>4</v>
      </c>
      <c r="H2221" s="1">
        <f t="shared" si="208"/>
        <v>45768</v>
      </c>
      <c r="I2221" s="1">
        <f t="shared" si="209"/>
        <v>45748</v>
      </c>
      <c r="J2221">
        <v>213325.25000000006</v>
      </c>
      <c r="K2221">
        <v>8376</v>
      </c>
      <c r="L2221">
        <f t="shared" si="205"/>
        <v>25.468630611270303</v>
      </c>
      <c r="M2221">
        <v>698</v>
      </c>
      <c r="N2221" s="2">
        <f t="shared" si="210"/>
        <v>305.62356733524365</v>
      </c>
      <c r="O2221">
        <v>12</v>
      </c>
    </row>
    <row r="2222" spans="1:15" x14ac:dyDescent="0.25">
      <c r="A2222" t="s">
        <v>46</v>
      </c>
      <c r="B2222" t="s">
        <v>15</v>
      </c>
      <c r="C2222" t="s">
        <v>37</v>
      </c>
      <c r="D2222" t="str">
        <f t="shared" si="206"/>
        <v>FAB2_ Light Light 1L</v>
      </c>
      <c r="E2222">
        <v>2025</v>
      </c>
      <c r="F2222">
        <v>18</v>
      </c>
      <c r="G2222">
        <f t="shared" si="207"/>
        <v>5</v>
      </c>
      <c r="H2222" s="1">
        <f t="shared" si="208"/>
        <v>45775</v>
      </c>
      <c r="I2222" s="1">
        <f t="shared" si="209"/>
        <v>45778</v>
      </c>
      <c r="J2222">
        <v>323420.09000000003</v>
      </c>
      <c r="K2222">
        <v>14088</v>
      </c>
      <c r="L2222">
        <f t="shared" si="205"/>
        <v>22.95713302101079</v>
      </c>
      <c r="M2222">
        <v>1174</v>
      </c>
      <c r="N2222" s="2">
        <f t="shared" si="210"/>
        <v>275.48559625212948</v>
      </c>
      <c r="O2222">
        <v>12</v>
      </c>
    </row>
    <row r="2223" spans="1:15" x14ac:dyDescent="0.25">
      <c r="A2223" t="s">
        <v>46</v>
      </c>
      <c r="B2223" t="s">
        <v>15</v>
      </c>
      <c r="C2223" t="s">
        <v>37</v>
      </c>
      <c r="D2223" t="str">
        <f t="shared" si="206"/>
        <v>FAB2_ Light Light 1L</v>
      </c>
      <c r="E2223">
        <v>2025</v>
      </c>
      <c r="F2223">
        <v>19</v>
      </c>
      <c r="G2223">
        <f t="shared" si="207"/>
        <v>5</v>
      </c>
      <c r="H2223" s="1">
        <f t="shared" si="208"/>
        <v>45782</v>
      </c>
      <c r="I2223" s="1">
        <f t="shared" si="209"/>
        <v>45778</v>
      </c>
      <c r="J2223">
        <v>321744.1700000001</v>
      </c>
      <c r="K2223">
        <v>13788</v>
      </c>
      <c r="L2223">
        <f t="shared" si="205"/>
        <v>23.335086306933572</v>
      </c>
      <c r="M2223">
        <v>1149</v>
      </c>
      <c r="N2223" s="2">
        <f t="shared" si="210"/>
        <v>280.02103568320285</v>
      </c>
      <c r="O2223">
        <v>12</v>
      </c>
    </row>
    <row r="2224" spans="1:15" x14ac:dyDescent="0.25">
      <c r="A2224" t="s">
        <v>46</v>
      </c>
      <c r="B2224" t="s">
        <v>15</v>
      </c>
      <c r="C2224" t="s">
        <v>37</v>
      </c>
      <c r="D2224" t="str">
        <f t="shared" si="206"/>
        <v>FAB2_ Light Light 1L</v>
      </c>
      <c r="E2224">
        <v>2025</v>
      </c>
      <c r="F2224">
        <v>20</v>
      </c>
      <c r="G2224">
        <f t="shared" si="207"/>
        <v>5</v>
      </c>
      <c r="H2224" s="1">
        <f t="shared" si="208"/>
        <v>45789</v>
      </c>
      <c r="I2224" s="1">
        <f t="shared" si="209"/>
        <v>45778</v>
      </c>
      <c r="J2224">
        <v>277676.83000000013</v>
      </c>
      <c r="K2224">
        <v>11976</v>
      </c>
      <c r="L2224">
        <f t="shared" si="205"/>
        <v>23.18610804943221</v>
      </c>
      <c r="M2224">
        <v>998</v>
      </c>
      <c r="N2224" s="2">
        <f t="shared" si="210"/>
        <v>278.23329659318648</v>
      </c>
      <c r="O2224">
        <v>12</v>
      </c>
    </row>
    <row r="2225" spans="1:15" x14ac:dyDescent="0.25">
      <c r="A2225" t="s">
        <v>46</v>
      </c>
      <c r="B2225" t="s">
        <v>15</v>
      </c>
      <c r="C2225" t="s">
        <v>37</v>
      </c>
      <c r="D2225" t="str">
        <f t="shared" si="206"/>
        <v>FAB2_ Light Light 1L</v>
      </c>
      <c r="E2225">
        <v>2025</v>
      </c>
      <c r="F2225">
        <v>21</v>
      </c>
      <c r="G2225">
        <f t="shared" si="207"/>
        <v>5</v>
      </c>
      <c r="H2225" s="1">
        <f t="shared" si="208"/>
        <v>45796</v>
      </c>
      <c r="I2225" s="1">
        <f t="shared" si="209"/>
        <v>45778</v>
      </c>
      <c r="J2225">
        <v>262661.98000000004</v>
      </c>
      <c r="K2225">
        <v>11316</v>
      </c>
      <c r="L2225">
        <f t="shared" si="205"/>
        <v>23.211557087310005</v>
      </c>
      <c r="M2225">
        <v>943</v>
      </c>
      <c r="N2225" s="2">
        <f t="shared" si="210"/>
        <v>278.53868504772009</v>
      </c>
      <c r="O2225">
        <v>12</v>
      </c>
    </row>
    <row r="2226" spans="1:15" x14ac:dyDescent="0.25">
      <c r="A2226" t="s">
        <v>46</v>
      </c>
      <c r="B2226" t="s">
        <v>15</v>
      </c>
      <c r="C2226" t="s">
        <v>37</v>
      </c>
      <c r="D2226" t="str">
        <f t="shared" si="206"/>
        <v>FAB2_ Light Light 1L</v>
      </c>
      <c r="E2226">
        <v>2025</v>
      </c>
      <c r="F2226">
        <v>22</v>
      </c>
      <c r="G2226">
        <f t="shared" si="207"/>
        <v>5</v>
      </c>
      <c r="H2226" s="1">
        <f t="shared" si="208"/>
        <v>45803</v>
      </c>
      <c r="I2226" s="1">
        <f t="shared" si="209"/>
        <v>45778</v>
      </c>
      <c r="J2226">
        <v>243507.20000000007</v>
      </c>
      <c r="K2226">
        <v>10608</v>
      </c>
      <c r="L2226">
        <f t="shared" si="205"/>
        <v>22.955052790346915</v>
      </c>
      <c r="M2226">
        <v>884</v>
      </c>
      <c r="N2226" s="2">
        <f t="shared" si="210"/>
        <v>275.460633484163</v>
      </c>
      <c r="O2226">
        <v>12</v>
      </c>
    </row>
    <row r="2227" spans="1:15" x14ac:dyDescent="0.25">
      <c r="A2227" t="s">
        <v>46</v>
      </c>
      <c r="B2227" t="s">
        <v>15</v>
      </c>
      <c r="C2227" t="s">
        <v>37</v>
      </c>
      <c r="D2227" t="str">
        <f t="shared" si="206"/>
        <v>FAB2_ Light Light 1L</v>
      </c>
      <c r="E2227">
        <v>2025</v>
      </c>
      <c r="F2227">
        <v>23</v>
      </c>
      <c r="G2227">
        <f t="shared" si="207"/>
        <v>6</v>
      </c>
      <c r="H2227" s="1">
        <f t="shared" si="208"/>
        <v>45810</v>
      </c>
      <c r="I2227" s="1">
        <f t="shared" si="209"/>
        <v>45809</v>
      </c>
      <c r="J2227">
        <v>303271.42999999993</v>
      </c>
      <c r="K2227">
        <v>12360</v>
      </c>
      <c r="L2227">
        <f t="shared" si="205"/>
        <v>24.536523462783165</v>
      </c>
      <c r="M2227">
        <v>1030</v>
      </c>
      <c r="N2227" s="2">
        <f t="shared" si="210"/>
        <v>294.43828155339799</v>
      </c>
      <c r="O2227">
        <v>12</v>
      </c>
    </row>
    <row r="2228" spans="1:15" x14ac:dyDescent="0.25">
      <c r="A2228" t="s">
        <v>46</v>
      </c>
      <c r="B2228" t="s">
        <v>15</v>
      </c>
      <c r="C2228" t="s">
        <v>37</v>
      </c>
      <c r="D2228" t="str">
        <f t="shared" si="206"/>
        <v>FAB2_ Light Light 1L</v>
      </c>
      <c r="E2228">
        <v>2025</v>
      </c>
      <c r="F2228">
        <v>24</v>
      </c>
      <c r="G2228">
        <f t="shared" si="207"/>
        <v>6</v>
      </c>
      <c r="H2228" s="1">
        <f t="shared" si="208"/>
        <v>45817</v>
      </c>
      <c r="I2228" s="1">
        <f t="shared" si="209"/>
        <v>45809</v>
      </c>
      <c r="J2228">
        <v>225228.44</v>
      </c>
      <c r="K2228">
        <v>9168</v>
      </c>
      <c r="L2228">
        <f t="shared" si="205"/>
        <v>24.566801919720767</v>
      </c>
      <c r="M2228">
        <v>764</v>
      </c>
      <c r="N2228" s="2">
        <f t="shared" si="210"/>
        <v>294.80162303664923</v>
      </c>
      <c r="O2228">
        <v>12</v>
      </c>
    </row>
    <row r="2229" spans="1:15" x14ac:dyDescent="0.25">
      <c r="A2229" t="s">
        <v>46</v>
      </c>
      <c r="B2229" t="s">
        <v>15</v>
      </c>
      <c r="C2229" t="s">
        <v>37</v>
      </c>
      <c r="D2229" t="str">
        <f t="shared" si="206"/>
        <v>FAB2_ Light Light 1L</v>
      </c>
      <c r="E2229">
        <v>2025</v>
      </c>
      <c r="F2229">
        <v>25</v>
      </c>
      <c r="G2229">
        <f t="shared" si="207"/>
        <v>6</v>
      </c>
      <c r="H2229" s="1">
        <f t="shared" si="208"/>
        <v>45824</v>
      </c>
      <c r="I2229" s="1">
        <f t="shared" si="209"/>
        <v>45809</v>
      </c>
      <c r="J2229">
        <v>229412.27000000005</v>
      </c>
      <c r="K2229">
        <v>9444</v>
      </c>
      <c r="L2229">
        <f t="shared" si="205"/>
        <v>24.291854087251171</v>
      </c>
      <c r="M2229">
        <v>787</v>
      </c>
      <c r="N2229" s="2">
        <f t="shared" si="210"/>
        <v>291.50224904701406</v>
      </c>
      <c r="O2229">
        <v>12</v>
      </c>
    </row>
    <row r="2230" spans="1:15" x14ac:dyDescent="0.25">
      <c r="A2230" t="s">
        <v>46</v>
      </c>
      <c r="B2230" t="s">
        <v>15</v>
      </c>
      <c r="C2230" t="s">
        <v>37</v>
      </c>
      <c r="D2230" t="str">
        <f t="shared" si="206"/>
        <v>FAB2_ Light Light 1L</v>
      </c>
      <c r="E2230">
        <v>2025</v>
      </c>
      <c r="F2230">
        <v>26</v>
      </c>
      <c r="G2230">
        <f t="shared" si="207"/>
        <v>6</v>
      </c>
      <c r="H2230" s="1">
        <f t="shared" si="208"/>
        <v>45831</v>
      </c>
      <c r="I2230" s="1">
        <f t="shared" si="209"/>
        <v>45809</v>
      </c>
      <c r="J2230">
        <v>217979.75</v>
      </c>
      <c r="K2230">
        <v>9384</v>
      </c>
      <c r="L2230">
        <f t="shared" si="205"/>
        <v>23.228873614663257</v>
      </c>
      <c r="M2230">
        <v>782</v>
      </c>
      <c r="N2230" s="2">
        <f t="shared" si="210"/>
        <v>278.74648337595909</v>
      </c>
      <c r="O2230">
        <v>12</v>
      </c>
    </row>
    <row r="2231" spans="1:15" x14ac:dyDescent="0.25">
      <c r="A2231" t="s">
        <v>46</v>
      </c>
      <c r="B2231" t="s">
        <v>15</v>
      </c>
      <c r="C2231" t="s">
        <v>37</v>
      </c>
      <c r="D2231" t="str">
        <f t="shared" si="206"/>
        <v>FAB2_ Light Light 1L</v>
      </c>
      <c r="E2231">
        <v>2025</v>
      </c>
      <c r="F2231">
        <v>27</v>
      </c>
      <c r="G2231">
        <f t="shared" si="207"/>
        <v>7</v>
      </c>
      <c r="H2231" s="1">
        <f t="shared" si="208"/>
        <v>45838</v>
      </c>
      <c r="I2231" s="1">
        <f t="shared" si="209"/>
        <v>45839</v>
      </c>
      <c r="J2231">
        <v>270316.49999999994</v>
      </c>
      <c r="K2231">
        <v>11628</v>
      </c>
      <c r="L2231">
        <f t="shared" si="205"/>
        <v>23.247033023735806</v>
      </c>
      <c r="M2231">
        <v>969</v>
      </c>
      <c r="N2231" s="2">
        <f t="shared" si="210"/>
        <v>278.96439628482966</v>
      </c>
      <c r="O2231">
        <v>12</v>
      </c>
    </row>
    <row r="2232" spans="1:15" x14ac:dyDescent="0.25">
      <c r="A2232" t="s">
        <v>46</v>
      </c>
      <c r="B2232" t="s">
        <v>15</v>
      </c>
      <c r="C2232" t="s">
        <v>37</v>
      </c>
      <c r="D2232" t="str">
        <f t="shared" si="206"/>
        <v>FAB2_ Light Light 1L</v>
      </c>
      <c r="E2232">
        <v>2025</v>
      </c>
      <c r="F2232">
        <v>28</v>
      </c>
      <c r="G2232">
        <f t="shared" si="207"/>
        <v>7</v>
      </c>
      <c r="H2232" s="1">
        <f t="shared" si="208"/>
        <v>45845</v>
      </c>
      <c r="I2232" s="1">
        <f t="shared" si="209"/>
        <v>45839</v>
      </c>
      <c r="J2232">
        <v>250558.38999999996</v>
      </c>
      <c r="K2232">
        <v>10488</v>
      </c>
      <c r="L2232">
        <f t="shared" si="205"/>
        <v>23.890006674294426</v>
      </c>
      <c r="M2232">
        <v>874</v>
      </c>
      <c r="N2232" s="2">
        <f t="shared" si="210"/>
        <v>286.68008009153311</v>
      </c>
      <c r="O2232">
        <v>12</v>
      </c>
    </row>
    <row r="2233" spans="1:15" x14ac:dyDescent="0.25">
      <c r="A2233" t="s">
        <v>46</v>
      </c>
      <c r="B2233" t="s">
        <v>15</v>
      </c>
      <c r="C2233" t="s">
        <v>37</v>
      </c>
      <c r="D2233" t="str">
        <f t="shared" si="206"/>
        <v>FAB2_ Light Light 1L</v>
      </c>
      <c r="E2233">
        <v>2025</v>
      </c>
      <c r="F2233">
        <v>29</v>
      </c>
      <c r="G2233">
        <f t="shared" si="207"/>
        <v>7</v>
      </c>
      <c r="H2233" s="1">
        <f t="shared" si="208"/>
        <v>45852</v>
      </c>
      <c r="I2233" s="1">
        <f t="shared" si="209"/>
        <v>45839</v>
      </c>
      <c r="J2233">
        <v>250482.54000000004</v>
      </c>
      <c r="K2233">
        <v>10536</v>
      </c>
      <c r="L2233">
        <f t="shared" si="205"/>
        <v>23.773969248291575</v>
      </c>
      <c r="M2233">
        <v>878</v>
      </c>
      <c r="N2233" s="2">
        <f t="shared" si="210"/>
        <v>285.28763097949889</v>
      </c>
      <c r="O2233">
        <v>12</v>
      </c>
    </row>
    <row r="2234" spans="1:15" x14ac:dyDescent="0.25">
      <c r="A2234" t="s">
        <v>46</v>
      </c>
      <c r="B2234" t="s">
        <v>15</v>
      </c>
      <c r="C2234" t="s">
        <v>37</v>
      </c>
      <c r="D2234" t="str">
        <f t="shared" si="206"/>
        <v>FAB2_ Light Light 1L</v>
      </c>
      <c r="E2234">
        <v>2025</v>
      </c>
      <c r="F2234">
        <v>30</v>
      </c>
      <c r="G2234">
        <f t="shared" si="207"/>
        <v>7</v>
      </c>
      <c r="H2234" s="1">
        <f t="shared" si="208"/>
        <v>45859</v>
      </c>
      <c r="I2234" s="1">
        <f t="shared" si="209"/>
        <v>45839</v>
      </c>
      <c r="J2234">
        <v>255924.19999999992</v>
      </c>
      <c r="K2234">
        <v>11088</v>
      </c>
      <c r="L2234">
        <f t="shared" si="205"/>
        <v>23.081186868686864</v>
      </c>
      <c r="M2234">
        <v>924</v>
      </c>
      <c r="N2234" s="2">
        <f t="shared" si="210"/>
        <v>276.97424242424233</v>
      </c>
      <c r="O2234">
        <v>12</v>
      </c>
    </row>
    <row r="2235" spans="1:15" x14ac:dyDescent="0.25">
      <c r="A2235" t="s">
        <v>46</v>
      </c>
      <c r="B2235" t="s">
        <v>15</v>
      </c>
      <c r="C2235" t="s">
        <v>37</v>
      </c>
      <c r="D2235" t="str">
        <f t="shared" si="206"/>
        <v>FAB2_ Light Light 1L</v>
      </c>
      <c r="E2235">
        <v>2025</v>
      </c>
      <c r="F2235">
        <v>31</v>
      </c>
      <c r="G2235">
        <f t="shared" si="207"/>
        <v>7</v>
      </c>
      <c r="H2235" s="1">
        <f t="shared" si="208"/>
        <v>45866</v>
      </c>
      <c r="I2235" s="1">
        <f t="shared" si="209"/>
        <v>45839</v>
      </c>
      <c r="J2235">
        <v>269315.66000000009</v>
      </c>
      <c r="K2235">
        <v>11568</v>
      </c>
      <c r="L2235">
        <f t="shared" si="205"/>
        <v>23.281090940525594</v>
      </c>
      <c r="M2235">
        <v>964</v>
      </c>
      <c r="N2235" s="2">
        <f t="shared" si="210"/>
        <v>279.37309128630716</v>
      </c>
      <c r="O2235">
        <v>12</v>
      </c>
    </row>
    <row r="2236" spans="1:15" x14ac:dyDescent="0.25">
      <c r="A2236" t="s">
        <v>46</v>
      </c>
      <c r="B2236" t="s">
        <v>15</v>
      </c>
      <c r="C2236" t="s">
        <v>38</v>
      </c>
      <c r="D2236" t="str">
        <f t="shared" si="206"/>
        <v>FAB2_ Semi Semi Descremada 1L</v>
      </c>
      <c r="E2236">
        <v>2022</v>
      </c>
      <c r="F2236">
        <v>1</v>
      </c>
      <c r="G2236">
        <f t="shared" si="207"/>
        <v>1</v>
      </c>
      <c r="H2236" s="1">
        <f t="shared" si="208"/>
        <v>44564</v>
      </c>
      <c r="I2236" s="1">
        <f t="shared" si="209"/>
        <v>44562</v>
      </c>
      <c r="J2236">
        <v>1284</v>
      </c>
      <c r="K2236">
        <v>72</v>
      </c>
      <c r="L2236">
        <f t="shared" si="205"/>
        <v>17.833333333333332</v>
      </c>
      <c r="M2236">
        <v>6</v>
      </c>
      <c r="N2236" s="2">
        <f t="shared" si="210"/>
        <v>214</v>
      </c>
      <c r="O2236">
        <v>12</v>
      </c>
    </row>
    <row r="2237" spans="1:15" x14ac:dyDescent="0.25">
      <c r="A2237" t="s">
        <v>46</v>
      </c>
      <c r="B2237" t="s">
        <v>17</v>
      </c>
      <c r="C2237" t="s">
        <v>8</v>
      </c>
      <c r="D2237" t="str">
        <f t="shared" si="206"/>
        <v>FAB5_Mm 12/1L Leche Desla Members Mark</v>
      </c>
      <c r="E2237">
        <v>2024</v>
      </c>
      <c r="F2237">
        <v>28</v>
      </c>
      <c r="G2237">
        <f t="shared" si="207"/>
        <v>7</v>
      </c>
      <c r="H2237" s="1">
        <f t="shared" si="208"/>
        <v>45481</v>
      </c>
      <c r="I2237" s="1">
        <f t="shared" si="209"/>
        <v>45474</v>
      </c>
      <c r="J2237">
        <v>235</v>
      </c>
      <c r="K2237">
        <v>12</v>
      </c>
      <c r="L2237">
        <f t="shared" si="205"/>
        <v>19.583333333333332</v>
      </c>
      <c r="M2237">
        <v>1</v>
      </c>
      <c r="N2237" s="2">
        <f t="shared" si="210"/>
        <v>235</v>
      </c>
      <c r="O2237">
        <v>12</v>
      </c>
    </row>
    <row r="2238" spans="1:15" x14ac:dyDescent="0.25">
      <c r="A2238" t="s">
        <v>46</v>
      </c>
      <c r="B2238" t="s">
        <v>17</v>
      </c>
      <c r="C2238" t="s">
        <v>8</v>
      </c>
      <c r="D2238" t="str">
        <f t="shared" si="206"/>
        <v>FAB5_Mm 12/1L Leche Desla Members Mark</v>
      </c>
      <c r="E2238">
        <v>2024</v>
      </c>
      <c r="F2238">
        <v>35</v>
      </c>
      <c r="G2238">
        <f t="shared" si="207"/>
        <v>8</v>
      </c>
      <c r="H2238" s="1">
        <f t="shared" si="208"/>
        <v>45530</v>
      </c>
      <c r="I2238" s="1">
        <f t="shared" si="209"/>
        <v>45505</v>
      </c>
      <c r="J2238">
        <v>169200</v>
      </c>
      <c r="K2238">
        <v>8640</v>
      </c>
      <c r="L2238">
        <f t="shared" ref="L2238:L2301" si="211">J2238/(M2238*O2238)</f>
        <v>19.583333333333332</v>
      </c>
      <c r="M2238">
        <v>720</v>
      </c>
      <c r="N2238" s="2">
        <f t="shared" si="210"/>
        <v>235</v>
      </c>
      <c r="O2238">
        <v>12</v>
      </c>
    </row>
    <row r="2239" spans="1:15" x14ac:dyDescent="0.25">
      <c r="A2239" t="s">
        <v>46</v>
      </c>
      <c r="B2239" t="s">
        <v>17</v>
      </c>
      <c r="C2239" t="s">
        <v>8</v>
      </c>
      <c r="D2239" t="str">
        <f t="shared" si="206"/>
        <v>FAB5_Mm 12/1L Leche Desla Members Mark</v>
      </c>
      <c r="E2239">
        <v>2024</v>
      </c>
      <c r="F2239">
        <v>36</v>
      </c>
      <c r="G2239">
        <f t="shared" si="207"/>
        <v>9</v>
      </c>
      <c r="H2239" s="1">
        <f t="shared" si="208"/>
        <v>45537</v>
      </c>
      <c r="I2239" s="1">
        <f t="shared" si="209"/>
        <v>45536</v>
      </c>
      <c r="J2239">
        <v>670023.18000000017</v>
      </c>
      <c r="K2239">
        <v>34680</v>
      </c>
      <c r="L2239">
        <f t="shared" si="211"/>
        <v>19.320160899653985</v>
      </c>
      <c r="M2239">
        <v>2890</v>
      </c>
      <c r="N2239" s="2">
        <f t="shared" si="210"/>
        <v>231.84193079584782</v>
      </c>
      <c r="O2239">
        <v>12</v>
      </c>
    </row>
    <row r="2240" spans="1:15" x14ac:dyDescent="0.25">
      <c r="A2240" t="s">
        <v>46</v>
      </c>
      <c r="B2240" t="s">
        <v>17</v>
      </c>
      <c r="C2240" t="s">
        <v>8</v>
      </c>
      <c r="D2240" t="str">
        <f t="shared" si="206"/>
        <v>FAB5_Mm 12/1L Leche Desla Members Mark</v>
      </c>
      <c r="E2240">
        <v>2024</v>
      </c>
      <c r="F2240">
        <v>37</v>
      </c>
      <c r="G2240">
        <f t="shared" si="207"/>
        <v>9</v>
      </c>
      <c r="H2240" s="1">
        <f t="shared" si="208"/>
        <v>45544</v>
      </c>
      <c r="I2240" s="1">
        <f t="shared" si="209"/>
        <v>45536</v>
      </c>
      <c r="J2240">
        <v>915494.91000000027</v>
      </c>
      <c r="K2240">
        <v>48876</v>
      </c>
      <c r="L2240">
        <f t="shared" si="211"/>
        <v>18.730970414927576</v>
      </c>
      <c r="M2240">
        <v>4073</v>
      </c>
      <c r="N2240" s="2">
        <f t="shared" si="210"/>
        <v>224.77164497913094</v>
      </c>
      <c r="O2240">
        <v>12</v>
      </c>
    </row>
    <row r="2241" spans="1:15" x14ac:dyDescent="0.25">
      <c r="A2241" t="s">
        <v>46</v>
      </c>
      <c r="B2241" t="s">
        <v>17</v>
      </c>
      <c r="C2241" t="s">
        <v>8</v>
      </c>
      <c r="D2241" t="str">
        <f t="shared" si="206"/>
        <v>FAB5_Mm 12/1L Leche Desla Members Mark</v>
      </c>
      <c r="E2241">
        <v>2024</v>
      </c>
      <c r="F2241">
        <v>38</v>
      </c>
      <c r="G2241">
        <f t="shared" si="207"/>
        <v>9</v>
      </c>
      <c r="H2241" s="1">
        <f t="shared" si="208"/>
        <v>45551</v>
      </c>
      <c r="I2241" s="1">
        <f t="shared" si="209"/>
        <v>45536</v>
      </c>
      <c r="J2241">
        <v>1113412.5799999996</v>
      </c>
      <c r="K2241">
        <v>59652</v>
      </c>
      <c r="L2241">
        <f t="shared" si="211"/>
        <v>18.665134111178162</v>
      </c>
      <c r="M2241">
        <v>4971</v>
      </c>
      <c r="N2241" s="2">
        <f t="shared" si="210"/>
        <v>223.98160933413791</v>
      </c>
      <c r="O2241">
        <v>12</v>
      </c>
    </row>
    <row r="2242" spans="1:15" x14ac:dyDescent="0.25">
      <c r="A2242" t="s">
        <v>46</v>
      </c>
      <c r="B2242" t="s">
        <v>17</v>
      </c>
      <c r="C2242" t="s">
        <v>8</v>
      </c>
      <c r="D2242" t="str">
        <f t="shared" si="206"/>
        <v>FAB5_Mm 12/1L Leche Desla Members Mark</v>
      </c>
      <c r="E2242">
        <v>2024</v>
      </c>
      <c r="F2242">
        <v>39</v>
      </c>
      <c r="G2242">
        <f t="shared" si="207"/>
        <v>9</v>
      </c>
      <c r="H2242" s="1">
        <f t="shared" si="208"/>
        <v>45558</v>
      </c>
      <c r="I2242" s="1">
        <f t="shared" si="209"/>
        <v>45536</v>
      </c>
      <c r="J2242">
        <v>773486.59000000043</v>
      </c>
      <c r="K2242">
        <v>39684</v>
      </c>
      <c r="L2242">
        <f t="shared" si="211"/>
        <v>19.491144793871598</v>
      </c>
      <c r="M2242">
        <v>3307</v>
      </c>
      <c r="N2242" s="2">
        <f t="shared" si="210"/>
        <v>233.89373752645915</v>
      </c>
      <c r="O2242">
        <v>12</v>
      </c>
    </row>
    <row r="2243" spans="1:15" x14ac:dyDescent="0.25">
      <c r="A2243" t="s">
        <v>46</v>
      </c>
      <c r="B2243" t="s">
        <v>17</v>
      </c>
      <c r="C2243" t="s">
        <v>8</v>
      </c>
      <c r="D2243" t="str">
        <f t="shared" ref="D2243:D2306" si="212">B2243&amp;"_"&amp;C2243</f>
        <v>FAB5_Mm 12/1L Leche Desla Members Mark</v>
      </c>
      <c r="E2243">
        <v>2024</v>
      </c>
      <c r="F2243">
        <v>40</v>
      </c>
      <c r="G2243">
        <f t="shared" ref="G2243:G2306" si="213">MONTH(DATE(E2243,1,4)+(F2243-1)*7-WEEKDAY(DATE(E2243,1,4),2)+4)</f>
        <v>10</v>
      </c>
      <c r="H2243" s="1">
        <f t="shared" ref="H2243:H2306" si="214">DATE(E2243,1,-2)-WEEKDAY(DATE(E2243,1,3))+F2243*7</f>
        <v>45565</v>
      </c>
      <c r="I2243" s="1">
        <f t="shared" ref="I2243:I2306" si="215">DATE(E2243,G2243,1)</f>
        <v>45566</v>
      </c>
      <c r="J2243">
        <v>1101256.7500000005</v>
      </c>
      <c r="K2243">
        <v>56496</v>
      </c>
      <c r="L2243">
        <f t="shared" si="211"/>
        <v>19.492649922118389</v>
      </c>
      <c r="M2243">
        <v>4708</v>
      </c>
      <c r="N2243" s="2">
        <f t="shared" ref="N2243:N2306" si="216">J2243/M2243</f>
        <v>233.91179906542067</v>
      </c>
      <c r="O2243">
        <v>12</v>
      </c>
    </row>
    <row r="2244" spans="1:15" x14ac:dyDescent="0.25">
      <c r="A2244" t="s">
        <v>46</v>
      </c>
      <c r="B2244" t="s">
        <v>17</v>
      </c>
      <c r="C2244" t="s">
        <v>8</v>
      </c>
      <c r="D2244" t="str">
        <f t="shared" si="212"/>
        <v>FAB5_Mm 12/1L Leche Desla Members Mark</v>
      </c>
      <c r="E2244">
        <v>2024</v>
      </c>
      <c r="F2244">
        <v>41</v>
      </c>
      <c r="G2244">
        <f t="shared" si="213"/>
        <v>10</v>
      </c>
      <c r="H2244" s="1">
        <f t="shared" si="214"/>
        <v>45572</v>
      </c>
      <c r="I2244" s="1">
        <f t="shared" si="215"/>
        <v>45566</v>
      </c>
      <c r="J2244">
        <v>1074580.8500000006</v>
      </c>
      <c r="K2244">
        <v>57636</v>
      </c>
      <c r="L2244">
        <f t="shared" si="211"/>
        <v>18.644264869178993</v>
      </c>
      <c r="M2244">
        <v>4803</v>
      </c>
      <c r="N2244" s="2">
        <f t="shared" si="216"/>
        <v>223.73117843014793</v>
      </c>
      <c r="O2244">
        <v>12</v>
      </c>
    </row>
    <row r="2245" spans="1:15" x14ac:dyDescent="0.25">
      <c r="A2245" t="s">
        <v>46</v>
      </c>
      <c r="B2245" t="s">
        <v>17</v>
      </c>
      <c r="C2245" t="s">
        <v>8</v>
      </c>
      <c r="D2245" t="str">
        <f t="shared" si="212"/>
        <v>FAB5_Mm 12/1L Leche Desla Members Mark</v>
      </c>
      <c r="E2245">
        <v>2024</v>
      </c>
      <c r="F2245">
        <v>42</v>
      </c>
      <c r="G2245">
        <f t="shared" si="213"/>
        <v>10</v>
      </c>
      <c r="H2245" s="1">
        <f t="shared" si="214"/>
        <v>45579</v>
      </c>
      <c r="I2245" s="1">
        <f t="shared" si="215"/>
        <v>45566</v>
      </c>
      <c r="J2245">
        <v>1662240.4900000012</v>
      </c>
      <c r="K2245">
        <v>100128</v>
      </c>
      <c r="L2245">
        <f t="shared" si="211"/>
        <v>16.601155421061055</v>
      </c>
      <c r="M2245">
        <v>8344</v>
      </c>
      <c r="N2245" s="2">
        <f t="shared" si="216"/>
        <v>199.21386505273264</v>
      </c>
      <c r="O2245">
        <v>12</v>
      </c>
    </row>
    <row r="2246" spans="1:15" x14ac:dyDescent="0.25">
      <c r="A2246" t="s">
        <v>46</v>
      </c>
      <c r="B2246" t="s">
        <v>17</v>
      </c>
      <c r="C2246" t="s">
        <v>8</v>
      </c>
      <c r="D2246" t="str">
        <f t="shared" si="212"/>
        <v>FAB5_Mm 12/1L Leche Desla Members Mark</v>
      </c>
      <c r="E2246">
        <v>2024</v>
      </c>
      <c r="F2246">
        <v>43</v>
      </c>
      <c r="G2246">
        <f t="shared" si="213"/>
        <v>10</v>
      </c>
      <c r="H2246" s="1">
        <f t="shared" si="214"/>
        <v>45586</v>
      </c>
      <c r="I2246" s="1">
        <f t="shared" si="215"/>
        <v>45566</v>
      </c>
      <c r="J2246">
        <v>1265085.6799999997</v>
      </c>
      <c r="K2246">
        <v>73824</v>
      </c>
      <c r="L2246">
        <f t="shared" si="211"/>
        <v>17.136509536194186</v>
      </c>
      <c r="M2246">
        <v>6152</v>
      </c>
      <c r="N2246" s="2">
        <f t="shared" si="216"/>
        <v>205.63811443433025</v>
      </c>
      <c r="O2246">
        <v>12</v>
      </c>
    </row>
    <row r="2247" spans="1:15" x14ac:dyDescent="0.25">
      <c r="A2247" t="s">
        <v>46</v>
      </c>
      <c r="B2247" t="s">
        <v>17</v>
      </c>
      <c r="C2247" t="s">
        <v>8</v>
      </c>
      <c r="D2247" t="str">
        <f t="shared" si="212"/>
        <v>FAB5_Mm 12/1L Leche Desla Members Mark</v>
      </c>
      <c r="E2247">
        <v>2024</v>
      </c>
      <c r="F2247">
        <v>44</v>
      </c>
      <c r="G2247">
        <f t="shared" si="213"/>
        <v>10</v>
      </c>
      <c r="H2247" s="1">
        <f t="shared" si="214"/>
        <v>45593</v>
      </c>
      <c r="I2247" s="1">
        <f t="shared" si="215"/>
        <v>45566</v>
      </c>
      <c r="J2247">
        <v>1062373.4099999992</v>
      </c>
      <c r="K2247">
        <v>55092</v>
      </c>
      <c r="L2247">
        <f t="shared" si="211"/>
        <v>19.283623938139826</v>
      </c>
      <c r="M2247">
        <v>4591</v>
      </c>
      <c r="N2247" s="2">
        <f t="shared" si="216"/>
        <v>231.40348725767791</v>
      </c>
      <c r="O2247">
        <v>12</v>
      </c>
    </row>
    <row r="2248" spans="1:15" x14ac:dyDescent="0.25">
      <c r="A2248" t="s">
        <v>46</v>
      </c>
      <c r="B2248" t="s">
        <v>17</v>
      </c>
      <c r="C2248" t="s">
        <v>8</v>
      </c>
      <c r="D2248" t="str">
        <f t="shared" si="212"/>
        <v>FAB5_Mm 12/1L Leche Desla Members Mark</v>
      </c>
      <c r="E2248">
        <v>2024</v>
      </c>
      <c r="F2248">
        <v>45</v>
      </c>
      <c r="G2248">
        <f t="shared" si="213"/>
        <v>11</v>
      </c>
      <c r="H2248" s="1">
        <f t="shared" si="214"/>
        <v>45600</v>
      </c>
      <c r="I2248" s="1">
        <f t="shared" si="215"/>
        <v>45597</v>
      </c>
      <c r="J2248">
        <v>1181384.7799999996</v>
      </c>
      <c r="K2248">
        <v>60924</v>
      </c>
      <c r="L2248">
        <f t="shared" si="211"/>
        <v>19.391123038539813</v>
      </c>
      <c r="M2248">
        <v>5077</v>
      </c>
      <c r="N2248" s="2">
        <f t="shared" si="216"/>
        <v>232.69347646247775</v>
      </c>
      <c r="O2248">
        <v>12</v>
      </c>
    </row>
    <row r="2249" spans="1:15" x14ac:dyDescent="0.25">
      <c r="A2249" t="s">
        <v>46</v>
      </c>
      <c r="B2249" t="s">
        <v>17</v>
      </c>
      <c r="C2249" t="s">
        <v>8</v>
      </c>
      <c r="D2249" t="str">
        <f t="shared" si="212"/>
        <v>FAB5_Mm 12/1L Leche Desla Members Mark</v>
      </c>
      <c r="E2249">
        <v>2024</v>
      </c>
      <c r="F2249">
        <v>46</v>
      </c>
      <c r="G2249">
        <f t="shared" si="213"/>
        <v>11</v>
      </c>
      <c r="H2249" s="1">
        <f t="shared" si="214"/>
        <v>45607</v>
      </c>
      <c r="I2249" s="1">
        <f t="shared" si="215"/>
        <v>45597</v>
      </c>
      <c r="J2249">
        <v>1183040.45</v>
      </c>
      <c r="K2249">
        <v>60792</v>
      </c>
      <c r="L2249">
        <f t="shared" si="211"/>
        <v>19.4604627253586</v>
      </c>
      <c r="M2249">
        <v>5066</v>
      </c>
      <c r="N2249" s="2">
        <f t="shared" si="216"/>
        <v>233.52555270430318</v>
      </c>
      <c r="O2249">
        <v>12</v>
      </c>
    </row>
    <row r="2250" spans="1:15" x14ac:dyDescent="0.25">
      <c r="A2250" t="s">
        <v>46</v>
      </c>
      <c r="B2250" t="s">
        <v>17</v>
      </c>
      <c r="C2250" t="s">
        <v>8</v>
      </c>
      <c r="D2250" t="str">
        <f t="shared" si="212"/>
        <v>FAB5_Mm 12/1L Leche Desla Members Mark</v>
      </c>
      <c r="E2250">
        <v>2024</v>
      </c>
      <c r="F2250">
        <v>47</v>
      </c>
      <c r="G2250">
        <f t="shared" si="213"/>
        <v>11</v>
      </c>
      <c r="H2250" s="1">
        <f t="shared" si="214"/>
        <v>45614</v>
      </c>
      <c r="I2250" s="1">
        <f t="shared" si="215"/>
        <v>45597</v>
      </c>
      <c r="J2250">
        <v>1406156.2600000002</v>
      </c>
      <c r="K2250">
        <v>71892</v>
      </c>
      <c r="L2250">
        <f t="shared" si="211"/>
        <v>19.559286986034611</v>
      </c>
      <c r="M2250">
        <v>5991</v>
      </c>
      <c r="N2250" s="2">
        <f t="shared" si="216"/>
        <v>234.71144383241534</v>
      </c>
      <c r="O2250">
        <v>12</v>
      </c>
    </row>
    <row r="2251" spans="1:15" x14ac:dyDescent="0.25">
      <c r="A2251" t="s">
        <v>46</v>
      </c>
      <c r="B2251" t="s">
        <v>17</v>
      </c>
      <c r="C2251" t="s">
        <v>8</v>
      </c>
      <c r="D2251" t="str">
        <f t="shared" si="212"/>
        <v>FAB5_Mm 12/1L Leche Desla Members Mark</v>
      </c>
      <c r="E2251">
        <v>2024</v>
      </c>
      <c r="F2251">
        <v>48</v>
      </c>
      <c r="G2251">
        <f t="shared" si="213"/>
        <v>11</v>
      </c>
      <c r="H2251" s="1">
        <f t="shared" si="214"/>
        <v>45621</v>
      </c>
      <c r="I2251" s="1">
        <f t="shared" si="215"/>
        <v>45597</v>
      </c>
      <c r="J2251">
        <v>977135.20000000019</v>
      </c>
      <c r="K2251">
        <v>49872</v>
      </c>
      <c r="L2251">
        <f t="shared" si="211"/>
        <v>19.592861726018612</v>
      </c>
      <c r="M2251">
        <v>4156</v>
      </c>
      <c r="N2251" s="2">
        <f t="shared" si="216"/>
        <v>235.11434071222334</v>
      </c>
      <c r="O2251">
        <v>12</v>
      </c>
    </row>
    <row r="2252" spans="1:15" x14ac:dyDescent="0.25">
      <c r="A2252" t="s">
        <v>46</v>
      </c>
      <c r="B2252" t="s">
        <v>17</v>
      </c>
      <c r="C2252" t="s">
        <v>8</v>
      </c>
      <c r="D2252" t="str">
        <f t="shared" si="212"/>
        <v>FAB5_Mm 12/1L Leche Desla Members Mark</v>
      </c>
      <c r="E2252">
        <v>2024</v>
      </c>
      <c r="F2252">
        <v>49</v>
      </c>
      <c r="G2252">
        <f t="shared" si="213"/>
        <v>12</v>
      </c>
      <c r="H2252" s="1">
        <f t="shared" si="214"/>
        <v>45628</v>
      </c>
      <c r="I2252" s="1">
        <f t="shared" si="215"/>
        <v>45627</v>
      </c>
      <c r="J2252">
        <v>1270722.8000000003</v>
      </c>
      <c r="K2252">
        <v>64872</v>
      </c>
      <c r="L2252">
        <f t="shared" si="211"/>
        <v>19.588155136268348</v>
      </c>
      <c r="M2252">
        <v>5406</v>
      </c>
      <c r="N2252" s="2">
        <f t="shared" si="216"/>
        <v>235.05786163522018</v>
      </c>
      <c r="O2252">
        <v>12</v>
      </c>
    </row>
    <row r="2253" spans="1:15" x14ac:dyDescent="0.25">
      <c r="A2253" t="s">
        <v>46</v>
      </c>
      <c r="B2253" t="s">
        <v>17</v>
      </c>
      <c r="C2253" t="s">
        <v>8</v>
      </c>
      <c r="D2253" t="str">
        <f t="shared" si="212"/>
        <v>FAB5_Mm 12/1L Leche Desla Members Mark</v>
      </c>
      <c r="E2253">
        <v>2024</v>
      </c>
      <c r="F2253">
        <v>50</v>
      </c>
      <c r="G2253">
        <f t="shared" si="213"/>
        <v>12</v>
      </c>
      <c r="H2253" s="1">
        <f t="shared" si="214"/>
        <v>45635</v>
      </c>
      <c r="I2253" s="1">
        <f t="shared" si="215"/>
        <v>45627</v>
      </c>
      <c r="J2253">
        <v>1484989.2499999993</v>
      </c>
      <c r="K2253">
        <v>76032</v>
      </c>
      <c r="L2253">
        <f t="shared" si="211"/>
        <v>19.53110861216329</v>
      </c>
      <c r="M2253">
        <v>6336</v>
      </c>
      <c r="N2253" s="2">
        <f t="shared" si="216"/>
        <v>234.3733033459595</v>
      </c>
      <c r="O2253">
        <v>12</v>
      </c>
    </row>
    <row r="2254" spans="1:15" x14ac:dyDescent="0.25">
      <c r="A2254" t="s">
        <v>46</v>
      </c>
      <c r="B2254" t="s">
        <v>17</v>
      </c>
      <c r="C2254" t="s">
        <v>8</v>
      </c>
      <c r="D2254" t="str">
        <f t="shared" si="212"/>
        <v>FAB5_Mm 12/1L Leche Desla Members Mark</v>
      </c>
      <c r="E2254">
        <v>2024</v>
      </c>
      <c r="F2254">
        <v>51</v>
      </c>
      <c r="G2254">
        <f t="shared" si="213"/>
        <v>12</v>
      </c>
      <c r="H2254" s="1">
        <f t="shared" si="214"/>
        <v>45642</v>
      </c>
      <c r="I2254" s="1">
        <f t="shared" si="215"/>
        <v>45627</v>
      </c>
      <c r="J2254">
        <v>1494003.0100000002</v>
      </c>
      <c r="K2254">
        <v>76788</v>
      </c>
      <c r="L2254">
        <f t="shared" si="211"/>
        <v>19.456204224618432</v>
      </c>
      <c r="M2254">
        <v>6399</v>
      </c>
      <c r="N2254" s="2">
        <f t="shared" si="216"/>
        <v>233.47445069542121</v>
      </c>
      <c r="O2254">
        <v>12</v>
      </c>
    </row>
    <row r="2255" spans="1:15" x14ac:dyDescent="0.25">
      <c r="A2255" t="s">
        <v>46</v>
      </c>
      <c r="B2255" t="s">
        <v>17</v>
      </c>
      <c r="C2255" t="s">
        <v>8</v>
      </c>
      <c r="D2255" t="str">
        <f t="shared" si="212"/>
        <v>FAB5_Mm 12/1L Leche Desla Members Mark</v>
      </c>
      <c r="E2255">
        <v>2024</v>
      </c>
      <c r="F2255">
        <v>52</v>
      </c>
      <c r="G2255">
        <f t="shared" si="213"/>
        <v>12</v>
      </c>
      <c r="H2255" s="1">
        <f t="shared" si="214"/>
        <v>45649</v>
      </c>
      <c r="I2255" s="1">
        <f t="shared" si="215"/>
        <v>45627</v>
      </c>
      <c r="J2255">
        <v>1357629.1700000004</v>
      </c>
      <c r="K2255">
        <v>69504</v>
      </c>
      <c r="L2255">
        <f t="shared" si="211"/>
        <v>19.533108454189694</v>
      </c>
      <c r="M2255">
        <v>5792</v>
      </c>
      <c r="N2255" s="2">
        <f t="shared" si="216"/>
        <v>234.3973014502763</v>
      </c>
      <c r="O2255">
        <v>12</v>
      </c>
    </row>
    <row r="2256" spans="1:15" x14ac:dyDescent="0.25">
      <c r="A2256" t="s">
        <v>46</v>
      </c>
      <c r="B2256" t="s">
        <v>17</v>
      </c>
      <c r="C2256" t="s">
        <v>8</v>
      </c>
      <c r="D2256" t="str">
        <f t="shared" si="212"/>
        <v>FAB5_Mm 12/1L Leche Desla Members Mark</v>
      </c>
      <c r="E2256">
        <v>2025</v>
      </c>
      <c r="F2256">
        <v>1</v>
      </c>
      <c r="G2256">
        <f t="shared" si="213"/>
        <v>1</v>
      </c>
      <c r="H2256" s="1">
        <f t="shared" si="214"/>
        <v>45656</v>
      </c>
      <c r="I2256" s="1">
        <f t="shared" si="215"/>
        <v>45658</v>
      </c>
      <c r="J2256">
        <v>1706832.04</v>
      </c>
      <c r="K2256">
        <v>87192</v>
      </c>
      <c r="L2256">
        <f t="shared" si="211"/>
        <v>19.575557849343976</v>
      </c>
      <c r="M2256">
        <v>7266</v>
      </c>
      <c r="N2256" s="2">
        <f t="shared" si="216"/>
        <v>234.90669419212773</v>
      </c>
      <c r="O2256">
        <v>12</v>
      </c>
    </row>
    <row r="2257" spans="1:15" x14ac:dyDescent="0.25">
      <c r="A2257" t="s">
        <v>46</v>
      </c>
      <c r="B2257" t="s">
        <v>17</v>
      </c>
      <c r="C2257" t="s">
        <v>8</v>
      </c>
      <c r="D2257" t="str">
        <f t="shared" si="212"/>
        <v>FAB5_Mm 12/1L Leche Desla Members Mark</v>
      </c>
      <c r="E2257">
        <v>2025</v>
      </c>
      <c r="F2257">
        <v>2</v>
      </c>
      <c r="G2257">
        <f t="shared" si="213"/>
        <v>1</v>
      </c>
      <c r="H2257" s="1">
        <f t="shared" si="214"/>
        <v>45663</v>
      </c>
      <c r="I2257" s="1">
        <f t="shared" si="215"/>
        <v>45658</v>
      </c>
      <c r="J2257">
        <v>1604462.7000000002</v>
      </c>
      <c r="K2257">
        <v>82152</v>
      </c>
      <c r="L2257">
        <f t="shared" si="211"/>
        <v>19.530415571136434</v>
      </c>
      <c r="M2257">
        <v>6846</v>
      </c>
      <c r="N2257" s="2">
        <f t="shared" si="216"/>
        <v>234.36498685363719</v>
      </c>
      <c r="O2257">
        <v>12</v>
      </c>
    </row>
    <row r="2258" spans="1:15" x14ac:dyDescent="0.25">
      <c r="A2258" t="s">
        <v>46</v>
      </c>
      <c r="B2258" t="s">
        <v>17</v>
      </c>
      <c r="C2258" t="s">
        <v>8</v>
      </c>
      <c r="D2258" t="str">
        <f t="shared" si="212"/>
        <v>FAB5_Mm 12/1L Leche Desla Members Mark</v>
      </c>
      <c r="E2258">
        <v>2025</v>
      </c>
      <c r="F2258">
        <v>3</v>
      </c>
      <c r="G2258">
        <f t="shared" si="213"/>
        <v>1</v>
      </c>
      <c r="H2258" s="1">
        <f t="shared" si="214"/>
        <v>45670</v>
      </c>
      <c r="I2258" s="1">
        <f t="shared" si="215"/>
        <v>45658</v>
      </c>
      <c r="J2258">
        <v>1603555.61</v>
      </c>
      <c r="K2258">
        <v>83220</v>
      </c>
      <c r="L2258">
        <f t="shared" si="211"/>
        <v>19.268872987262679</v>
      </c>
      <c r="M2258">
        <v>6935</v>
      </c>
      <c r="N2258" s="2">
        <f t="shared" si="216"/>
        <v>231.22647584715213</v>
      </c>
      <c r="O2258">
        <v>12</v>
      </c>
    </row>
    <row r="2259" spans="1:15" x14ac:dyDescent="0.25">
      <c r="A2259" t="s">
        <v>46</v>
      </c>
      <c r="B2259" t="s">
        <v>17</v>
      </c>
      <c r="C2259" t="s">
        <v>8</v>
      </c>
      <c r="D2259" t="str">
        <f t="shared" si="212"/>
        <v>FAB5_Mm 12/1L Leche Desla Members Mark</v>
      </c>
      <c r="E2259">
        <v>2025</v>
      </c>
      <c r="F2259">
        <v>4</v>
      </c>
      <c r="G2259">
        <f t="shared" si="213"/>
        <v>1</v>
      </c>
      <c r="H2259" s="1">
        <f t="shared" si="214"/>
        <v>45677</v>
      </c>
      <c r="I2259" s="1">
        <f t="shared" si="215"/>
        <v>45658</v>
      </c>
      <c r="J2259">
        <v>1426291.3599999999</v>
      </c>
      <c r="K2259">
        <v>72792</v>
      </c>
      <c r="L2259">
        <f t="shared" si="211"/>
        <v>19.594067479942851</v>
      </c>
      <c r="M2259">
        <v>6066</v>
      </c>
      <c r="N2259" s="2">
        <f t="shared" si="216"/>
        <v>235.12880975931418</v>
      </c>
      <c r="O2259">
        <v>12</v>
      </c>
    </row>
    <row r="2260" spans="1:15" x14ac:dyDescent="0.25">
      <c r="A2260" t="s">
        <v>46</v>
      </c>
      <c r="B2260" t="s">
        <v>17</v>
      </c>
      <c r="C2260" t="s">
        <v>8</v>
      </c>
      <c r="D2260" t="str">
        <f t="shared" si="212"/>
        <v>FAB5_Mm 12/1L Leche Desla Members Mark</v>
      </c>
      <c r="E2260">
        <v>2025</v>
      </c>
      <c r="F2260">
        <v>5</v>
      </c>
      <c r="G2260">
        <f t="shared" si="213"/>
        <v>1</v>
      </c>
      <c r="H2260" s="1">
        <f t="shared" si="214"/>
        <v>45684</v>
      </c>
      <c r="I2260" s="1">
        <f t="shared" si="215"/>
        <v>45658</v>
      </c>
      <c r="J2260">
        <v>1722974.1799999997</v>
      </c>
      <c r="K2260">
        <v>88164</v>
      </c>
      <c r="L2260">
        <f t="shared" si="211"/>
        <v>19.542831314368673</v>
      </c>
      <c r="M2260">
        <v>7347</v>
      </c>
      <c r="N2260" s="2">
        <f t="shared" si="216"/>
        <v>234.51397577242409</v>
      </c>
      <c r="O2260">
        <v>12</v>
      </c>
    </row>
    <row r="2261" spans="1:15" x14ac:dyDescent="0.25">
      <c r="A2261" t="s">
        <v>46</v>
      </c>
      <c r="B2261" t="s">
        <v>17</v>
      </c>
      <c r="C2261" t="s">
        <v>8</v>
      </c>
      <c r="D2261" t="str">
        <f t="shared" si="212"/>
        <v>FAB5_Mm 12/1L Leche Desla Members Mark</v>
      </c>
      <c r="E2261">
        <v>2025</v>
      </c>
      <c r="F2261">
        <v>6</v>
      </c>
      <c r="G2261">
        <f t="shared" si="213"/>
        <v>2</v>
      </c>
      <c r="H2261" s="1">
        <f t="shared" si="214"/>
        <v>45691</v>
      </c>
      <c r="I2261" s="1">
        <f t="shared" si="215"/>
        <v>45689</v>
      </c>
      <c r="J2261">
        <v>1720753.1999999988</v>
      </c>
      <c r="K2261">
        <v>87360</v>
      </c>
      <c r="L2261">
        <f t="shared" si="211"/>
        <v>19.697266483516469</v>
      </c>
      <c r="M2261">
        <v>7280</v>
      </c>
      <c r="N2261" s="2">
        <f t="shared" si="216"/>
        <v>236.36719780219764</v>
      </c>
      <c r="O2261">
        <v>12</v>
      </c>
    </row>
    <row r="2262" spans="1:15" x14ac:dyDescent="0.25">
      <c r="A2262" t="s">
        <v>46</v>
      </c>
      <c r="B2262" t="s">
        <v>17</v>
      </c>
      <c r="C2262" t="s">
        <v>8</v>
      </c>
      <c r="D2262" t="str">
        <f t="shared" si="212"/>
        <v>FAB5_Mm 12/1L Leche Desla Members Mark</v>
      </c>
      <c r="E2262">
        <v>2025</v>
      </c>
      <c r="F2262">
        <v>7</v>
      </c>
      <c r="G2262">
        <f t="shared" si="213"/>
        <v>2</v>
      </c>
      <c r="H2262" s="1">
        <f t="shared" si="214"/>
        <v>45698</v>
      </c>
      <c r="I2262" s="1">
        <f t="shared" si="215"/>
        <v>45689</v>
      </c>
      <c r="J2262">
        <v>1898505.38</v>
      </c>
      <c r="K2262">
        <v>96252</v>
      </c>
      <c r="L2262">
        <f t="shared" si="211"/>
        <v>19.72432136475086</v>
      </c>
      <c r="M2262">
        <v>8021</v>
      </c>
      <c r="N2262" s="2">
        <f t="shared" si="216"/>
        <v>236.69185637701034</v>
      </c>
      <c r="O2262">
        <v>12</v>
      </c>
    </row>
    <row r="2263" spans="1:15" x14ac:dyDescent="0.25">
      <c r="A2263" t="s">
        <v>46</v>
      </c>
      <c r="B2263" t="s">
        <v>17</v>
      </c>
      <c r="C2263" t="s">
        <v>8</v>
      </c>
      <c r="D2263" t="str">
        <f t="shared" si="212"/>
        <v>FAB5_Mm 12/1L Leche Desla Members Mark</v>
      </c>
      <c r="E2263">
        <v>2025</v>
      </c>
      <c r="F2263">
        <v>8</v>
      </c>
      <c r="G2263">
        <f t="shared" si="213"/>
        <v>2</v>
      </c>
      <c r="H2263" s="1">
        <f t="shared" si="214"/>
        <v>45705</v>
      </c>
      <c r="I2263" s="1">
        <f t="shared" si="215"/>
        <v>45689</v>
      </c>
      <c r="J2263">
        <v>1990259.4700000004</v>
      </c>
      <c r="K2263">
        <v>102300</v>
      </c>
      <c r="L2263">
        <f t="shared" si="211"/>
        <v>19.455126783968723</v>
      </c>
      <c r="M2263">
        <v>8525</v>
      </c>
      <c r="N2263" s="2">
        <f t="shared" si="216"/>
        <v>233.46152140762467</v>
      </c>
      <c r="O2263">
        <v>12</v>
      </c>
    </row>
    <row r="2264" spans="1:15" x14ac:dyDescent="0.25">
      <c r="A2264" t="s">
        <v>46</v>
      </c>
      <c r="B2264" t="s">
        <v>17</v>
      </c>
      <c r="C2264" t="s">
        <v>8</v>
      </c>
      <c r="D2264" t="str">
        <f t="shared" si="212"/>
        <v>FAB5_Mm 12/1L Leche Desla Members Mark</v>
      </c>
      <c r="E2264">
        <v>2025</v>
      </c>
      <c r="F2264">
        <v>9</v>
      </c>
      <c r="G2264">
        <f t="shared" si="213"/>
        <v>2</v>
      </c>
      <c r="H2264" s="1">
        <f t="shared" si="214"/>
        <v>45712</v>
      </c>
      <c r="I2264" s="1">
        <f t="shared" si="215"/>
        <v>45689</v>
      </c>
      <c r="J2264">
        <v>1450193.9299999981</v>
      </c>
      <c r="K2264">
        <v>69852</v>
      </c>
      <c r="L2264">
        <f t="shared" si="211"/>
        <v>20.760950724388682</v>
      </c>
      <c r="M2264">
        <v>5821</v>
      </c>
      <c r="N2264" s="2">
        <f t="shared" si="216"/>
        <v>249.13140869266417</v>
      </c>
      <c r="O2264">
        <v>12</v>
      </c>
    </row>
    <row r="2265" spans="1:15" x14ac:dyDescent="0.25">
      <c r="A2265" t="s">
        <v>46</v>
      </c>
      <c r="B2265" t="s">
        <v>17</v>
      </c>
      <c r="C2265" t="s">
        <v>8</v>
      </c>
      <c r="D2265" t="str">
        <f t="shared" si="212"/>
        <v>FAB5_Mm 12/1L Leche Desla Members Mark</v>
      </c>
      <c r="E2265">
        <v>2025</v>
      </c>
      <c r="F2265">
        <v>10</v>
      </c>
      <c r="G2265">
        <f t="shared" si="213"/>
        <v>3</v>
      </c>
      <c r="H2265" s="1">
        <f t="shared" si="214"/>
        <v>45719</v>
      </c>
      <c r="I2265" s="1">
        <f t="shared" si="215"/>
        <v>45717</v>
      </c>
      <c r="J2265">
        <v>2004889.7799999975</v>
      </c>
      <c r="K2265">
        <v>99996</v>
      </c>
      <c r="L2265">
        <f t="shared" si="211"/>
        <v>20.049699787991493</v>
      </c>
      <c r="M2265">
        <v>8333</v>
      </c>
      <c r="N2265" s="2">
        <f t="shared" si="216"/>
        <v>240.59639745589794</v>
      </c>
      <c r="O2265">
        <v>12</v>
      </c>
    </row>
    <row r="2266" spans="1:15" x14ac:dyDescent="0.25">
      <c r="A2266" t="s">
        <v>46</v>
      </c>
      <c r="B2266" t="s">
        <v>17</v>
      </c>
      <c r="C2266" t="s">
        <v>8</v>
      </c>
      <c r="D2266" t="str">
        <f t="shared" si="212"/>
        <v>FAB5_Mm 12/1L Leche Desla Members Mark</v>
      </c>
      <c r="E2266">
        <v>2025</v>
      </c>
      <c r="F2266">
        <v>11</v>
      </c>
      <c r="G2266">
        <f t="shared" si="213"/>
        <v>3</v>
      </c>
      <c r="H2266" s="1">
        <f t="shared" si="214"/>
        <v>45726</v>
      </c>
      <c r="I2266" s="1">
        <f t="shared" si="215"/>
        <v>45717</v>
      </c>
      <c r="J2266">
        <v>1603183.8499999992</v>
      </c>
      <c r="K2266">
        <v>83112</v>
      </c>
      <c r="L2266">
        <f t="shared" si="211"/>
        <v>19.289438949850794</v>
      </c>
      <c r="M2266">
        <v>6926</v>
      </c>
      <c r="N2266" s="2">
        <f t="shared" si="216"/>
        <v>231.47326739820952</v>
      </c>
      <c r="O2266">
        <v>12</v>
      </c>
    </row>
    <row r="2267" spans="1:15" x14ac:dyDescent="0.25">
      <c r="A2267" t="s">
        <v>46</v>
      </c>
      <c r="B2267" t="s">
        <v>17</v>
      </c>
      <c r="C2267" t="s">
        <v>8</v>
      </c>
      <c r="D2267" t="str">
        <f t="shared" si="212"/>
        <v>FAB5_Mm 12/1L Leche Desla Members Mark</v>
      </c>
      <c r="E2267">
        <v>2025</v>
      </c>
      <c r="F2267">
        <v>12</v>
      </c>
      <c r="G2267">
        <f t="shared" si="213"/>
        <v>3</v>
      </c>
      <c r="H2267" s="1">
        <f t="shared" si="214"/>
        <v>45733</v>
      </c>
      <c r="I2267" s="1">
        <f t="shared" si="215"/>
        <v>45717</v>
      </c>
      <c r="J2267">
        <v>1930202.3499999973</v>
      </c>
      <c r="K2267">
        <v>99756</v>
      </c>
      <c r="L2267">
        <f t="shared" si="211"/>
        <v>19.349235634949249</v>
      </c>
      <c r="M2267">
        <v>8313</v>
      </c>
      <c r="N2267" s="2">
        <f t="shared" si="216"/>
        <v>232.190827619391</v>
      </c>
      <c r="O2267">
        <v>12</v>
      </c>
    </row>
    <row r="2268" spans="1:15" x14ac:dyDescent="0.25">
      <c r="A2268" t="s">
        <v>46</v>
      </c>
      <c r="B2268" t="s">
        <v>17</v>
      </c>
      <c r="C2268" t="s">
        <v>8</v>
      </c>
      <c r="D2268" t="str">
        <f t="shared" si="212"/>
        <v>FAB5_Mm 12/1L Leche Desla Members Mark</v>
      </c>
      <c r="E2268">
        <v>2025</v>
      </c>
      <c r="F2268">
        <v>13</v>
      </c>
      <c r="G2268">
        <f t="shared" si="213"/>
        <v>3</v>
      </c>
      <c r="H2268" s="1">
        <f t="shared" si="214"/>
        <v>45740</v>
      </c>
      <c r="I2268" s="1">
        <f t="shared" si="215"/>
        <v>45717</v>
      </c>
      <c r="J2268">
        <v>1575862.5999999975</v>
      </c>
      <c r="K2268">
        <v>81444</v>
      </c>
      <c r="L2268">
        <f t="shared" si="211"/>
        <v>19.349032464024329</v>
      </c>
      <c r="M2268">
        <v>6787</v>
      </c>
      <c r="N2268" s="2">
        <f t="shared" si="216"/>
        <v>232.18838956829197</v>
      </c>
      <c r="O2268">
        <v>12</v>
      </c>
    </row>
    <row r="2269" spans="1:15" x14ac:dyDescent="0.25">
      <c r="A2269" t="s">
        <v>46</v>
      </c>
      <c r="B2269" t="s">
        <v>17</v>
      </c>
      <c r="C2269" t="s">
        <v>8</v>
      </c>
      <c r="D2269" t="str">
        <f t="shared" si="212"/>
        <v>FAB5_Mm 12/1L Leche Desla Members Mark</v>
      </c>
      <c r="E2269">
        <v>2025</v>
      </c>
      <c r="F2269">
        <v>14</v>
      </c>
      <c r="G2269">
        <f t="shared" si="213"/>
        <v>4</v>
      </c>
      <c r="H2269" s="1">
        <f t="shared" si="214"/>
        <v>45747</v>
      </c>
      <c r="I2269" s="1">
        <f t="shared" si="215"/>
        <v>45748</v>
      </c>
      <c r="J2269">
        <v>2058339.5999999973</v>
      </c>
      <c r="K2269">
        <v>102888</v>
      </c>
      <c r="L2269">
        <f t="shared" si="211"/>
        <v>20.005633310006971</v>
      </c>
      <c r="M2269">
        <v>8574</v>
      </c>
      <c r="N2269" s="2">
        <f t="shared" si="216"/>
        <v>240.06759972008365</v>
      </c>
      <c r="O2269">
        <v>12</v>
      </c>
    </row>
    <row r="2270" spans="1:15" x14ac:dyDescent="0.25">
      <c r="A2270" t="s">
        <v>46</v>
      </c>
      <c r="B2270" t="s">
        <v>17</v>
      </c>
      <c r="C2270" t="s">
        <v>8</v>
      </c>
      <c r="D2270" t="str">
        <f t="shared" si="212"/>
        <v>FAB5_Mm 12/1L Leche Desla Members Mark</v>
      </c>
      <c r="E2270">
        <v>2025</v>
      </c>
      <c r="F2270">
        <v>15</v>
      </c>
      <c r="G2270">
        <f t="shared" si="213"/>
        <v>4</v>
      </c>
      <c r="H2270" s="1">
        <f t="shared" si="214"/>
        <v>45754</v>
      </c>
      <c r="I2270" s="1">
        <f t="shared" si="215"/>
        <v>45748</v>
      </c>
      <c r="J2270">
        <v>1454077.059999998</v>
      </c>
      <c r="K2270">
        <v>70056</v>
      </c>
      <c r="L2270">
        <f t="shared" si="211"/>
        <v>20.755924688820343</v>
      </c>
      <c r="M2270">
        <v>5838</v>
      </c>
      <c r="N2270" s="2">
        <f t="shared" si="216"/>
        <v>249.07109626584412</v>
      </c>
      <c r="O2270">
        <v>12</v>
      </c>
    </row>
    <row r="2271" spans="1:15" x14ac:dyDescent="0.25">
      <c r="A2271" t="s">
        <v>46</v>
      </c>
      <c r="B2271" t="s">
        <v>17</v>
      </c>
      <c r="C2271" t="s">
        <v>8</v>
      </c>
      <c r="D2271" t="str">
        <f t="shared" si="212"/>
        <v>FAB5_Mm 12/1L Leche Desla Members Mark</v>
      </c>
      <c r="E2271">
        <v>2025</v>
      </c>
      <c r="F2271">
        <v>16</v>
      </c>
      <c r="G2271">
        <f t="shared" si="213"/>
        <v>4</v>
      </c>
      <c r="H2271" s="1">
        <f t="shared" si="214"/>
        <v>45761</v>
      </c>
      <c r="I2271" s="1">
        <f t="shared" si="215"/>
        <v>45748</v>
      </c>
      <c r="J2271">
        <v>1828863.8899999969</v>
      </c>
      <c r="K2271">
        <v>88320</v>
      </c>
      <c r="L2271">
        <f t="shared" si="211"/>
        <v>20.707245131340546</v>
      </c>
      <c r="M2271">
        <v>7360</v>
      </c>
      <c r="N2271" s="2">
        <f t="shared" si="216"/>
        <v>248.48694157608654</v>
      </c>
      <c r="O2271">
        <v>12</v>
      </c>
    </row>
    <row r="2272" spans="1:15" x14ac:dyDescent="0.25">
      <c r="A2272" t="s">
        <v>46</v>
      </c>
      <c r="B2272" t="s">
        <v>17</v>
      </c>
      <c r="C2272" t="s">
        <v>8</v>
      </c>
      <c r="D2272" t="str">
        <f t="shared" si="212"/>
        <v>FAB5_Mm 12/1L Leche Desla Members Mark</v>
      </c>
      <c r="E2272">
        <v>2025</v>
      </c>
      <c r="F2272">
        <v>17</v>
      </c>
      <c r="G2272">
        <f t="shared" si="213"/>
        <v>4</v>
      </c>
      <c r="H2272" s="1">
        <f t="shared" si="214"/>
        <v>45768</v>
      </c>
      <c r="I2272" s="1">
        <f t="shared" si="215"/>
        <v>45748</v>
      </c>
      <c r="J2272">
        <v>1680406.289999997</v>
      </c>
      <c r="K2272">
        <v>82464</v>
      </c>
      <c r="L2272">
        <f t="shared" si="211"/>
        <v>20.377453070430697</v>
      </c>
      <c r="M2272">
        <v>6872</v>
      </c>
      <c r="N2272" s="2">
        <f t="shared" si="216"/>
        <v>244.52943684516836</v>
      </c>
      <c r="O2272">
        <v>12</v>
      </c>
    </row>
    <row r="2273" spans="1:15" x14ac:dyDescent="0.25">
      <c r="A2273" t="s">
        <v>46</v>
      </c>
      <c r="B2273" t="s">
        <v>17</v>
      </c>
      <c r="C2273" t="s">
        <v>8</v>
      </c>
      <c r="D2273" t="str">
        <f t="shared" si="212"/>
        <v>FAB5_Mm 12/1L Leche Desla Members Mark</v>
      </c>
      <c r="E2273">
        <v>2025</v>
      </c>
      <c r="F2273">
        <v>18</v>
      </c>
      <c r="G2273">
        <f t="shared" si="213"/>
        <v>5</v>
      </c>
      <c r="H2273" s="1">
        <f t="shared" si="214"/>
        <v>45775</v>
      </c>
      <c r="I2273" s="1">
        <f t="shared" si="215"/>
        <v>45778</v>
      </c>
      <c r="J2273">
        <v>2439419.350000002</v>
      </c>
      <c r="K2273">
        <v>129696</v>
      </c>
      <c r="L2273">
        <f t="shared" si="211"/>
        <v>18.808747764001989</v>
      </c>
      <c r="M2273">
        <v>10808</v>
      </c>
      <c r="N2273" s="2">
        <f t="shared" si="216"/>
        <v>225.70497316802386</v>
      </c>
      <c r="O2273">
        <v>12</v>
      </c>
    </row>
    <row r="2274" spans="1:15" x14ac:dyDescent="0.25">
      <c r="A2274" t="s">
        <v>46</v>
      </c>
      <c r="B2274" t="s">
        <v>17</v>
      </c>
      <c r="C2274" t="s">
        <v>8</v>
      </c>
      <c r="D2274" t="str">
        <f t="shared" si="212"/>
        <v>FAB5_Mm 12/1L Leche Desla Members Mark</v>
      </c>
      <c r="E2274">
        <v>2025</v>
      </c>
      <c r="F2274">
        <v>19</v>
      </c>
      <c r="G2274">
        <f t="shared" si="213"/>
        <v>5</v>
      </c>
      <c r="H2274" s="1">
        <f t="shared" si="214"/>
        <v>45782</v>
      </c>
      <c r="I2274" s="1">
        <f t="shared" si="215"/>
        <v>45778</v>
      </c>
      <c r="J2274">
        <v>2234778.6800000011</v>
      </c>
      <c r="K2274">
        <v>118140</v>
      </c>
      <c r="L2274">
        <f t="shared" si="211"/>
        <v>18.916359234806173</v>
      </c>
      <c r="M2274">
        <v>9845</v>
      </c>
      <c r="N2274" s="2">
        <f t="shared" si="216"/>
        <v>226.99631081767407</v>
      </c>
      <c r="O2274">
        <v>12</v>
      </c>
    </row>
    <row r="2275" spans="1:15" x14ac:dyDescent="0.25">
      <c r="A2275" t="s">
        <v>46</v>
      </c>
      <c r="B2275" t="s">
        <v>17</v>
      </c>
      <c r="C2275" t="s">
        <v>8</v>
      </c>
      <c r="D2275" t="str">
        <f t="shared" si="212"/>
        <v>FAB5_Mm 12/1L Leche Desla Members Mark</v>
      </c>
      <c r="E2275">
        <v>2025</v>
      </c>
      <c r="F2275">
        <v>20</v>
      </c>
      <c r="G2275">
        <f t="shared" si="213"/>
        <v>5</v>
      </c>
      <c r="H2275" s="1">
        <f t="shared" si="214"/>
        <v>45789</v>
      </c>
      <c r="I2275" s="1">
        <f t="shared" si="215"/>
        <v>45778</v>
      </c>
      <c r="J2275">
        <v>1642917.4399999976</v>
      </c>
      <c r="K2275">
        <v>84972</v>
      </c>
      <c r="L2275">
        <f t="shared" si="211"/>
        <v>19.334809584333634</v>
      </c>
      <c r="M2275">
        <v>7081</v>
      </c>
      <c r="N2275" s="2">
        <f t="shared" si="216"/>
        <v>232.01771501200361</v>
      </c>
      <c r="O2275">
        <v>12</v>
      </c>
    </row>
    <row r="2276" spans="1:15" x14ac:dyDescent="0.25">
      <c r="A2276" t="s">
        <v>46</v>
      </c>
      <c r="B2276" t="s">
        <v>17</v>
      </c>
      <c r="C2276" t="s">
        <v>8</v>
      </c>
      <c r="D2276" t="str">
        <f t="shared" si="212"/>
        <v>FAB5_Mm 12/1L Leche Desla Members Mark</v>
      </c>
      <c r="E2276">
        <v>2025</v>
      </c>
      <c r="F2276">
        <v>21</v>
      </c>
      <c r="G2276">
        <f t="shared" si="213"/>
        <v>5</v>
      </c>
      <c r="H2276" s="1">
        <f t="shared" si="214"/>
        <v>45796</v>
      </c>
      <c r="I2276" s="1">
        <f t="shared" si="215"/>
        <v>45778</v>
      </c>
      <c r="J2276">
        <v>1541140.0099999972</v>
      </c>
      <c r="K2276">
        <v>79692</v>
      </c>
      <c r="L2276">
        <f t="shared" si="211"/>
        <v>19.338704135923269</v>
      </c>
      <c r="M2276">
        <v>6641</v>
      </c>
      <c r="N2276" s="2">
        <f t="shared" si="216"/>
        <v>232.06444963107924</v>
      </c>
      <c r="O2276">
        <v>12</v>
      </c>
    </row>
    <row r="2277" spans="1:15" x14ac:dyDescent="0.25">
      <c r="A2277" t="s">
        <v>46</v>
      </c>
      <c r="B2277" t="s">
        <v>17</v>
      </c>
      <c r="C2277" t="s">
        <v>8</v>
      </c>
      <c r="D2277" t="str">
        <f t="shared" si="212"/>
        <v>FAB5_Mm 12/1L Leche Desla Members Mark</v>
      </c>
      <c r="E2277">
        <v>2025</v>
      </c>
      <c r="F2277">
        <v>22</v>
      </c>
      <c r="G2277">
        <f t="shared" si="213"/>
        <v>5</v>
      </c>
      <c r="H2277" s="1">
        <f t="shared" si="214"/>
        <v>45803</v>
      </c>
      <c r="I2277" s="1">
        <f t="shared" si="215"/>
        <v>45778</v>
      </c>
      <c r="J2277">
        <v>1552002.5399999986</v>
      </c>
      <c r="K2277">
        <v>77892</v>
      </c>
      <c r="L2277">
        <f t="shared" si="211"/>
        <v>19.925057002002756</v>
      </c>
      <c r="M2277">
        <v>6491</v>
      </c>
      <c r="N2277" s="2">
        <f t="shared" si="216"/>
        <v>239.10068402403306</v>
      </c>
      <c r="O2277">
        <v>12</v>
      </c>
    </row>
    <row r="2278" spans="1:15" x14ac:dyDescent="0.25">
      <c r="A2278" t="s">
        <v>46</v>
      </c>
      <c r="B2278" t="s">
        <v>17</v>
      </c>
      <c r="C2278" t="s">
        <v>8</v>
      </c>
      <c r="D2278" t="str">
        <f t="shared" si="212"/>
        <v>FAB5_Mm 12/1L Leche Desla Members Mark</v>
      </c>
      <c r="E2278">
        <v>2025</v>
      </c>
      <c r="F2278">
        <v>23</v>
      </c>
      <c r="G2278">
        <f t="shared" si="213"/>
        <v>6</v>
      </c>
      <c r="H2278" s="1">
        <f t="shared" si="214"/>
        <v>45810</v>
      </c>
      <c r="I2278" s="1">
        <f t="shared" si="215"/>
        <v>45809</v>
      </c>
      <c r="J2278">
        <v>1943914.1700000004</v>
      </c>
      <c r="K2278">
        <v>94452</v>
      </c>
      <c r="L2278">
        <f t="shared" si="211"/>
        <v>20.580974145597768</v>
      </c>
      <c r="M2278">
        <v>7871</v>
      </c>
      <c r="N2278" s="2">
        <f t="shared" si="216"/>
        <v>246.97168974717323</v>
      </c>
      <c r="O2278">
        <v>12</v>
      </c>
    </row>
    <row r="2279" spans="1:15" x14ac:dyDescent="0.25">
      <c r="A2279" t="s">
        <v>46</v>
      </c>
      <c r="B2279" t="s">
        <v>17</v>
      </c>
      <c r="C2279" t="s">
        <v>8</v>
      </c>
      <c r="D2279" t="str">
        <f t="shared" si="212"/>
        <v>FAB5_Mm 12/1L Leche Desla Members Mark</v>
      </c>
      <c r="E2279">
        <v>2025</v>
      </c>
      <c r="F2279">
        <v>24</v>
      </c>
      <c r="G2279">
        <f t="shared" si="213"/>
        <v>6</v>
      </c>
      <c r="H2279" s="1">
        <f t="shared" si="214"/>
        <v>45817</v>
      </c>
      <c r="I2279" s="1">
        <f t="shared" si="215"/>
        <v>45809</v>
      </c>
      <c r="J2279">
        <v>1567188.2500000009</v>
      </c>
      <c r="K2279">
        <v>76428</v>
      </c>
      <c r="L2279">
        <f t="shared" si="211"/>
        <v>20.505420133982323</v>
      </c>
      <c r="M2279">
        <v>6369</v>
      </c>
      <c r="N2279" s="2">
        <f t="shared" si="216"/>
        <v>246.06504160778786</v>
      </c>
      <c r="O2279">
        <v>12</v>
      </c>
    </row>
    <row r="2280" spans="1:15" x14ac:dyDescent="0.25">
      <c r="A2280" t="s">
        <v>46</v>
      </c>
      <c r="B2280" t="s">
        <v>17</v>
      </c>
      <c r="C2280" t="s">
        <v>8</v>
      </c>
      <c r="D2280" t="str">
        <f t="shared" si="212"/>
        <v>FAB5_Mm 12/1L Leche Desla Members Mark</v>
      </c>
      <c r="E2280">
        <v>2025</v>
      </c>
      <c r="F2280">
        <v>25</v>
      </c>
      <c r="G2280">
        <f t="shared" si="213"/>
        <v>6</v>
      </c>
      <c r="H2280" s="1">
        <f t="shared" si="214"/>
        <v>45824</v>
      </c>
      <c r="I2280" s="1">
        <f t="shared" si="215"/>
        <v>45809</v>
      </c>
      <c r="J2280">
        <v>1664853.4499999997</v>
      </c>
      <c r="K2280">
        <v>80676</v>
      </c>
      <c r="L2280">
        <f t="shared" si="211"/>
        <v>20.636291462144872</v>
      </c>
      <c r="M2280">
        <v>6723</v>
      </c>
      <c r="N2280" s="2">
        <f t="shared" si="216"/>
        <v>247.63549754573847</v>
      </c>
      <c r="O2280">
        <v>12</v>
      </c>
    </row>
    <row r="2281" spans="1:15" x14ac:dyDescent="0.25">
      <c r="A2281" t="s">
        <v>46</v>
      </c>
      <c r="B2281" t="s">
        <v>17</v>
      </c>
      <c r="C2281" t="s">
        <v>8</v>
      </c>
      <c r="D2281" t="str">
        <f t="shared" si="212"/>
        <v>FAB5_Mm 12/1L Leche Desla Members Mark</v>
      </c>
      <c r="E2281">
        <v>2025</v>
      </c>
      <c r="F2281">
        <v>26</v>
      </c>
      <c r="G2281">
        <f t="shared" si="213"/>
        <v>6</v>
      </c>
      <c r="H2281" s="1">
        <f t="shared" si="214"/>
        <v>45831</v>
      </c>
      <c r="I2281" s="1">
        <f t="shared" si="215"/>
        <v>45809</v>
      </c>
      <c r="J2281">
        <v>1428268.6299999994</v>
      </c>
      <c r="K2281">
        <v>68796</v>
      </c>
      <c r="L2281">
        <f t="shared" si="211"/>
        <v>20.760925489854053</v>
      </c>
      <c r="M2281">
        <v>5733</v>
      </c>
      <c r="N2281" s="2">
        <f t="shared" si="216"/>
        <v>249.13110587824863</v>
      </c>
      <c r="O2281">
        <v>12</v>
      </c>
    </row>
    <row r="2282" spans="1:15" x14ac:dyDescent="0.25">
      <c r="A2282" t="s">
        <v>46</v>
      </c>
      <c r="B2282" t="s">
        <v>17</v>
      </c>
      <c r="C2282" t="s">
        <v>8</v>
      </c>
      <c r="D2282" t="str">
        <f t="shared" si="212"/>
        <v>FAB5_Mm 12/1L Leche Desla Members Mark</v>
      </c>
      <c r="E2282">
        <v>2025</v>
      </c>
      <c r="F2282">
        <v>27</v>
      </c>
      <c r="G2282">
        <f t="shared" si="213"/>
        <v>7</v>
      </c>
      <c r="H2282" s="1">
        <f t="shared" si="214"/>
        <v>45838</v>
      </c>
      <c r="I2282" s="1">
        <f t="shared" si="215"/>
        <v>45839</v>
      </c>
      <c r="J2282">
        <v>1679083.2699999975</v>
      </c>
      <c r="K2282">
        <v>80868</v>
      </c>
      <c r="L2282">
        <f t="shared" si="211"/>
        <v>20.763259509323806</v>
      </c>
      <c r="M2282">
        <v>6739</v>
      </c>
      <c r="N2282" s="2">
        <f t="shared" si="216"/>
        <v>249.15911411188566</v>
      </c>
      <c r="O2282">
        <v>12</v>
      </c>
    </row>
    <row r="2283" spans="1:15" x14ac:dyDescent="0.25">
      <c r="A2283" t="s">
        <v>46</v>
      </c>
      <c r="B2283" t="s">
        <v>17</v>
      </c>
      <c r="C2283" t="s">
        <v>8</v>
      </c>
      <c r="D2283" t="str">
        <f t="shared" si="212"/>
        <v>FAB5_Mm 12/1L Leche Desla Members Mark</v>
      </c>
      <c r="E2283">
        <v>2025</v>
      </c>
      <c r="F2283">
        <v>28</v>
      </c>
      <c r="G2283">
        <f t="shared" si="213"/>
        <v>7</v>
      </c>
      <c r="H2283" s="1">
        <f t="shared" si="214"/>
        <v>45845</v>
      </c>
      <c r="I2283" s="1">
        <f t="shared" si="215"/>
        <v>45839</v>
      </c>
      <c r="J2283">
        <v>1468517.5399999984</v>
      </c>
      <c r="K2283">
        <v>71340</v>
      </c>
      <c r="L2283">
        <f t="shared" si="211"/>
        <v>20.584770675637767</v>
      </c>
      <c r="M2283">
        <v>5945</v>
      </c>
      <c r="N2283" s="2">
        <f t="shared" si="216"/>
        <v>247.01724810765322</v>
      </c>
      <c r="O2283">
        <v>12</v>
      </c>
    </row>
    <row r="2284" spans="1:15" x14ac:dyDescent="0.25">
      <c r="A2284" t="s">
        <v>46</v>
      </c>
      <c r="B2284" t="s">
        <v>17</v>
      </c>
      <c r="C2284" t="s">
        <v>8</v>
      </c>
      <c r="D2284" t="str">
        <f t="shared" si="212"/>
        <v>FAB5_Mm 12/1L Leche Desla Members Mark</v>
      </c>
      <c r="E2284">
        <v>2025</v>
      </c>
      <c r="F2284">
        <v>29</v>
      </c>
      <c r="G2284">
        <f t="shared" si="213"/>
        <v>7</v>
      </c>
      <c r="H2284" s="1">
        <f t="shared" si="214"/>
        <v>45852</v>
      </c>
      <c r="I2284" s="1">
        <f t="shared" si="215"/>
        <v>45839</v>
      </c>
      <c r="J2284">
        <v>1888774.939999999</v>
      </c>
      <c r="K2284">
        <v>98196</v>
      </c>
      <c r="L2284">
        <f t="shared" si="211"/>
        <v>19.234744185099178</v>
      </c>
      <c r="M2284">
        <v>8183</v>
      </c>
      <c r="N2284" s="2">
        <f t="shared" si="216"/>
        <v>230.81693022119015</v>
      </c>
      <c r="O2284">
        <v>12</v>
      </c>
    </row>
    <row r="2285" spans="1:15" x14ac:dyDescent="0.25">
      <c r="A2285" t="s">
        <v>46</v>
      </c>
      <c r="B2285" t="s">
        <v>17</v>
      </c>
      <c r="C2285" t="s">
        <v>8</v>
      </c>
      <c r="D2285" t="str">
        <f t="shared" si="212"/>
        <v>FAB5_Mm 12/1L Leche Desla Members Mark</v>
      </c>
      <c r="E2285">
        <v>2025</v>
      </c>
      <c r="F2285">
        <v>30</v>
      </c>
      <c r="G2285">
        <f t="shared" si="213"/>
        <v>7</v>
      </c>
      <c r="H2285" s="1">
        <f t="shared" si="214"/>
        <v>45859</v>
      </c>
      <c r="I2285" s="1">
        <f t="shared" si="215"/>
        <v>45839</v>
      </c>
      <c r="J2285">
        <v>1678135.2099999983</v>
      </c>
      <c r="K2285">
        <v>87192</v>
      </c>
      <c r="L2285">
        <f t="shared" si="211"/>
        <v>19.246435567483235</v>
      </c>
      <c r="M2285">
        <v>7266</v>
      </c>
      <c r="N2285" s="2">
        <f t="shared" si="216"/>
        <v>230.95722680979884</v>
      </c>
      <c r="O2285">
        <v>12</v>
      </c>
    </row>
    <row r="2286" spans="1:15" x14ac:dyDescent="0.25">
      <c r="A2286" t="s">
        <v>46</v>
      </c>
      <c r="B2286" t="s">
        <v>17</v>
      </c>
      <c r="C2286" t="s">
        <v>8</v>
      </c>
      <c r="D2286" t="str">
        <f t="shared" si="212"/>
        <v>FAB5_Mm 12/1L Leche Desla Members Mark</v>
      </c>
      <c r="E2286">
        <v>2025</v>
      </c>
      <c r="F2286">
        <v>31</v>
      </c>
      <c r="G2286">
        <f t="shared" si="213"/>
        <v>7</v>
      </c>
      <c r="H2286" s="1">
        <f t="shared" si="214"/>
        <v>45866</v>
      </c>
      <c r="I2286" s="1">
        <f t="shared" si="215"/>
        <v>45839</v>
      </c>
      <c r="J2286">
        <v>1867963.1899999978</v>
      </c>
      <c r="K2286">
        <v>95664</v>
      </c>
      <c r="L2286">
        <f t="shared" si="211"/>
        <v>19.526291917544718</v>
      </c>
      <c r="M2286">
        <v>7972</v>
      </c>
      <c r="N2286" s="2">
        <f t="shared" si="216"/>
        <v>234.31550301053662</v>
      </c>
      <c r="O2286">
        <v>12</v>
      </c>
    </row>
    <row r="2287" spans="1:15" x14ac:dyDescent="0.25">
      <c r="A2287" t="s">
        <v>46</v>
      </c>
      <c r="B2287" t="s">
        <v>17</v>
      </c>
      <c r="C2287" t="s">
        <v>9</v>
      </c>
      <c r="D2287" t="str">
        <f t="shared" si="212"/>
        <v>FAB5_Mm 12/1L Leche Ente Members Mark</v>
      </c>
      <c r="E2287">
        <v>2024</v>
      </c>
      <c r="F2287">
        <v>35</v>
      </c>
      <c r="G2287">
        <f t="shared" si="213"/>
        <v>8</v>
      </c>
      <c r="H2287" s="1">
        <f t="shared" si="214"/>
        <v>45530</v>
      </c>
      <c r="I2287" s="1">
        <f t="shared" si="215"/>
        <v>45505</v>
      </c>
      <c r="J2287">
        <v>183892.22999999998</v>
      </c>
      <c r="K2287">
        <v>9636</v>
      </c>
      <c r="L2287">
        <f t="shared" si="211"/>
        <v>19.083876089663757</v>
      </c>
      <c r="M2287">
        <v>803</v>
      </c>
      <c r="N2287" s="2">
        <f t="shared" si="216"/>
        <v>229.0065130759651</v>
      </c>
      <c r="O2287">
        <v>12</v>
      </c>
    </row>
    <row r="2288" spans="1:15" x14ac:dyDescent="0.25">
      <c r="A2288" t="s">
        <v>46</v>
      </c>
      <c r="B2288" t="s">
        <v>17</v>
      </c>
      <c r="C2288" t="s">
        <v>9</v>
      </c>
      <c r="D2288" t="str">
        <f t="shared" si="212"/>
        <v>FAB5_Mm 12/1L Leche Ente Members Mark</v>
      </c>
      <c r="E2288">
        <v>2024</v>
      </c>
      <c r="F2288">
        <v>36</v>
      </c>
      <c r="G2288">
        <f t="shared" si="213"/>
        <v>9</v>
      </c>
      <c r="H2288" s="1">
        <f t="shared" si="214"/>
        <v>45537</v>
      </c>
      <c r="I2288" s="1">
        <f t="shared" si="215"/>
        <v>45536</v>
      </c>
      <c r="J2288">
        <v>749452.88</v>
      </c>
      <c r="K2288">
        <v>39732</v>
      </c>
      <c r="L2288">
        <f t="shared" si="211"/>
        <v>18.862702104097455</v>
      </c>
      <c r="M2288">
        <v>3311</v>
      </c>
      <c r="N2288" s="2">
        <f t="shared" si="216"/>
        <v>226.35242524916944</v>
      </c>
      <c r="O2288">
        <v>12</v>
      </c>
    </row>
    <row r="2289" spans="1:15" x14ac:dyDescent="0.25">
      <c r="A2289" t="s">
        <v>46</v>
      </c>
      <c r="B2289" t="s">
        <v>17</v>
      </c>
      <c r="C2289" t="s">
        <v>9</v>
      </c>
      <c r="D2289" t="str">
        <f t="shared" si="212"/>
        <v>FAB5_Mm 12/1L Leche Ente Members Mark</v>
      </c>
      <c r="E2289">
        <v>2024</v>
      </c>
      <c r="F2289">
        <v>37</v>
      </c>
      <c r="G2289">
        <f t="shared" si="213"/>
        <v>9</v>
      </c>
      <c r="H2289" s="1">
        <f t="shared" si="214"/>
        <v>45544</v>
      </c>
      <c r="I2289" s="1">
        <f t="shared" si="215"/>
        <v>45536</v>
      </c>
      <c r="J2289">
        <v>1016516.3100000004</v>
      </c>
      <c r="K2289">
        <v>55776</v>
      </c>
      <c r="L2289">
        <f t="shared" si="211"/>
        <v>18.224976871772814</v>
      </c>
      <c r="M2289">
        <v>4648</v>
      </c>
      <c r="N2289" s="2">
        <f t="shared" si="216"/>
        <v>218.69972246127375</v>
      </c>
      <c r="O2289">
        <v>12</v>
      </c>
    </row>
    <row r="2290" spans="1:15" x14ac:dyDescent="0.25">
      <c r="A2290" t="s">
        <v>46</v>
      </c>
      <c r="B2290" t="s">
        <v>17</v>
      </c>
      <c r="C2290" t="s">
        <v>9</v>
      </c>
      <c r="D2290" t="str">
        <f t="shared" si="212"/>
        <v>FAB5_Mm 12/1L Leche Ente Members Mark</v>
      </c>
      <c r="E2290">
        <v>2024</v>
      </c>
      <c r="F2290">
        <v>38</v>
      </c>
      <c r="G2290">
        <f t="shared" si="213"/>
        <v>9</v>
      </c>
      <c r="H2290" s="1">
        <f t="shared" si="214"/>
        <v>45551</v>
      </c>
      <c r="I2290" s="1">
        <f t="shared" si="215"/>
        <v>45536</v>
      </c>
      <c r="J2290">
        <v>1205240.4800000004</v>
      </c>
      <c r="K2290">
        <v>66528</v>
      </c>
      <c r="L2290">
        <f t="shared" si="211"/>
        <v>18.116289081289089</v>
      </c>
      <c r="M2290">
        <v>5544</v>
      </c>
      <c r="N2290" s="2">
        <f t="shared" si="216"/>
        <v>217.39546897546904</v>
      </c>
      <c r="O2290">
        <v>12</v>
      </c>
    </row>
    <row r="2291" spans="1:15" x14ac:dyDescent="0.25">
      <c r="A2291" t="s">
        <v>46</v>
      </c>
      <c r="B2291" t="s">
        <v>17</v>
      </c>
      <c r="C2291" t="s">
        <v>9</v>
      </c>
      <c r="D2291" t="str">
        <f t="shared" si="212"/>
        <v>FAB5_Mm 12/1L Leche Ente Members Mark</v>
      </c>
      <c r="E2291">
        <v>2024</v>
      </c>
      <c r="F2291">
        <v>39</v>
      </c>
      <c r="G2291">
        <f t="shared" si="213"/>
        <v>9</v>
      </c>
      <c r="H2291" s="1">
        <f t="shared" si="214"/>
        <v>45558</v>
      </c>
      <c r="I2291" s="1">
        <f t="shared" si="215"/>
        <v>45536</v>
      </c>
      <c r="J2291">
        <v>884535.72</v>
      </c>
      <c r="K2291">
        <v>46320</v>
      </c>
      <c r="L2291">
        <f t="shared" si="211"/>
        <v>19.096194300518135</v>
      </c>
      <c r="M2291">
        <v>3860</v>
      </c>
      <c r="N2291" s="2">
        <f t="shared" si="216"/>
        <v>229.1543316062176</v>
      </c>
      <c r="O2291">
        <v>12</v>
      </c>
    </row>
    <row r="2292" spans="1:15" x14ac:dyDescent="0.25">
      <c r="A2292" t="s">
        <v>46</v>
      </c>
      <c r="B2292" t="s">
        <v>17</v>
      </c>
      <c r="C2292" t="s">
        <v>9</v>
      </c>
      <c r="D2292" t="str">
        <f t="shared" si="212"/>
        <v>FAB5_Mm 12/1L Leche Ente Members Mark</v>
      </c>
      <c r="E2292">
        <v>2024</v>
      </c>
      <c r="F2292">
        <v>40</v>
      </c>
      <c r="G2292">
        <f t="shared" si="213"/>
        <v>10</v>
      </c>
      <c r="H2292" s="1">
        <f t="shared" si="214"/>
        <v>45565</v>
      </c>
      <c r="I2292" s="1">
        <f t="shared" si="215"/>
        <v>45566</v>
      </c>
      <c r="J2292">
        <v>1182755.78</v>
      </c>
      <c r="K2292">
        <v>62004</v>
      </c>
      <c r="L2292">
        <f t="shared" si="211"/>
        <v>19.075475453196567</v>
      </c>
      <c r="M2292">
        <v>5167</v>
      </c>
      <c r="N2292" s="2">
        <f t="shared" si="216"/>
        <v>228.90570543835881</v>
      </c>
      <c r="O2292">
        <v>12</v>
      </c>
    </row>
    <row r="2293" spans="1:15" x14ac:dyDescent="0.25">
      <c r="A2293" t="s">
        <v>46</v>
      </c>
      <c r="B2293" t="s">
        <v>17</v>
      </c>
      <c r="C2293" t="s">
        <v>9</v>
      </c>
      <c r="D2293" t="str">
        <f t="shared" si="212"/>
        <v>FAB5_Mm 12/1L Leche Ente Members Mark</v>
      </c>
      <c r="E2293">
        <v>2024</v>
      </c>
      <c r="F2293">
        <v>41</v>
      </c>
      <c r="G2293">
        <f t="shared" si="213"/>
        <v>10</v>
      </c>
      <c r="H2293" s="1">
        <f t="shared" si="214"/>
        <v>45572</v>
      </c>
      <c r="I2293" s="1">
        <f t="shared" si="215"/>
        <v>45566</v>
      </c>
      <c r="J2293">
        <v>1167808.1599999997</v>
      </c>
      <c r="K2293">
        <v>64212</v>
      </c>
      <c r="L2293">
        <f t="shared" si="211"/>
        <v>18.186758861272033</v>
      </c>
      <c r="M2293">
        <v>5351</v>
      </c>
      <c r="N2293" s="2">
        <f t="shared" si="216"/>
        <v>218.24110633526439</v>
      </c>
      <c r="O2293">
        <v>12</v>
      </c>
    </row>
    <row r="2294" spans="1:15" x14ac:dyDescent="0.25">
      <c r="A2294" t="s">
        <v>46</v>
      </c>
      <c r="B2294" t="s">
        <v>17</v>
      </c>
      <c r="C2294" t="s">
        <v>9</v>
      </c>
      <c r="D2294" t="str">
        <f t="shared" si="212"/>
        <v>FAB5_Mm 12/1L Leche Ente Members Mark</v>
      </c>
      <c r="E2294">
        <v>2024</v>
      </c>
      <c r="F2294">
        <v>42</v>
      </c>
      <c r="G2294">
        <f t="shared" si="213"/>
        <v>10</v>
      </c>
      <c r="H2294" s="1">
        <f t="shared" si="214"/>
        <v>45579</v>
      </c>
      <c r="I2294" s="1">
        <f t="shared" si="215"/>
        <v>45566</v>
      </c>
      <c r="J2294">
        <v>1702582.9700000011</v>
      </c>
      <c r="K2294">
        <v>106260</v>
      </c>
      <c r="L2294">
        <f t="shared" si="211"/>
        <v>16.022802277432724</v>
      </c>
      <c r="M2294">
        <v>8855</v>
      </c>
      <c r="N2294" s="2">
        <f t="shared" si="216"/>
        <v>192.27362732919266</v>
      </c>
      <c r="O2294">
        <v>12</v>
      </c>
    </row>
    <row r="2295" spans="1:15" x14ac:dyDescent="0.25">
      <c r="A2295" t="s">
        <v>46</v>
      </c>
      <c r="B2295" t="s">
        <v>17</v>
      </c>
      <c r="C2295" t="s">
        <v>9</v>
      </c>
      <c r="D2295" t="str">
        <f t="shared" si="212"/>
        <v>FAB5_Mm 12/1L Leche Ente Members Mark</v>
      </c>
      <c r="E2295">
        <v>2024</v>
      </c>
      <c r="F2295">
        <v>43</v>
      </c>
      <c r="G2295">
        <f t="shared" si="213"/>
        <v>10</v>
      </c>
      <c r="H2295" s="1">
        <f t="shared" si="214"/>
        <v>45586</v>
      </c>
      <c r="I2295" s="1">
        <f t="shared" si="215"/>
        <v>45566</v>
      </c>
      <c r="J2295">
        <v>1430369.3199999998</v>
      </c>
      <c r="K2295">
        <v>86928</v>
      </c>
      <c r="L2295">
        <f t="shared" si="211"/>
        <v>16.454644303331492</v>
      </c>
      <c r="M2295">
        <v>7244</v>
      </c>
      <c r="N2295" s="2">
        <f t="shared" si="216"/>
        <v>197.4557316399779</v>
      </c>
      <c r="O2295">
        <v>12</v>
      </c>
    </row>
    <row r="2296" spans="1:15" x14ac:dyDescent="0.25">
      <c r="A2296" t="s">
        <v>46</v>
      </c>
      <c r="B2296" t="s">
        <v>17</v>
      </c>
      <c r="C2296" t="s">
        <v>9</v>
      </c>
      <c r="D2296" t="str">
        <f t="shared" si="212"/>
        <v>FAB5_Mm 12/1L Leche Ente Members Mark</v>
      </c>
      <c r="E2296">
        <v>2024</v>
      </c>
      <c r="F2296">
        <v>44</v>
      </c>
      <c r="G2296">
        <f t="shared" si="213"/>
        <v>10</v>
      </c>
      <c r="H2296" s="1">
        <f t="shared" si="214"/>
        <v>45593</v>
      </c>
      <c r="I2296" s="1">
        <f t="shared" si="215"/>
        <v>45566</v>
      </c>
      <c r="J2296">
        <v>1190010.5500000003</v>
      </c>
      <c r="K2296">
        <v>63312</v>
      </c>
      <c r="L2296">
        <f t="shared" si="211"/>
        <v>18.795971537781153</v>
      </c>
      <c r="M2296">
        <v>5276</v>
      </c>
      <c r="N2296" s="2">
        <f t="shared" si="216"/>
        <v>225.55165845337382</v>
      </c>
      <c r="O2296">
        <v>12</v>
      </c>
    </row>
    <row r="2297" spans="1:15" x14ac:dyDescent="0.25">
      <c r="A2297" t="s">
        <v>46</v>
      </c>
      <c r="B2297" t="s">
        <v>17</v>
      </c>
      <c r="C2297" t="s">
        <v>9</v>
      </c>
      <c r="D2297" t="str">
        <f t="shared" si="212"/>
        <v>FAB5_Mm 12/1L Leche Ente Members Mark</v>
      </c>
      <c r="E2297">
        <v>2024</v>
      </c>
      <c r="F2297">
        <v>45</v>
      </c>
      <c r="G2297">
        <f t="shared" si="213"/>
        <v>11</v>
      </c>
      <c r="H2297" s="1">
        <f t="shared" si="214"/>
        <v>45600</v>
      </c>
      <c r="I2297" s="1">
        <f t="shared" si="215"/>
        <v>45597</v>
      </c>
      <c r="J2297">
        <v>1358284.2499999995</v>
      </c>
      <c r="K2297">
        <v>72084</v>
      </c>
      <c r="L2297">
        <f t="shared" si="211"/>
        <v>18.843075439764714</v>
      </c>
      <c r="M2297">
        <v>6007</v>
      </c>
      <c r="N2297" s="2">
        <f t="shared" si="216"/>
        <v>226.11690527717656</v>
      </c>
      <c r="O2297">
        <v>12</v>
      </c>
    </row>
    <row r="2298" spans="1:15" x14ac:dyDescent="0.25">
      <c r="A2298" t="s">
        <v>46</v>
      </c>
      <c r="B2298" t="s">
        <v>17</v>
      </c>
      <c r="C2298" t="s">
        <v>9</v>
      </c>
      <c r="D2298" t="str">
        <f t="shared" si="212"/>
        <v>FAB5_Mm 12/1L Leche Ente Members Mark</v>
      </c>
      <c r="E2298">
        <v>2024</v>
      </c>
      <c r="F2298">
        <v>46</v>
      </c>
      <c r="G2298">
        <f t="shared" si="213"/>
        <v>11</v>
      </c>
      <c r="H2298" s="1">
        <f t="shared" si="214"/>
        <v>45607</v>
      </c>
      <c r="I2298" s="1">
        <f t="shared" si="215"/>
        <v>45597</v>
      </c>
      <c r="J2298">
        <v>1373318.6700000004</v>
      </c>
      <c r="K2298">
        <v>72684</v>
      </c>
      <c r="L2298">
        <f t="shared" si="211"/>
        <v>18.89437386494965</v>
      </c>
      <c r="M2298">
        <v>6057</v>
      </c>
      <c r="N2298" s="2">
        <f t="shared" si="216"/>
        <v>226.73248637939579</v>
      </c>
      <c r="O2298">
        <v>12</v>
      </c>
    </row>
    <row r="2299" spans="1:15" x14ac:dyDescent="0.25">
      <c r="A2299" t="s">
        <v>46</v>
      </c>
      <c r="B2299" t="s">
        <v>17</v>
      </c>
      <c r="C2299" t="s">
        <v>9</v>
      </c>
      <c r="D2299" t="str">
        <f t="shared" si="212"/>
        <v>FAB5_Mm 12/1L Leche Ente Members Mark</v>
      </c>
      <c r="E2299">
        <v>2024</v>
      </c>
      <c r="F2299">
        <v>47</v>
      </c>
      <c r="G2299">
        <f t="shared" si="213"/>
        <v>11</v>
      </c>
      <c r="H2299" s="1">
        <f t="shared" si="214"/>
        <v>45614</v>
      </c>
      <c r="I2299" s="1">
        <f t="shared" si="215"/>
        <v>45597</v>
      </c>
      <c r="J2299">
        <v>1507501.0399999996</v>
      </c>
      <c r="K2299">
        <v>78960</v>
      </c>
      <c r="L2299">
        <f t="shared" si="211"/>
        <v>19.091958459979733</v>
      </c>
      <c r="M2299">
        <v>6580</v>
      </c>
      <c r="N2299" s="2">
        <f t="shared" si="216"/>
        <v>229.10350151975678</v>
      </c>
      <c r="O2299">
        <v>12</v>
      </c>
    </row>
    <row r="2300" spans="1:15" x14ac:dyDescent="0.25">
      <c r="A2300" t="s">
        <v>46</v>
      </c>
      <c r="B2300" t="s">
        <v>17</v>
      </c>
      <c r="C2300" t="s">
        <v>9</v>
      </c>
      <c r="D2300" t="str">
        <f t="shared" si="212"/>
        <v>FAB5_Mm 12/1L Leche Ente Members Mark</v>
      </c>
      <c r="E2300">
        <v>2024</v>
      </c>
      <c r="F2300">
        <v>48</v>
      </c>
      <c r="G2300">
        <f t="shared" si="213"/>
        <v>11</v>
      </c>
      <c r="H2300" s="1">
        <f t="shared" si="214"/>
        <v>45621</v>
      </c>
      <c r="I2300" s="1">
        <f t="shared" si="215"/>
        <v>45597</v>
      </c>
      <c r="J2300">
        <v>1097481.79</v>
      </c>
      <c r="K2300">
        <v>57480</v>
      </c>
      <c r="L2300">
        <f t="shared" si="211"/>
        <v>19.093280967292973</v>
      </c>
      <c r="M2300">
        <v>4790</v>
      </c>
      <c r="N2300" s="2">
        <f t="shared" si="216"/>
        <v>229.11937160751566</v>
      </c>
      <c r="O2300">
        <v>12</v>
      </c>
    </row>
    <row r="2301" spans="1:15" x14ac:dyDescent="0.25">
      <c r="A2301" t="s">
        <v>46</v>
      </c>
      <c r="B2301" t="s">
        <v>17</v>
      </c>
      <c r="C2301" t="s">
        <v>9</v>
      </c>
      <c r="D2301" t="str">
        <f t="shared" si="212"/>
        <v>FAB5_Mm 12/1L Leche Ente Members Mark</v>
      </c>
      <c r="E2301">
        <v>2024</v>
      </c>
      <c r="F2301">
        <v>49</v>
      </c>
      <c r="G2301">
        <f t="shared" si="213"/>
        <v>12</v>
      </c>
      <c r="H2301" s="1">
        <f t="shared" si="214"/>
        <v>45628</v>
      </c>
      <c r="I2301" s="1">
        <f t="shared" si="215"/>
        <v>45627</v>
      </c>
      <c r="J2301">
        <v>1318679.5799999998</v>
      </c>
      <c r="K2301">
        <v>69072</v>
      </c>
      <c r="L2301">
        <f t="shared" si="211"/>
        <v>19.09137682418346</v>
      </c>
      <c r="M2301">
        <v>5756</v>
      </c>
      <c r="N2301" s="2">
        <f t="shared" si="216"/>
        <v>229.0965218902015</v>
      </c>
      <c r="O2301">
        <v>12</v>
      </c>
    </row>
    <row r="2302" spans="1:15" x14ac:dyDescent="0.25">
      <c r="A2302" t="s">
        <v>46</v>
      </c>
      <c r="B2302" t="s">
        <v>17</v>
      </c>
      <c r="C2302" t="s">
        <v>9</v>
      </c>
      <c r="D2302" t="str">
        <f t="shared" si="212"/>
        <v>FAB5_Mm 12/1L Leche Ente Members Mark</v>
      </c>
      <c r="E2302">
        <v>2024</v>
      </c>
      <c r="F2302">
        <v>50</v>
      </c>
      <c r="G2302">
        <f t="shared" si="213"/>
        <v>12</v>
      </c>
      <c r="H2302" s="1">
        <f t="shared" si="214"/>
        <v>45635</v>
      </c>
      <c r="I2302" s="1">
        <f t="shared" si="215"/>
        <v>45627</v>
      </c>
      <c r="J2302">
        <v>1561724.1599999997</v>
      </c>
      <c r="K2302">
        <v>82284</v>
      </c>
      <c r="L2302">
        <f t="shared" ref="L2302:L2365" si="217">J2302/(M2302*O2302)</f>
        <v>18.979682076709928</v>
      </c>
      <c r="M2302">
        <v>6857</v>
      </c>
      <c r="N2302" s="2">
        <f t="shared" si="216"/>
        <v>227.75618492051913</v>
      </c>
      <c r="O2302">
        <v>12</v>
      </c>
    </row>
    <row r="2303" spans="1:15" x14ac:dyDescent="0.25">
      <c r="A2303" t="s">
        <v>46</v>
      </c>
      <c r="B2303" t="s">
        <v>17</v>
      </c>
      <c r="C2303" t="s">
        <v>9</v>
      </c>
      <c r="D2303" t="str">
        <f t="shared" si="212"/>
        <v>FAB5_Mm 12/1L Leche Ente Members Mark</v>
      </c>
      <c r="E2303">
        <v>2024</v>
      </c>
      <c r="F2303">
        <v>51</v>
      </c>
      <c r="G2303">
        <f t="shared" si="213"/>
        <v>12</v>
      </c>
      <c r="H2303" s="1">
        <f t="shared" si="214"/>
        <v>45642</v>
      </c>
      <c r="I2303" s="1">
        <f t="shared" si="215"/>
        <v>45627</v>
      </c>
      <c r="J2303">
        <v>1563320.86</v>
      </c>
      <c r="K2303">
        <v>82092</v>
      </c>
      <c r="L2303">
        <f t="shared" si="217"/>
        <v>19.043522633143304</v>
      </c>
      <c r="M2303">
        <v>6841</v>
      </c>
      <c r="N2303" s="2">
        <f t="shared" si="216"/>
        <v>228.52227159771965</v>
      </c>
      <c r="O2303">
        <v>12</v>
      </c>
    </row>
    <row r="2304" spans="1:15" x14ac:dyDescent="0.25">
      <c r="A2304" t="s">
        <v>46</v>
      </c>
      <c r="B2304" t="s">
        <v>17</v>
      </c>
      <c r="C2304" t="s">
        <v>9</v>
      </c>
      <c r="D2304" t="str">
        <f t="shared" si="212"/>
        <v>FAB5_Mm 12/1L Leche Ente Members Mark</v>
      </c>
      <c r="E2304">
        <v>2024</v>
      </c>
      <c r="F2304">
        <v>52</v>
      </c>
      <c r="G2304">
        <f t="shared" si="213"/>
        <v>12</v>
      </c>
      <c r="H2304" s="1">
        <f t="shared" si="214"/>
        <v>45649</v>
      </c>
      <c r="I2304" s="1">
        <f t="shared" si="215"/>
        <v>45627</v>
      </c>
      <c r="J2304">
        <v>1335940.8800000001</v>
      </c>
      <c r="K2304">
        <v>70176</v>
      </c>
      <c r="L2304">
        <f t="shared" si="217"/>
        <v>19.037005243958049</v>
      </c>
      <c r="M2304">
        <v>5848</v>
      </c>
      <c r="N2304" s="2">
        <f t="shared" si="216"/>
        <v>228.44406292749659</v>
      </c>
      <c r="O2304">
        <v>12</v>
      </c>
    </row>
    <row r="2305" spans="1:15" x14ac:dyDescent="0.25">
      <c r="A2305" t="s">
        <v>46</v>
      </c>
      <c r="B2305" t="s">
        <v>17</v>
      </c>
      <c r="C2305" t="s">
        <v>9</v>
      </c>
      <c r="D2305" t="str">
        <f t="shared" si="212"/>
        <v>FAB5_Mm 12/1L Leche Ente Members Mark</v>
      </c>
      <c r="E2305">
        <v>2025</v>
      </c>
      <c r="F2305">
        <v>1</v>
      </c>
      <c r="G2305">
        <f t="shared" si="213"/>
        <v>1</v>
      </c>
      <c r="H2305" s="1">
        <f t="shared" si="214"/>
        <v>45656</v>
      </c>
      <c r="I2305" s="1">
        <f t="shared" si="215"/>
        <v>45658</v>
      </c>
      <c r="J2305">
        <v>1717511.88</v>
      </c>
      <c r="K2305">
        <v>90024</v>
      </c>
      <c r="L2305">
        <f t="shared" si="217"/>
        <v>19.078377765929083</v>
      </c>
      <c r="M2305">
        <v>7502</v>
      </c>
      <c r="N2305" s="2">
        <f t="shared" si="216"/>
        <v>228.940533191149</v>
      </c>
      <c r="O2305">
        <v>12</v>
      </c>
    </row>
    <row r="2306" spans="1:15" x14ac:dyDescent="0.25">
      <c r="A2306" t="s">
        <v>46</v>
      </c>
      <c r="B2306" t="s">
        <v>17</v>
      </c>
      <c r="C2306" t="s">
        <v>9</v>
      </c>
      <c r="D2306" t="str">
        <f t="shared" si="212"/>
        <v>FAB5_Mm 12/1L Leche Ente Members Mark</v>
      </c>
      <c r="E2306">
        <v>2025</v>
      </c>
      <c r="F2306">
        <v>2</v>
      </c>
      <c r="G2306">
        <f t="shared" si="213"/>
        <v>1</v>
      </c>
      <c r="H2306" s="1">
        <f t="shared" si="214"/>
        <v>45663</v>
      </c>
      <c r="I2306" s="1">
        <f t="shared" si="215"/>
        <v>45658</v>
      </c>
      <c r="J2306">
        <v>1546758.54</v>
      </c>
      <c r="K2306">
        <v>81216</v>
      </c>
      <c r="L2306">
        <f t="shared" si="217"/>
        <v>19.044997783687943</v>
      </c>
      <c r="M2306">
        <v>6768</v>
      </c>
      <c r="N2306" s="2">
        <f t="shared" si="216"/>
        <v>228.53997340425533</v>
      </c>
      <c r="O2306">
        <v>12</v>
      </c>
    </row>
    <row r="2307" spans="1:15" x14ac:dyDescent="0.25">
      <c r="A2307" t="s">
        <v>46</v>
      </c>
      <c r="B2307" t="s">
        <v>17</v>
      </c>
      <c r="C2307" t="s">
        <v>9</v>
      </c>
      <c r="D2307" t="str">
        <f t="shared" ref="D2307:D2370" si="218">B2307&amp;"_"&amp;C2307</f>
        <v>FAB5_Mm 12/1L Leche Ente Members Mark</v>
      </c>
      <c r="E2307">
        <v>2025</v>
      </c>
      <c r="F2307">
        <v>3</v>
      </c>
      <c r="G2307">
        <f t="shared" ref="G2307:G2370" si="219">MONTH(DATE(E2307,1,4)+(F2307-1)*7-WEEKDAY(DATE(E2307,1,4),2)+4)</f>
        <v>1</v>
      </c>
      <c r="H2307" s="1">
        <f t="shared" ref="H2307:H2370" si="220">DATE(E2307,1,-2)-WEEKDAY(DATE(E2307,1,3))+F2307*7</f>
        <v>45670</v>
      </c>
      <c r="I2307" s="1">
        <f t="shared" ref="I2307:I2370" si="221">DATE(E2307,G2307,1)</f>
        <v>45658</v>
      </c>
      <c r="J2307">
        <v>1695681.4599999997</v>
      </c>
      <c r="K2307">
        <v>90720</v>
      </c>
      <c r="L2307">
        <f t="shared" si="217"/>
        <v>18.691374118165783</v>
      </c>
      <c r="M2307">
        <v>7560</v>
      </c>
      <c r="N2307" s="2">
        <f t="shared" ref="N2307:N2370" si="222">J2307/M2307</f>
        <v>224.29648941798939</v>
      </c>
      <c r="O2307">
        <v>12</v>
      </c>
    </row>
    <row r="2308" spans="1:15" x14ac:dyDescent="0.25">
      <c r="A2308" t="s">
        <v>46</v>
      </c>
      <c r="B2308" t="s">
        <v>17</v>
      </c>
      <c r="C2308" t="s">
        <v>9</v>
      </c>
      <c r="D2308" t="str">
        <f t="shared" si="218"/>
        <v>FAB5_Mm 12/1L Leche Ente Members Mark</v>
      </c>
      <c r="E2308">
        <v>2025</v>
      </c>
      <c r="F2308">
        <v>4</v>
      </c>
      <c r="G2308">
        <f t="shared" si="219"/>
        <v>1</v>
      </c>
      <c r="H2308" s="1">
        <f t="shared" si="220"/>
        <v>45677</v>
      </c>
      <c r="I2308" s="1">
        <f t="shared" si="221"/>
        <v>45658</v>
      </c>
      <c r="J2308">
        <v>1448215.0499999998</v>
      </c>
      <c r="K2308">
        <v>75840</v>
      </c>
      <c r="L2308">
        <f t="shared" si="217"/>
        <v>19.09566257911392</v>
      </c>
      <c r="M2308">
        <v>6320</v>
      </c>
      <c r="N2308" s="2">
        <f t="shared" si="222"/>
        <v>229.14795094936707</v>
      </c>
      <c r="O2308">
        <v>12</v>
      </c>
    </row>
    <row r="2309" spans="1:15" x14ac:dyDescent="0.25">
      <c r="A2309" t="s">
        <v>46</v>
      </c>
      <c r="B2309" t="s">
        <v>17</v>
      </c>
      <c r="C2309" t="s">
        <v>9</v>
      </c>
      <c r="D2309" t="str">
        <f t="shared" si="218"/>
        <v>FAB5_Mm 12/1L Leche Ente Members Mark</v>
      </c>
      <c r="E2309">
        <v>2025</v>
      </c>
      <c r="F2309">
        <v>5</v>
      </c>
      <c r="G2309">
        <f t="shared" si="219"/>
        <v>1</v>
      </c>
      <c r="H2309" s="1">
        <f t="shared" si="220"/>
        <v>45684</v>
      </c>
      <c r="I2309" s="1">
        <f t="shared" si="221"/>
        <v>45658</v>
      </c>
      <c r="J2309">
        <v>1761409.4199999997</v>
      </c>
      <c r="K2309">
        <v>92424</v>
      </c>
      <c r="L2309">
        <f t="shared" si="217"/>
        <v>19.057922401107934</v>
      </c>
      <c r="M2309">
        <v>7702</v>
      </c>
      <c r="N2309" s="2">
        <f t="shared" si="222"/>
        <v>228.69506881329522</v>
      </c>
      <c r="O2309">
        <v>12</v>
      </c>
    </row>
    <row r="2310" spans="1:15" x14ac:dyDescent="0.25">
      <c r="A2310" t="s">
        <v>46</v>
      </c>
      <c r="B2310" t="s">
        <v>17</v>
      </c>
      <c r="C2310" t="s">
        <v>9</v>
      </c>
      <c r="D2310" t="str">
        <f t="shared" si="218"/>
        <v>FAB5_Mm 12/1L Leche Ente Members Mark</v>
      </c>
      <c r="E2310">
        <v>2025</v>
      </c>
      <c r="F2310">
        <v>6</v>
      </c>
      <c r="G2310">
        <f t="shared" si="219"/>
        <v>2</v>
      </c>
      <c r="H2310" s="1">
        <f t="shared" si="220"/>
        <v>45691</v>
      </c>
      <c r="I2310" s="1">
        <f t="shared" si="221"/>
        <v>45689</v>
      </c>
      <c r="J2310">
        <v>1662939.4599999995</v>
      </c>
      <c r="K2310">
        <v>86544</v>
      </c>
      <c r="L2310">
        <f t="shared" si="217"/>
        <v>19.214959558143828</v>
      </c>
      <c r="M2310">
        <v>7212</v>
      </c>
      <c r="N2310" s="2">
        <f t="shared" si="222"/>
        <v>230.57951469772595</v>
      </c>
      <c r="O2310">
        <v>12</v>
      </c>
    </row>
    <row r="2311" spans="1:15" x14ac:dyDescent="0.25">
      <c r="A2311" t="s">
        <v>46</v>
      </c>
      <c r="B2311" t="s">
        <v>17</v>
      </c>
      <c r="C2311" t="s">
        <v>9</v>
      </c>
      <c r="D2311" t="str">
        <f t="shared" si="218"/>
        <v>FAB5_Mm 12/1L Leche Ente Members Mark</v>
      </c>
      <c r="E2311">
        <v>2025</v>
      </c>
      <c r="F2311">
        <v>7</v>
      </c>
      <c r="G2311">
        <f t="shared" si="219"/>
        <v>2</v>
      </c>
      <c r="H2311" s="1">
        <f t="shared" si="220"/>
        <v>45698</v>
      </c>
      <c r="I2311" s="1">
        <f t="shared" si="221"/>
        <v>45689</v>
      </c>
      <c r="J2311">
        <v>1972472.7599999986</v>
      </c>
      <c r="K2311">
        <v>102636</v>
      </c>
      <c r="L2311">
        <f t="shared" si="217"/>
        <v>19.218137495615562</v>
      </c>
      <c r="M2311">
        <v>8553</v>
      </c>
      <c r="N2311" s="2">
        <f t="shared" si="222"/>
        <v>230.61764994738672</v>
      </c>
      <c r="O2311">
        <v>12</v>
      </c>
    </row>
    <row r="2312" spans="1:15" x14ac:dyDescent="0.25">
      <c r="A2312" t="s">
        <v>46</v>
      </c>
      <c r="B2312" t="s">
        <v>17</v>
      </c>
      <c r="C2312" t="s">
        <v>9</v>
      </c>
      <c r="D2312" t="str">
        <f t="shared" si="218"/>
        <v>FAB5_Mm 12/1L Leche Ente Members Mark</v>
      </c>
      <c r="E2312">
        <v>2025</v>
      </c>
      <c r="F2312">
        <v>8</v>
      </c>
      <c r="G2312">
        <f t="shared" si="219"/>
        <v>2</v>
      </c>
      <c r="H2312" s="1">
        <f t="shared" si="220"/>
        <v>45705</v>
      </c>
      <c r="I2312" s="1">
        <f t="shared" si="221"/>
        <v>45689</v>
      </c>
      <c r="J2312">
        <v>1917745.5300000005</v>
      </c>
      <c r="K2312">
        <v>100968</v>
      </c>
      <c r="L2312">
        <f t="shared" si="217"/>
        <v>18.993597278345618</v>
      </c>
      <c r="M2312">
        <v>8414</v>
      </c>
      <c r="N2312" s="2">
        <f t="shared" si="222"/>
        <v>227.92316734014744</v>
      </c>
      <c r="O2312">
        <v>12</v>
      </c>
    </row>
    <row r="2313" spans="1:15" x14ac:dyDescent="0.25">
      <c r="A2313" t="s">
        <v>46</v>
      </c>
      <c r="B2313" t="s">
        <v>17</v>
      </c>
      <c r="C2313" t="s">
        <v>9</v>
      </c>
      <c r="D2313" t="str">
        <f t="shared" si="218"/>
        <v>FAB5_Mm 12/1L Leche Ente Members Mark</v>
      </c>
      <c r="E2313">
        <v>2025</v>
      </c>
      <c r="F2313">
        <v>9</v>
      </c>
      <c r="G2313">
        <f t="shared" si="219"/>
        <v>2</v>
      </c>
      <c r="H2313" s="1">
        <f t="shared" si="220"/>
        <v>45712</v>
      </c>
      <c r="I2313" s="1">
        <f t="shared" si="221"/>
        <v>45689</v>
      </c>
      <c r="J2313">
        <v>1365480.6399999992</v>
      </c>
      <c r="K2313">
        <v>66828</v>
      </c>
      <c r="L2313">
        <f t="shared" si="217"/>
        <v>20.432762315197209</v>
      </c>
      <c r="M2313">
        <v>5569</v>
      </c>
      <c r="N2313" s="2">
        <f t="shared" si="222"/>
        <v>245.19314778236654</v>
      </c>
      <c r="O2313">
        <v>12</v>
      </c>
    </row>
    <row r="2314" spans="1:15" x14ac:dyDescent="0.25">
      <c r="A2314" t="s">
        <v>46</v>
      </c>
      <c r="B2314" t="s">
        <v>17</v>
      </c>
      <c r="C2314" t="s">
        <v>9</v>
      </c>
      <c r="D2314" t="str">
        <f t="shared" si="218"/>
        <v>FAB5_Mm 12/1L Leche Ente Members Mark</v>
      </c>
      <c r="E2314">
        <v>2025</v>
      </c>
      <c r="F2314">
        <v>10</v>
      </c>
      <c r="G2314">
        <f t="shared" si="219"/>
        <v>3</v>
      </c>
      <c r="H2314" s="1">
        <f t="shared" si="220"/>
        <v>45719</v>
      </c>
      <c r="I2314" s="1">
        <f t="shared" si="221"/>
        <v>45717</v>
      </c>
      <c r="J2314">
        <v>1909333.9799999986</v>
      </c>
      <c r="K2314">
        <v>97236</v>
      </c>
      <c r="L2314">
        <f t="shared" si="217"/>
        <v>19.636081081081066</v>
      </c>
      <c r="M2314">
        <v>8103</v>
      </c>
      <c r="N2314" s="2">
        <f t="shared" si="222"/>
        <v>235.63297297297279</v>
      </c>
      <c r="O2314">
        <v>12</v>
      </c>
    </row>
    <row r="2315" spans="1:15" x14ac:dyDescent="0.25">
      <c r="A2315" t="s">
        <v>46</v>
      </c>
      <c r="B2315" t="s">
        <v>17</v>
      </c>
      <c r="C2315" t="s">
        <v>9</v>
      </c>
      <c r="D2315" t="str">
        <f t="shared" si="218"/>
        <v>FAB5_Mm 12/1L Leche Ente Members Mark</v>
      </c>
      <c r="E2315">
        <v>2025</v>
      </c>
      <c r="F2315">
        <v>11</v>
      </c>
      <c r="G2315">
        <f t="shared" si="219"/>
        <v>3</v>
      </c>
      <c r="H2315" s="1">
        <f t="shared" si="220"/>
        <v>45726</v>
      </c>
      <c r="I2315" s="1">
        <f t="shared" si="221"/>
        <v>45717</v>
      </c>
      <c r="J2315">
        <v>1579283.9399999985</v>
      </c>
      <c r="K2315">
        <v>84060</v>
      </c>
      <c r="L2315">
        <f t="shared" si="217"/>
        <v>18.787579586009976</v>
      </c>
      <c r="M2315">
        <v>7005</v>
      </c>
      <c r="N2315" s="2">
        <f t="shared" si="222"/>
        <v>225.45095503211971</v>
      </c>
      <c r="O2315">
        <v>12</v>
      </c>
    </row>
    <row r="2316" spans="1:15" x14ac:dyDescent="0.25">
      <c r="A2316" t="s">
        <v>46</v>
      </c>
      <c r="B2316" t="s">
        <v>17</v>
      </c>
      <c r="C2316" t="s">
        <v>9</v>
      </c>
      <c r="D2316" t="str">
        <f t="shared" si="218"/>
        <v>FAB5_Mm 12/1L Leche Ente Members Mark</v>
      </c>
      <c r="E2316">
        <v>2025</v>
      </c>
      <c r="F2316">
        <v>12</v>
      </c>
      <c r="G2316">
        <f t="shared" si="219"/>
        <v>3</v>
      </c>
      <c r="H2316" s="1">
        <f t="shared" si="220"/>
        <v>45733</v>
      </c>
      <c r="I2316" s="1">
        <f t="shared" si="221"/>
        <v>45717</v>
      </c>
      <c r="J2316">
        <v>1975422.9999999977</v>
      </c>
      <c r="K2316">
        <v>104916</v>
      </c>
      <c r="L2316">
        <f t="shared" si="217"/>
        <v>18.828615273170897</v>
      </c>
      <c r="M2316">
        <v>8743</v>
      </c>
      <c r="N2316" s="2">
        <f t="shared" si="222"/>
        <v>225.94338327805076</v>
      </c>
      <c r="O2316">
        <v>12</v>
      </c>
    </row>
    <row r="2317" spans="1:15" x14ac:dyDescent="0.25">
      <c r="A2317" t="s">
        <v>46</v>
      </c>
      <c r="B2317" t="s">
        <v>17</v>
      </c>
      <c r="C2317" t="s">
        <v>9</v>
      </c>
      <c r="D2317" t="str">
        <f t="shared" si="218"/>
        <v>FAB5_Mm 12/1L Leche Ente Members Mark</v>
      </c>
      <c r="E2317">
        <v>2025</v>
      </c>
      <c r="F2317">
        <v>13</v>
      </c>
      <c r="G2317">
        <f t="shared" si="219"/>
        <v>3</v>
      </c>
      <c r="H2317" s="1">
        <f t="shared" si="220"/>
        <v>45740</v>
      </c>
      <c r="I2317" s="1">
        <f t="shared" si="221"/>
        <v>45717</v>
      </c>
      <c r="J2317">
        <v>1592549.1399999994</v>
      </c>
      <c r="K2317">
        <v>84564</v>
      </c>
      <c r="L2317">
        <f t="shared" si="217"/>
        <v>18.832471737382331</v>
      </c>
      <c r="M2317">
        <v>7047</v>
      </c>
      <c r="N2317" s="2">
        <f t="shared" si="222"/>
        <v>225.98966084858796</v>
      </c>
      <c r="O2317">
        <v>12</v>
      </c>
    </row>
    <row r="2318" spans="1:15" x14ac:dyDescent="0.25">
      <c r="A2318" t="s">
        <v>46</v>
      </c>
      <c r="B2318" t="s">
        <v>17</v>
      </c>
      <c r="C2318" t="s">
        <v>9</v>
      </c>
      <c r="D2318" t="str">
        <f t="shared" si="218"/>
        <v>FAB5_Mm 12/1L Leche Ente Members Mark</v>
      </c>
      <c r="E2318">
        <v>2025</v>
      </c>
      <c r="F2318">
        <v>14</v>
      </c>
      <c r="G2318">
        <f t="shared" si="219"/>
        <v>4</v>
      </c>
      <c r="H2318" s="1">
        <f t="shared" si="220"/>
        <v>45747</v>
      </c>
      <c r="I2318" s="1">
        <f t="shared" si="221"/>
        <v>45748</v>
      </c>
      <c r="J2318">
        <v>1992348.4599999983</v>
      </c>
      <c r="K2318">
        <v>101640</v>
      </c>
      <c r="L2318">
        <f t="shared" si="217"/>
        <v>19.602011609602503</v>
      </c>
      <c r="M2318">
        <v>8470</v>
      </c>
      <c r="N2318" s="2">
        <f t="shared" si="222"/>
        <v>235.22413931523002</v>
      </c>
      <c r="O2318">
        <v>12</v>
      </c>
    </row>
    <row r="2319" spans="1:15" x14ac:dyDescent="0.25">
      <c r="A2319" t="s">
        <v>46</v>
      </c>
      <c r="B2319" t="s">
        <v>17</v>
      </c>
      <c r="C2319" t="s">
        <v>9</v>
      </c>
      <c r="D2319" t="str">
        <f t="shared" si="218"/>
        <v>FAB5_Mm 12/1L Leche Ente Members Mark</v>
      </c>
      <c r="E2319">
        <v>2025</v>
      </c>
      <c r="F2319">
        <v>15</v>
      </c>
      <c r="G2319">
        <f t="shared" si="219"/>
        <v>4</v>
      </c>
      <c r="H2319" s="1">
        <f t="shared" si="220"/>
        <v>45754</v>
      </c>
      <c r="I2319" s="1">
        <f t="shared" si="221"/>
        <v>45748</v>
      </c>
      <c r="J2319">
        <v>1512888.7299999988</v>
      </c>
      <c r="K2319">
        <v>74052</v>
      </c>
      <c r="L2319">
        <f t="shared" si="217"/>
        <v>20.430086020634132</v>
      </c>
      <c r="M2319">
        <v>6171</v>
      </c>
      <c r="N2319" s="2">
        <f t="shared" si="222"/>
        <v>245.1610322476096</v>
      </c>
      <c r="O2319">
        <v>12</v>
      </c>
    </row>
    <row r="2320" spans="1:15" x14ac:dyDescent="0.25">
      <c r="A2320" t="s">
        <v>46</v>
      </c>
      <c r="B2320" t="s">
        <v>17</v>
      </c>
      <c r="C2320" t="s">
        <v>9</v>
      </c>
      <c r="D2320" t="str">
        <f t="shared" si="218"/>
        <v>FAB5_Mm 12/1L Leche Ente Members Mark</v>
      </c>
      <c r="E2320">
        <v>2025</v>
      </c>
      <c r="F2320">
        <v>16</v>
      </c>
      <c r="G2320">
        <f t="shared" si="219"/>
        <v>4</v>
      </c>
      <c r="H2320" s="1">
        <f t="shared" si="220"/>
        <v>45761</v>
      </c>
      <c r="I2320" s="1">
        <f t="shared" si="221"/>
        <v>45748</v>
      </c>
      <c r="J2320">
        <v>1809218.8299999984</v>
      </c>
      <c r="K2320">
        <v>88548</v>
      </c>
      <c r="L2320">
        <f t="shared" si="217"/>
        <v>20.432068821430168</v>
      </c>
      <c r="M2320">
        <v>7379</v>
      </c>
      <c r="N2320" s="2">
        <f t="shared" si="222"/>
        <v>245.184825857162</v>
      </c>
      <c r="O2320">
        <v>12</v>
      </c>
    </row>
    <row r="2321" spans="1:15" x14ac:dyDescent="0.25">
      <c r="A2321" t="s">
        <v>46</v>
      </c>
      <c r="B2321" t="s">
        <v>17</v>
      </c>
      <c r="C2321" t="s">
        <v>9</v>
      </c>
      <c r="D2321" t="str">
        <f t="shared" si="218"/>
        <v>FAB5_Mm 12/1L Leche Ente Members Mark</v>
      </c>
      <c r="E2321">
        <v>2025</v>
      </c>
      <c r="F2321">
        <v>17</v>
      </c>
      <c r="G2321">
        <f t="shared" si="219"/>
        <v>4</v>
      </c>
      <c r="H2321" s="1">
        <f t="shared" si="220"/>
        <v>45768</v>
      </c>
      <c r="I2321" s="1">
        <f t="shared" si="221"/>
        <v>45748</v>
      </c>
      <c r="J2321">
        <v>1671576.2299999993</v>
      </c>
      <c r="K2321">
        <v>83340</v>
      </c>
      <c r="L2321">
        <f t="shared" si="217"/>
        <v>20.057310175185975</v>
      </c>
      <c r="M2321">
        <v>6945</v>
      </c>
      <c r="N2321" s="2">
        <f t="shared" si="222"/>
        <v>240.68772210223173</v>
      </c>
      <c r="O2321">
        <v>12</v>
      </c>
    </row>
    <row r="2322" spans="1:15" x14ac:dyDescent="0.25">
      <c r="A2322" t="s">
        <v>46</v>
      </c>
      <c r="B2322" t="s">
        <v>17</v>
      </c>
      <c r="C2322" t="s">
        <v>9</v>
      </c>
      <c r="D2322" t="str">
        <f t="shared" si="218"/>
        <v>FAB5_Mm 12/1L Leche Ente Members Mark</v>
      </c>
      <c r="E2322">
        <v>2025</v>
      </c>
      <c r="F2322">
        <v>18</v>
      </c>
      <c r="G2322">
        <f t="shared" si="219"/>
        <v>5</v>
      </c>
      <c r="H2322" s="1">
        <f t="shared" si="220"/>
        <v>45775</v>
      </c>
      <c r="I2322" s="1">
        <f t="shared" si="221"/>
        <v>45778</v>
      </c>
      <c r="J2322">
        <v>2380580.149999999</v>
      </c>
      <c r="K2322">
        <v>129804</v>
      </c>
      <c r="L2322">
        <f t="shared" si="217"/>
        <v>18.339805784105259</v>
      </c>
      <c r="M2322">
        <v>10817</v>
      </c>
      <c r="N2322" s="2">
        <f t="shared" si="222"/>
        <v>220.07766940926311</v>
      </c>
      <c r="O2322">
        <v>12</v>
      </c>
    </row>
    <row r="2323" spans="1:15" x14ac:dyDescent="0.25">
      <c r="A2323" t="s">
        <v>46</v>
      </c>
      <c r="B2323" t="s">
        <v>17</v>
      </c>
      <c r="C2323" t="s">
        <v>9</v>
      </c>
      <c r="D2323" t="str">
        <f t="shared" si="218"/>
        <v>FAB5_Mm 12/1L Leche Ente Members Mark</v>
      </c>
      <c r="E2323">
        <v>2025</v>
      </c>
      <c r="F2323">
        <v>19</v>
      </c>
      <c r="G2323">
        <f t="shared" si="219"/>
        <v>5</v>
      </c>
      <c r="H2323" s="1">
        <f t="shared" si="220"/>
        <v>45782</v>
      </c>
      <c r="I2323" s="1">
        <f t="shared" si="221"/>
        <v>45778</v>
      </c>
      <c r="J2323">
        <v>2096449.1499999997</v>
      </c>
      <c r="K2323">
        <v>113664</v>
      </c>
      <c r="L2323">
        <f t="shared" si="217"/>
        <v>18.444266874296169</v>
      </c>
      <c r="M2323">
        <v>9472</v>
      </c>
      <c r="N2323" s="2">
        <f t="shared" si="222"/>
        <v>221.33120249155402</v>
      </c>
      <c r="O2323">
        <v>12</v>
      </c>
    </row>
    <row r="2324" spans="1:15" x14ac:dyDescent="0.25">
      <c r="A2324" t="s">
        <v>46</v>
      </c>
      <c r="B2324" t="s">
        <v>17</v>
      </c>
      <c r="C2324" t="s">
        <v>9</v>
      </c>
      <c r="D2324" t="str">
        <f t="shared" si="218"/>
        <v>FAB5_Mm 12/1L Leche Ente Members Mark</v>
      </c>
      <c r="E2324">
        <v>2025</v>
      </c>
      <c r="F2324">
        <v>20</v>
      </c>
      <c r="G2324">
        <f t="shared" si="219"/>
        <v>5</v>
      </c>
      <c r="H2324" s="1">
        <f t="shared" si="220"/>
        <v>45789</v>
      </c>
      <c r="I2324" s="1">
        <f t="shared" si="221"/>
        <v>45778</v>
      </c>
      <c r="J2324">
        <v>1673600.9899999981</v>
      </c>
      <c r="K2324">
        <v>89004</v>
      </c>
      <c r="L2324">
        <f t="shared" si="217"/>
        <v>18.803660397285494</v>
      </c>
      <c r="M2324">
        <v>7417</v>
      </c>
      <c r="N2324" s="2">
        <f t="shared" si="222"/>
        <v>225.64392476742594</v>
      </c>
      <c r="O2324">
        <v>12</v>
      </c>
    </row>
    <row r="2325" spans="1:15" x14ac:dyDescent="0.25">
      <c r="A2325" t="s">
        <v>46</v>
      </c>
      <c r="B2325" t="s">
        <v>17</v>
      </c>
      <c r="C2325" t="s">
        <v>9</v>
      </c>
      <c r="D2325" t="str">
        <f t="shared" si="218"/>
        <v>FAB5_Mm 12/1L Leche Ente Members Mark</v>
      </c>
      <c r="E2325">
        <v>2025</v>
      </c>
      <c r="F2325">
        <v>21</v>
      </c>
      <c r="G2325">
        <f t="shared" si="219"/>
        <v>5</v>
      </c>
      <c r="H2325" s="1">
        <f t="shared" si="220"/>
        <v>45796</v>
      </c>
      <c r="I2325" s="1">
        <f t="shared" si="221"/>
        <v>45778</v>
      </c>
      <c r="J2325">
        <v>1645071.4599999983</v>
      </c>
      <c r="K2325">
        <v>87312</v>
      </c>
      <c r="L2325">
        <f t="shared" si="217"/>
        <v>18.841298561480649</v>
      </c>
      <c r="M2325">
        <v>7276</v>
      </c>
      <c r="N2325" s="2">
        <f t="shared" si="222"/>
        <v>226.09558273776778</v>
      </c>
      <c r="O2325">
        <v>12</v>
      </c>
    </row>
    <row r="2326" spans="1:15" x14ac:dyDescent="0.25">
      <c r="A2326" t="s">
        <v>46</v>
      </c>
      <c r="B2326" t="s">
        <v>17</v>
      </c>
      <c r="C2326" t="s">
        <v>9</v>
      </c>
      <c r="D2326" t="str">
        <f t="shared" si="218"/>
        <v>FAB5_Mm 12/1L Leche Ente Members Mark</v>
      </c>
      <c r="E2326">
        <v>2025</v>
      </c>
      <c r="F2326">
        <v>22</v>
      </c>
      <c r="G2326">
        <f t="shared" si="219"/>
        <v>5</v>
      </c>
      <c r="H2326" s="1">
        <f t="shared" si="220"/>
        <v>45803</v>
      </c>
      <c r="I2326" s="1">
        <f t="shared" si="221"/>
        <v>45778</v>
      </c>
      <c r="J2326">
        <v>1619380.1199999989</v>
      </c>
      <c r="K2326">
        <v>83160</v>
      </c>
      <c r="L2326">
        <f t="shared" si="217"/>
        <v>19.473065416065403</v>
      </c>
      <c r="M2326">
        <v>6930</v>
      </c>
      <c r="N2326" s="2">
        <f t="shared" si="222"/>
        <v>233.67678499278483</v>
      </c>
      <c r="O2326">
        <v>12</v>
      </c>
    </row>
    <row r="2327" spans="1:15" x14ac:dyDescent="0.25">
      <c r="A2327" t="s">
        <v>46</v>
      </c>
      <c r="B2327" t="s">
        <v>17</v>
      </c>
      <c r="C2327" t="s">
        <v>9</v>
      </c>
      <c r="D2327" t="str">
        <f t="shared" si="218"/>
        <v>FAB5_Mm 12/1L Leche Ente Members Mark</v>
      </c>
      <c r="E2327">
        <v>2025</v>
      </c>
      <c r="F2327">
        <v>23</v>
      </c>
      <c r="G2327">
        <f t="shared" si="219"/>
        <v>6</v>
      </c>
      <c r="H2327" s="1">
        <f t="shared" si="220"/>
        <v>45810</v>
      </c>
      <c r="I2327" s="1">
        <f t="shared" si="221"/>
        <v>45809</v>
      </c>
      <c r="J2327">
        <v>1844152.5800000008</v>
      </c>
      <c r="K2327">
        <v>91092</v>
      </c>
      <c r="L2327">
        <f t="shared" si="217"/>
        <v>20.244945549554306</v>
      </c>
      <c r="M2327">
        <v>7591</v>
      </c>
      <c r="N2327" s="2">
        <f t="shared" si="222"/>
        <v>242.93934659465165</v>
      </c>
      <c r="O2327">
        <v>12</v>
      </c>
    </row>
    <row r="2328" spans="1:15" x14ac:dyDescent="0.25">
      <c r="A2328" t="s">
        <v>46</v>
      </c>
      <c r="B2328" t="s">
        <v>17</v>
      </c>
      <c r="C2328" t="s">
        <v>9</v>
      </c>
      <c r="D2328" t="str">
        <f t="shared" si="218"/>
        <v>FAB5_Mm 12/1L Leche Ente Members Mark</v>
      </c>
      <c r="E2328">
        <v>2025</v>
      </c>
      <c r="F2328">
        <v>24</v>
      </c>
      <c r="G2328">
        <f t="shared" si="219"/>
        <v>6</v>
      </c>
      <c r="H2328" s="1">
        <f t="shared" si="220"/>
        <v>45817</v>
      </c>
      <c r="I2328" s="1">
        <f t="shared" si="221"/>
        <v>45809</v>
      </c>
      <c r="J2328">
        <v>1720483.5400000003</v>
      </c>
      <c r="K2328">
        <v>85800</v>
      </c>
      <c r="L2328">
        <f t="shared" si="217"/>
        <v>20.052255710955713</v>
      </c>
      <c r="M2328">
        <v>7150</v>
      </c>
      <c r="N2328" s="2">
        <f t="shared" si="222"/>
        <v>240.62706853146858</v>
      </c>
      <c r="O2328">
        <v>12</v>
      </c>
    </row>
    <row r="2329" spans="1:15" x14ac:dyDescent="0.25">
      <c r="A2329" t="s">
        <v>46</v>
      </c>
      <c r="B2329" t="s">
        <v>17</v>
      </c>
      <c r="C2329" t="s">
        <v>9</v>
      </c>
      <c r="D2329" t="str">
        <f t="shared" si="218"/>
        <v>FAB5_Mm 12/1L Leche Ente Members Mark</v>
      </c>
      <c r="E2329">
        <v>2025</v>
      </c>
      <c r="F2329">
        <v>25</v>
      </c>
      <c r="G2329">
        <f t="shared" si="219"/>
        <v>6</v>
      </c>
      <c r="H2329" s="1">
        <f t="shared" si="220"/>
        <v>45824</v>
      </c>
      <c r="I2329" s="1">
        <f t="shared" si="221"/>
        <v>45809</v>
      </c>
      <c r="J2329">
        <v>1721870.1899999995</v>
      </c>
      <c r="K2329">
        <v>84912</v>
      </c>
      <c r="L2329">
        <f t="shared" si="217"/>
        <v>20.278290347654035</v>
      </c>
      <c r="M2329">
        <v>7076</v>
      </c>
      <c r="N2329" s="2">
        <f t="shared" si="222"/>
        <v>243.33948417184843</v>
      </c>
      <c r="O2329">
        <v>12</v>
      </c>
    </row>
    <row r="2330" spans="1:15" x14ac:dyDescent="0.25">
      <c r="A2330" t="s">
        <v>46</v>
      </c>
      <c r="B2330" t="s">
        <v>17</v>
      </c>
      <c r="C2330" t="s">
        <v>9</v>
      </c>
      <c r="D2330" t="str">
        <f t="shared" si="218"/>
        <v>FAB5_Mm 12/1L Leche Ente Members Mark</v>
      </c>
      <c r="E2330">
        <v>2025</v>
      </c>
      <c r="F2330">
        <v>26</v>
      </c>
      <c r="G2330">
        <f t="shared" si="219"/>
        <v>6</v>
      </c>
      <c r="H2330" s="1">
        <f t="shared" si="220"/>
        <v>45831</v>
      </c>
      <c r="I2330" s="1">
        <f t="shared" si="221"/>
        <v>45809</v>
      </c>
      <c r="J2330">
        <v>1493882.0300000005</v>
      </c>
      <c r="K2330">
        <v>73116</v>
      </c>
      <c r="L2330">
        <f t="shared" si="217"/>
        <v>20.431670632966799</v>
      </c>
      <c r="M2330">
        <v>6093</v>
      </c>
      <c r="N2330" s="2">
        <f t="shared" si="222"/>
        <v>245.18004759560159</v>
      </c>
      <c r="O2330">
        <v>12</v>
      </c>
    </row>
    <row r="2331" spans="1:15" x14ac:dyDescent="0.25">
      <c r="A2331" t="s">
        <v>46</v>
      </c>
      <c r="B2331" t="s">
        <v>17</v>
      </c>
      <c r="C2331" t="s">
        <v>9</v>
      </c>
      <c r="D2331" t="str">
        <f t="shared" si="218"/>
        <v>FAB5_Mm 12/1L Leche Ente Members Mark</v>
      </c>
      <c r="E2331">
        <v>2025</v>
      </c>
      <c r="F2331">
        <v>27</v>
      </c>
      <c r="G2331">
        <f t="shared" si="219"/>
        <v>7</v>
      </c>
      <c r="H2331" s="1">
        <f t="shared" si="220"/>
        <v>45838</v>
      </c>
      <c r="I2331" s="1">
        <f t="shared" si="221"/>
        <v>45839</v>
      </c>
      <c r="J2331">
        <v>1755249.6799999976</v>
      </c>
      <c r="K2331">
        <v>85920</v>
      </c>
      <c r="L2331">
        <f t="shared" si="217"/>
        <v>20.428883612662915</v>
      </c>
      <c r="M2331">
        <v>7160</v>
      </c>
      <c r="N2331" s="2">
        <f t="shared" si="222"/>
        <v>245.14660335195498</v>
      </c>
      <c r="O2331">
        <v>12</v>
      </c>
    </row>
    <row r="2332" spans="1:15" x14ac:dyDescent="0.25">
      <c r="A2332" t="s">
        <v>46</v>
      </c>
      <c r="B2332" t="s">
        <v>17</v>
      </c>
      <c r="C2332" t="s">
        <v>9</v>
      </c>
      <c r="D2332" t="str">
        <f t="shared" si="218"/>
        <v>FAB5_Mm 12/1L Leche Ente Members Mark</v>
      </c>
      <c r="E2332">
        <v>2025</v>
      </c>
      <c r="F2332">
        <v>28</v>
      </c>
      <c r="G2332">
        <f t="shared" si="219"/>
        <v>7</v>
      </c>
      <c r="H2332" s="1">
        <f t="shared" si="220"/>
        <v>45845</v>
      </c>
      <c r="I2332" s="1">
        <f t="shared" si="221"/>
        <v>45839</v>
      </c>
      <c r="J2332">
        <v>1554319.9099999988</v>
      </c>
      <c r="K2332">
        <v>76884</v>
      </c>
      <c r="L2332">
        <f t="shared" si="217"/>
        <v>20.216428775818098</v>
      </c>
      <c r="M2332">
        <v>6407</v>
      </c>
      <c r="N2332" s="2">
        <f t="shared" si="222"/>
        <v>242.59714530981719</v>
      </c>
      <c r="O2332">
        <v>12</v>
      </c>
    </row>
    <row r="2333" spans="1:15" x14ac:dyDescent="0.25">
      <c r="A2333" t="s">
        <v>46</v>
      </c>
      <c r="B2333" t="s">
        <v>17</v>
      </c>
      <c r="C2333" t="s">
        <v>9</v>
      </c>
      <c r="D2333" t="str">
        <f t="shared" si="218"/>
        <v>FAB5_Mm 12/1L Leche Ente Members Mark</v>
      </c>
      <c r="E2333">
        <v>2025</v>
      </c>
      <c r="F2333">
        <v>29</v>
      </c>
      <c r="G2333">
        <f t="shared" si="219"/>
        <v>7</v>
      </c>
      <c r="H2333" s="1">
        <f t="shared" si="220"/>
        <v>45852</v>
      </c>
      <c r="I2333" s="1">
        <f t="shared" si="221"/>
        <v>45839</v>
      </c>
      <c r="J2333">
        <v>2134618.0099999979</v>
      </c>
      <c r="K2333">
        <v>114096</v>
      </c>
      <c r="L2333">
        <f t="shared" si="217"/>
        <v>18.708964468517721</v>
      </c>
      <c r="M2333">
        <v>9508</v>
      </c>
      <c r="N2333" s="2">
        <f t="shared" si="222"/>
        <v>224.50757362221265</v>
      </c>
      <c r="O2333">
        <v>12</v>
      </c>
    </row>
    <row r="2334" spans="1:15" x14ac:dyDescent="0.25">
      <c r="A2334" t="s">
        <v>46</v>
      </c>
      <c r="B2334" t="s">
        <v>17</v>
      </c>
      <c r="C2334" t="s">
        <v>9</v>
      </c>
      <c r="D2334" t="str">
        <f t="shared" si="218"/>
        <v>FAB5_Mm 12/1L Leche Ente Members Mark</v>
      </c>
      <c r="E2334">
        <v>2025</v>
      </c>
      <c r="F2334">
        <v>30</v>
      </c>
      <c r="G2334">
        <f t="shared" si="219"/>
        <v>7</v>
      </c>
      <c r="H2334" s="1">
        <f t="shared" si="220"/>
        <v>45859</v>
      </c>
      <c r="I2334" s="1">
        <f t="shared" si="221"/>
        <v>45839</v>
      </c>
      <c r="J2334">
        <v>1861780.7899999977</v>
      </c>
      <c r="K2334">
        <v>99444</v>
      </c>
      <c r="L2334">
        <f t="shared" si="217"/>
        <v>18.721901673303545</v>
      </c>
      <c r="M2334">
        <v>8287</v>
      </c>
      <c r="N2334" s="2">
        <f t="shared" si="222"/>
        <v>224.66282007964253</v>
      </c>
      <c r="O2334">
        <v>12</v>
      </c>
    </row>
    <row r="2335" spans="1:15" x14ac:dyDescent="0.25">
      <c r="A2335" t="s">
        <v>46</v>
      </c>
      <c r="B2335" t="s">
        <v>17</v>
      </c>
      <c r="C2335" t="s">
        <v>9</v>
      </c>
      <c r="D2335" t="str">
        <f t="shared" si="218"/>
        <v>FAB5_Mm 12/1L Leche Ente Members Mark</v>
      </c>
      <c r="E2335">
        <v>2025</v>
      </c>
      <c r="F2335">
        <v>31</v>
      </c>
      <c r="G2335">
        <f t="shared" si="219"/>
        <v>7</v>
      </c>
      <c r="H2335" s="1">
        <f t="shared" si="220"/>
        <v>45866</v>
      </c>
      <c r="I2335" s="1">
        <f t="shared" si="221"/>
        <v>45839</v>
      </c>
      <c r="J2335">
        <v>1900215.5299999982</v>
      </c>
      <c r="K2335">
        <v>99864</v>
      </c>
      <c r="L2335">
        <f t="shared" si="217"/>
        <v>19.028033425458606</v>
      </c>
      <c r="M2335">
        <v>8322</v>
      </c>
      <c r="N2335" s="2">
        <f t="shared" si="222"/>
        <v>228.33640110550326</v>
      </c>
      <c r="O2335">
        <v>12</v>
      </c>
    </row>
    <row r="2336" spans="1:15" x14ac:dyDescent="0.25">
      <c r="A2336" t="s">
        <v>46</v>
      </c>
      <c r="B2336" t="s">
        <v>17</v>
      </c>
      <c r="C2336" t="s">
        <v>10</v>
      </c>
      <c r="D2336" t="str">
        <f t="shared" si="218"/>
        <v>FAB5_Mm Leche Deslac Ligh</v>
      </c>
      <c r="E2336">
        <v>2025</v>
      </c>
      <c r="F2336">
        <v>19</v>
      </c>
      <c r="G2336">
        <f t="shared" si="219"/>
        <v>5</v>
      </c>
      <c r="H2336" s="1">
        <f t="shared" si="220"/>
        <v>45782</v>
      </c>
      <c r="I2336" s="1">
        <f t="shared" si="221"/>
        <v>45778</v>
      </c>
      <c r="J2336">
        <v>154841.44</v>
      </c>
      <c r="K2336">
        <v>7860</v>
      </c>
      <c r="L2336">
        <f t="shared" si="217"/>
        <v>19.699928753180661</v>
      </c>
      <c r="M2336">
        <v>655</v>
      </c>
      <c r="N2336" s="2">
        <f t="shared" si="222"/>
        <v>236.39914503816794</v>
      </c>
      <c r="O2336">
        <v>12</v>
      </c>
    </row>
    <row r="2337" spans="1:15" x14ac:dyDescent="0.25">
      <c r="A2337" t="s">
        <v>46</v>
      </c>
      <c r="B2337" t="s">
        <v>17</v>
      </c>
      <c r="C2337" t="s">
        <v>10</v>
      </c>
      <c r="D2337" t="str">
        <f t="shared" si="218"/>
        <v>FAB5_Mm Leche Deslac Ligh</v>
      </c>
      <c r="E2337">
        <v>2025</v>
      </c>
      <c r="F2337">
        <v>20</v>
      </c>
      <c r="G2337">
        <f t="shared" si="219"/>
        <v>5</v>
      </c>
      <c r="H2337" s="1">
        <f t="shared" si="220"/>
        <v>45789</v>
      </c>
      <c r="I2337" s="1">
        <f t="shared" si="221"/>
        <v>45778</v>
      </c>
      <c r="J2337">
        <v>337550.62000000011</v>
      </c>
      <c r="K2337">
        <v>17052</v>
      </c>
      <c r="L2337">
        <f t="shared" si="217"/>
        <v>19.795368285245139</v>
      </c>
      <c r="M2337">
        <v>1421</v>
      </c>
      <c r="N2337" s="2">
        <f t="shared" si="222"/>
        <v>237.54441942294167</v>
      </c>
      <c r="O2337">
        <v>12</v>
      </c>
    </row>
    <row r="2338" spans="1:15" x14ac:dyDescent="0.25">
      <c r="A2338" t="s">
        <v>46</v>
      </c>
      <c r="B2338" t="s">
        <v>17</v>
      </c>
      <c r="C2338" t="s">
        <v>10</v>
      </c>
      <c r="D2338" t="str">
        <f t="shared" si="218"/>
        <v>FAB5_Mm Leche Deslac Ligh</v>
      </c>
      <c r="E2338">
        <v>2025</v>
      </c>
      <c r="F2338">
        <v>21</v>
      </c>
      <c r="G2338">
        <f t="shared" si="219"/>
        <v>5</v>
      </c>
      <c r="H2338" s="1">
        <f t="shared" si="220"/>
        <v>45796</v>
      </c>
      <c r="I2338" s="1">
        <f t="shared" si="221"/>
        <v>45778</v>
      </c>
      <c r="J2338">
        <v>374463.98000000004</v>
      </c>
      <c r="K2338">
        <v>19440</v>
      </c>
      <c r="L2338">
        <f t="shared" si="217"/>
        <v>19.262550411522636</v>
      </c>
      <c r="M2338">
        <v>1620</v>
      </c>
      <c r="N2338" s="2">
        <f t="shared" si="222"/>
        <v>231.15060493827164</v>
      </c>
      <c r="O2338">
        <v>12</v>
      </c>
    </row>
    <row r="2339" spans="1:15" x14ac:dyDescent="0.25">
      <c r="A2339" t="s">
        <v>46</v>
      </c>
      <c r="B2339" t="s">
        <v>17</v>
      </c>
      <c r="C2339" t="s">
        <v>10</v>
      </c>
      <c r="D2339" t="str">
        <f t="shared" si="218"/>
        <v>FAB5_Mm Leche Deslac Ligh</v>
      </c>
      <c r="E2339">
        <v>2025</v>
      </c>
      <c r="F2339">
        <v>22</v>
      </c>
      <c r="G2339">
        <f t="shared" si="219"/>
        <v>5</v>
      </c>
      <c r="H2339" s="1">
        <f t="shared" si="220"/>
        <v>45803</v>
      </c>
      <c r="I2339" s="1">
        <f t="shared" si="221"/>
        <v>45778</v>
      </c>
      <c r="J2339">
        <v>397746.56999999977</v>
      </c>
      <c r="K2339">
        <v>20472</v>
      </c>
      <c r="L2339">
        <f t="shared" si="217"/>
        <v>19.428808616647117</v>
      </c>
      <c r="M2339">
        <v>1706</v>
      </c>
      <c r="N2339" s="2">
        <f t="shared" si="222"/>
        <v>233.14570339976541</v>
      </c>
      <c r="O2339">
        <v>12</v>
      </c>
    </row>
    <row r="2340" spans="1:15" x14ac:dyDescent="0.25">
      <c r="A2340" t="s">
        <v>46</v>
      </c>
      <c r="B2340" t="s">
        <v>17</v>
      </c>
      <c r="C2340" t="s">
        <v>10</v>
      </c>
      <c r="D2340" t="str">
        <f t="shared" si="218"/>
        <v>FAB5_Mm Leche Deslac Ligh</v>
      </c>
      <c r="E2340">
        <v>2025</v>
      </c>
      <c r="F2340">
        <v>23</v>
      </c>
      <c r="G2340">
        <f t="shared" si="219"/>
        <v>6</v>
      </c>
      <c r="H2340" s="1">
        <f t="shared" si="220"/>
        <v>45810</v>
      </c>
      <c r="I2340" s="1">
        <f t="shared" si="221"/>
        <v>45809</v>
      </c>
      <c r="J2340">
        <v>499040.75999999983</v>
      </c>
      <c r="K2340">
        <v>24228</v>
      </c>
      <c r="L2340">
        <f t="shared" si="217"/>
        <v>20.597686973749376</v>
      </c>
      <c r="M2340">
        <v>2019</v>
      </c>
      <c r="N2340" s="2">
        <f t="shared" si="222"/>
        <v>247.17224368499248</v>
      </c>
      <c r="O2340">
        <v>12</v>
      </c>
    </row>
    <row r="2341" spans="1:15" x14ac:dyDescent="0.25">
      <c r="A2341" t="s">
        <v>46</v>
      </c>
      <c r="B2341" t="s">
        <v>17</v>
      </c>
      <c r="C2341" t="s">
        <v>10</v>
      </c>
      <c r="D2341" t="str">
        <f t="shared" si="218"/>
        <v>FAB5_Mm Leche Deslac Ligh</v>
      </c>
      <c r="E2341">
        <v>2025</v>
      </c>
      <c r="F2341">
        <v>24</v>
      </c>
      <c r="G2341">
        <f t="shared" si="219"/>
        <v>6</v>
      </c>
      <c r="H2341" s="1">
        <f t="shared" si="220"/>
        <v>45817</v>
      </c>
      <c r="I2341" s="1">
        <f t="shared" si="221"/>
        <v>45809</v>
      </c>
      <c r="J2341">
        <v>415352.10999999969</v>
      </c>
      <c r="K2341">
        <v>20376</v>
      </c>
      <c r="L2341">
        <f t="shared" si="217"/>
        <v>20.384379171574388</v>
      </c>
      <c r="M2341">
        <v>1698</v>
      </c>
      <c r="N2341" s="2">
        <f t="shared" si="222"/>
        <v>244.61255005889262</v>
      </c>
      <c r="O2341">
        <v>12</v>
      </c>
    </row>
    <row r="2342" spans="1:15" x14ac:dyDescent="0.25">
      <c r="A2342" t="s">
        <v>46</v>
      </c>
      <c r="B2342" t="s">
        <v>17</v>
      </c>
      <c r="C2342" t="s">
        <v>10</v>
      </c>
      <c r="D2342" t="str">
        <f t="shared" si="218"/>
        <v>FAB5_Mm Leche Deslac Ligh</v>
      </c>
      <c r="E2342">
        <v>2025</v>
      </c>
      <c r="F2342">
        <v>25</v>
      </c>
      <c r="G2342">
        <f t="shared" si="219"/>
        <v>6</v>
      </c>
      <c r="H2342" s="1">
        <f t="shared" si="220"/>
        <v>45824</v>
      </c>
      <c r="I2342" s="1">
        <f t="shared" si="221"/>
        <v>45809</v>
      </c>
      <c r="J2342">
        <v>433665.44999999978</v>
      </c>
      <c r="K2342">
        <v>21108</v>
      </c>
      <c r="L2342">
        <f t="shared" si="217"/>
        <v>20.545075326890267</v>
      </c>
      <c r="M2342">
        <v>1759</v>
      </c>
      <c r="N2342" s="2">
        <f t="shared" si="222"/>
        <v>246.54090392268321</v>
      </c>
      <c r="O2342">
        <v>12</v>
      </c>
    </row>
    <row r="2343" spans="1:15" x14ac:dyDescent="0.25">
      <c r="A2343" t="s">
        <v>46</v>
      </c>
      <c r="B2343" t="s">
        <v>17</v>
      </c>
      <c r="C2343" t="s">
        <v>10</v>
      </c>
      <c r="D2343" t="str">
        <f t="shared" si="218"/>
        <v>FAB5_Mm Leche Deslac Ligh</v>
      </c>
      <c r="E2343">
        <v>2025</v>
      </c>
      <c r="F2343">
        <v>26</v>
      </c>
      <c r="G2343">
        <f t="shared" si="219"/>
        <v>6</v>
      </c>
      <c r="H2343" s="1">
        <f t="shared" si="220"/>
        <v>45831</v>
      </c>
      <c r="I2343" s="1">
        <f t="shared" si="221"/>
        <v>45809</v>
      </c>
      <c r="J2343">
        <v>532185.31999999995</v>
      </c>
      <c r="K2343">
        <v>28008</v>
      </c>
      <c r="L2343">
        <f t="shared" si="217"/>
        <v>19.001189660097115</v>
      </c>
      <c r="M2343">
        <v>2334</v>
      </c>
      <c r="N2343" s="2">
        <f t="shared" si="222"/>
        <v>228.01427592116536</v>
      </c>
      <c r="O2343">
        <v>12</v>
      </c>
    </row>
    <row r="2344" spans="1:15" x14ac:dyDescent="0.25">
      <c r="A2344" t="s">
        <v>46</v>
      </c>
      <c r="B2344" t="s">
        <v>17</v>
      </c>
      <c r="C2344" t="s">
        <v>10</v>
      </c>
      <c r="D2344" t="str">
        <f t="shared" si="218"/>
        <v>FAB5_Mm Leche Deslac Ligh</v>
      </c>
      <c r="E2344">
        <v>2025</v>
      </c>
      <c r="F2344">
        <v>27</v>
      </c>
      <c r="G2344">
        <f t="shared" si="219"/>
        <v>7</v>
      </c>
      <c r="H2344" s="1">
        <f t="shared" si="220"/>
        <v>45838</v>
      </c>
      <c r="I2344" s="1">
        <f t="shared" si="221"/>
        <v>45839</v>
      </c>
      <c r="J2344">
        <v>629750.74000000022</v>
      </c>
      <c r="K2344">
        <v>33060</v>
      </c>
      <c r="L2344">
        <f t="shared" si="217"/>
        <v>19.048721718088331</v>
      </c>
      <c r="M2344">
        <v>2755</v>
      </c>
      <c r="N2344" s="2">
        <f t="shared" si="222"/>
        <v>228.58466061705997</v>
      </c>
      <c r="O2344">
        <v>12</v>
      </c>
    </row>
    <row r="2345" spans="1:15" x14ac:dyDescent="0.25">
      <c r="A2345" t="s">
        <v>46</v>
      </c>
      <c r="B2345" t="s">
        <v>17</v>
      </c>
      <c r="C2345" t="s">
        <v>10</v>
      </c>
      <c r="D2345" t="str">
        <f t="shared" si="218"/>
        <v>FAB5_Mm Leche Deslac Ligh</v>
      </c>
      <c r="E2345">
        <v>2025</v>
      </c>
      <c r="F2345">
        <v>28</v>
      </c>
      <c r="G2345">
        <f t="shared" si="219"/>
        <v>7</v>
      </c>
      <c r="H2345" s="1">
        <f t="shared" si="220"/>
        <v>45845</v>
      </c>
      <c r="I2345" s="1">
        <f t="shared" si="221"/>
        <v>45839</v>
      </c>
      <c r="J2345">
        <v>536578.27</v>
      </c>
      <c r="K2345">
        <v>28188</v>
      </c>
      <c r="L2345">
        <f t="shared" si="217"/>
        <v>19.035698524194693</v>
      </c>
      <c r="M2345">
        <v>2349</v>
      </c>
      <c r="N2345" s="2">
        <f t="shared" si="222"/>
        <v>228.42838229033632</v>
      </c>
      <c r="O2345">
        <v>12</v>
      </c>
    </row>
    <row r="2346" spans="1:15" x14ac:dyDescent="0.25">
      <c r="A2346" t="s">
        <v>46</v>
      </c>
      <c r="B2346" t="s">
        <v>17</v>
      </c>
      <c r="C2346" t="s">
        <v>10</v>
      </c>
      <c r="D2346" t="str">
        <f t="shared" si="218"/>
        <v>FAB5_Mm Leche Deslac Ligh</v>
      </c>
      <c r="E2346">
        <v>2025</v>
      </c>
      <c r="F2346">
        <v>29</v>
      </c>
      <c r="G2346">
        <f t="shared" si="219"/>
        <v>7</v>
      </c>
      <c r="H2346" s="1">
        <f t="shared" si="220"/>
        <v>45852</v>
      </c>
      <c r="I2346" s="1">
        <f t="shared" si="221"/>
        <v>45839</v>
      </c>
      <c r="J2346">
        <v>548231.52999999991</v>
      </c>
      <c r="K2346">
        <v>28548</v>
      </c>
      <c r="L2346">
        <f t="shared" si="217"/>
        <v>19.203850707580212</v>
      </c>
      <c r="M2346">
        <v>2379</v>
      </c>
      <c r="N2346" s="2">
        <f t="shared" si="222"/>
        <v>230.44620849096256</v>
      </c>
      <c r="O2346">
        <v>12</v>
      </c>
    </row>
    <row r="2347" spans="1:15" x14ac:dyDescent="0.25">
      <c r="A2347" t="s">
        <v>46</v>
      </c>
      <c r="B2347" t="s">
        <v>17</v>
      </c>
      <c r="C2347" t="s">
        <v>10</v>
      </c>
      <c r="D2347" t="str">
        <f t="shared" si="218"/>
        <v>FAB5_Mm Leche Deslac Ligh</v>
      </c>
      <c r="E2347">
        <v>2025</v>
      </c>
      <c r="F2347">
        <v>30</v>
      </c>
      <c r="G2347">
        <f t="shared" si="219"/>
        <v>7</v>
      </c>
      <c r="H2347" s="1">
        <f t="shared" si="220"/>
        <v>45859</v>
      </c>
      <c r="I2347" s="1">
        <f t="shared" si="221"/>
        <v>45839</v>
      </c>
      <c r="J2347">
        <v>548597.08999999985</v>
      </c>
      <c r="K2347">
        <v>28692</v>
      </c>
      <c r="L2347">
        <f t="shared" si="217"/>
        <v>19.120210860170076</v>
      </c>
      <c r="M2347">
        <v>2391</v>
      </c>
      <c r="N2347" s="2">
        <f t="shared" si="222"/>
        <v>229.44253032204094</v>
      </c>
      <c r="O2347">
        <v>12</v>
      </c>
    </row>
    <row r="2348" spans="1:15" x14ac:dyDescent="0.25">
      <c r="A2348" t="s">
        <v>46</v>
      </c>
      <c r="B2348" t="s">
        <v>17</v>
      </c>
      <c r="C2348" t="s">
        <v>10</v>
      </c>
      <c r="D2348" t="str">
        <f t="shared" si="218"/>
        <v>FAB5_Mm Leche Deslac Ligh</v>
      </c>
      <c r="E2348">
        <v>2025</v>
      </c>
      <c r="F2348">
        <v>31</v>
      </c>
      <c r="G2348">
        <f t="shared" si="219"/>
        <v>7</v>
      </c>
      <c r="H2348" s="1">
        <f t="shared" si="220"/>
        <v>45866</v>
      </c>
      <c r="I2348" s="1">
        <f t="shared" si="221"/>
        <v>45839</v>
      </c>
      <c r="J2348">
        <v>581992.42999999993</v>
      </c>
      <c r="K2348">
        <v>29940</v>
      </c>
      <c r="L2348">
        <f t="shared" si="217"/>
        <v>19.438624916499663</v>
      </c>
      <c r="M2348">
        <v>2495</v>
      </c>
      <c r="N2348" s="2">
        <f t="shared" si="222"/>
        <v>233.26349899799595</v>
      </c>
      <c r="O2348">
        <v>12</v>
      </c>
    </row>
    <row r="2349" spans="1:15" x14ac:dyDescent="0.25">
      <c r="A2349" t="s">
        <v>46</v>
      </c>
      <c r="B2349" t="s">
        <v>18</v>
      </c>
      <c r="C2349" t="s">
        <v>11</v>
      </c>
      <c r="D2349" t="str">
        <f t="shared" si="218"/>
        <v>FAB6_12 1L Leche Y Pan Light</v>
      </c>
      <c r="E2349">
        <v>2022</v>
      </c>
      <c r="F2349">
        <v>1</v>
      </c>
      <c r="G2349">
        <f t="shared" si="219"/>
        <v>1</v>
      </c>
      <c r="H2349" s="1">
        <f t="shared" si="220"/>
        <v>44564</v>
      </c>
      <c r="I2349" s="1">
        <f t="shared" si="221"/>
        <v>44562</v>
      </c>
      <c r="J2349">
        <v>20570</v>
      </c>
      <c r="K2349">
        <v>1452</v>
      </c>
      <c r="L2349">
        <f t="shared" si="217"/>
        <v>14.166666666666666</v>
      </c>
      <c r="M2349">
        <v>121</v>
      </c>
      <c r="N2349" s="2">
        <f t="shared" si="222"/>
        <v>170</v>
      </c>
      <c r="O2349">
        <v>12</v>
      </c>
    </row>
    <row r="2350" spans="1:15" x14ac:dyDescent="0.25">
      <c r="A2350" t="s">
        <v>46</v>
      </c>
      <c r="B2350" t="s">
        <v>18</v>
      </c>
      <c r="C2350" t="s">
        <v>11</v>
      </c>
      <c r="D2350" t="str">
        <f t="shared" si="218"/>
        <v>FAB6_12 1L Leche Y Pan Light</v>
      </c>
      <c r="E2350">
        <v>2022</v>
      </c>
      <c r="F2350">
        <v>2</v>
      </c>
      <c r="G2350">
        <f t="shared" si="219"/>
        <v>1</v>
      </c>
      <c r="H2350" s="1">
        <f t="shared" si="220"/>
        <v>44571</v>
      </c>
      <c r="I2350" s="1">
        <f t="shared" si="221"/>
        <v>44562</v>
      </c>
      <c r="J2350">
        <v>13770</v>
      </c>
      <c r="K2350">
        <v>972</v>
      </c>
      <c r="L2350">
        <f t="shared" si="217"/>
        <v>14.166666666666666</v>
      </c>
      <c r="M2350">
        <v>81</v>
      </c>
      <c r="N2350" s="2">
        <f t="shared" si="222"/>
        <v>170</v>
      </c>
      <c r="O2350">
        <v>12</v>
      </c>
    </row>
    <row r="2351" spans="1:15" x14ac:dyDescent="0.25">
      <c r="A2351" t="s">
        <v>46</v>
      </c>
      <c r="B2351" t="s">
        <v>18</v>
      </c>
      <c r="C2351" t="s">
        <v>11</v>
      </c>
      <c r="D2351" t="str">
        <f t="shared" si="218"/>
        <v>FAB6_12 1L Leche Y Pan Light</v>
      </c>
      <c r="E2351">
        <v>2022</v>
      </c>
      <c r="F2351">
        <v>3</v>
      </c>
      <c r="G2351">
        <f t="shared" si="219"/>
        <v>1</v>
      </c>
      <c r="H2351" s="1">
        <f t="shared" si="220"/>
        <v>44578</v>
      </c>
      <c r="I2351" s="1">
        <f t="shared" si="221"/>
        <v>44562</v>
      </c>
      <c r="J2351">
        <v>18023.91</v>
      </c>
      <c r="K2351">
        <v>1272</v>
      </c>
      <c r="L2351">
        <f t="shared" si="217"/>
        <v>14.169740566037735</v>
      </c>
      <c r="M2351">
        <v>106</v>
      </c>
      <c r="N2351" s="2">
        <f t="shared" si="222"/>
        <v>170.03688679245283</v>
      </c>
      <c r="O2351">
        <v>12</v>
      </c>
    </row>
    <row r="2352" spans="1:15" x14ac:dyDescent="0.25">
      <c r="A2352" t="s">
        <v>46</v>
      </c>
      <c r="B2352" t="s">
        <v>18</v>
      </c>
      <c r="C2352" t="s">
        <v>11</v>
      </c>
      <c r="D2352" t="str">
        <f t="shared" si="218"/>
        <v>FAB6_12 1L Leche Y Pan Light</v>
      </c>
      <c r="E2352">
        <v>2022</v>
      </c>
      <c r="F2352">
        <v>4</v>
      </c>
      <c r="G2352">
        <f t="shared" si="219"/>
        <v>1</v>
      </c>
      <c r="H2352" s="1">
        <f t="shared" si="220"/>
        <v>44585</v>
      </c>
      <c r="I2352" s="1">
        <f t="shared" si="221"/>
        <v>44562</v>
      </c>
      <c r="J2352">
        <v>13940</v>
      </c>
      <c r="K2352">
        <v>984</v>
      </c>
      <c r="L2352">
        <f t="shared" si="217"/>
        <v>14.166666666666666</v>
      </c>
      <c r="M2352">
        <v>82</v>
      </c>
      <c r="N2352" s="2">
        <f t="shared" si="222"/>
        <v>170</v>
      </c>
      <c r="O2352">
        <v>12</v>
      </c>
    </row>
    <row r="2353" spans="1:15" x14ac:dyDescent="0.25">
      <c r="A2353" t="s">
        <v>46</v>
      </c>
      <c r="B2353" t="s">
        <v>18</v>
      </c>
      <c r="C2353" t="s">
        <v>11</v>
      </c>
      <c r="D2353" t="str">
        <f t="shared" si="218"/>
        <v>FAB6_12 1L Leche Y Pan Light</v>
      </c>
      <c r="E2353">
        <v>2022</v>
      </c>
      <c r="F2353">
        <v>5</v>
      </c>
      <c r="G2353">
        <f t="shared" si="219"/>
        <v>2</v>
      </c>
      <c r="H2353" s="1">
        <f t="shared" si="220"/>
        <v>44592</v>
      </c>
      <c r="I2353" s="1">
        <f t="shared" si="221"/>
        <v>44593</v>
      </c>
      <c r="J2353">
        <v>22224.1</v>
      </c>
      <c r="K2353">
        <v>1572</v>
      </c>
      <c r="L2353">
        <f t="shared" si="217"/>
        <v>14.137468193384223</v>
      </c>
      <c r="M2353">
        <v>131</v>
      </c>
      <c r="N2353" s="2">
        <f t="shared" si="222"/>
        <v>169.64961832061067</v>
      </c>
      <c r="O2353">
        <v>12</v>
      </c>
    </row>
    <row r="2354" spans="1:15" x14ac:dyDescent="0.25">
      <c r="A2354" t="s">
        <v>46</v>
      </c>
      <c r="B2354" t="s">
        <v>18</v>
      </c>
      <c r="C2354" t="s">
        <v>11</v>
      </c>
      <c r="D2354" t="str">
        <f t="shared" si="218"/>
        <v>FAB6_12 1L Leche Y Pan Light</v>
      </c>
      <c r="E2354">
        <v>2022</v>
      </c>
      <c r="F2354">
        <v>6</v>
      </c>
      <c r="G2354">
        <f t="shared" si="219"/>
        <v>2</v>
      </c>
      <c r="H2354" s="1">
        <f t="shared" si="220"/>
        <v>44599</v>
      </c>
      <c r="I2354" s="1">
        <f t="shared" si="221"/>
        <v>44593</v>
      </c>
      <c r="J2354">
        <v>21593.91</v>
      </c>
      <c r="K2354">
        <v>1524</v>
      </c>
      <c r="L2354">
        <f t="shared" si="217"/>
        <v>14.169232283464567</v>
      </c>
      <c r="M2354">
        <v>127</v>
      </c>
      <c r="N2354" s="2">
        <f t="shared" si="222"/>
        <v>170.0307874015748</v>
      </c>
      <c r="O2354">
        <v>12</v>
      </c>
    </row>
    <row r="2355" spans="1:15" x14ac:dyDescent="0.25">
      <c r="A2355" t="s">
        <v>46</v>
      </c>
      <c r="B2355" t="s">
        <v>18</v>
      </c>
      <c r="C2355" t="s">
        <v>11</v>
      </c>
      <c r="D2355" t="str">
        <f t="shared" si="218"/>
        <v>FAB6_12 1L Leche Y Pan Light</v>
      </c>
      <c r="E2355">
        <v>2022</v>
      </c>
      <c r="F2355">
        <v>7</v>
      </c>
      <c r="G2355">
        <f t="shared" si="219"/>
        <v>2</v>
      </c>
      <c r="H2355" s="1">
        <f t="shared" si="220"/>
        <v>44606</v>
      </c>
      <c r="I2355" s="1">
        <f t="shared" si="221"/>
        <v>44593</v>
      </c>
      <c r="J2355">
        <v>32477.82</v>
      </c>
      <c r="K2355">
        <v>2292</v>
      </c>
      <c r="L2355">
        <f t="shared" si="217"/>
        <v>14.170078534031413</v>
      </c>
      <c r="M2355">
        <v>191</v>
      </c>
      <c r="N2355" s="2">
        <f t="shared" si="222"/>
        <v>170.04094240837696</v>
      </c>
      <c r="O2355">
        <v>12</v>
      </c>
    </row>
    <row r="2356" spans="1:15" x14ac:dyDescent="0.25">
      <c r="A2356" t="s">
        <v>46</v>
      </c>
      <c r="B2356" t="s">
        <v>18</v>
      </c>
      <c r="C2356" t="s">
        <v>11</v>
      </c>
      <c r="D2356" t="str">
        <f t="shared" si="218"/>
        <v>FAB6_12 1L Leche Y Pan Light</v>
      </c>
      <c r="E2356">
        <v>2022</v>
      </c>
      <c r="F2356">
        <v>8</v>
      </c>
      <c r="G2356">
        <f t="shared" si="219"/>
        <v>2</v>
      </c>
      <c r="H2356" s="1">
        <f t="shared" si="220"/>
        <v>44613</v>
      </c>
      <c r="I2356" s="1">
        <f t="shared" si="221"/>
        <v>44593</v>
      </c>
      <c r="J2356">
        <v>9690</v>
      </c>
      <c r="K2356">
        <v>684</v>
      </c>
      <c r="L2356">
        <f t="shared" si="217"/>
        <v>14.166666666666666</v>
      </c>
      <c r="M2356">
        <v>57</v>
      </c>
      <c r="N2356" s="2">
        <f t="shared" si="222"/>
        <v>170</v>
      </c>
      <c r="O2356">
        <v>12</v>
      </c>
    </row>
    <row r="2357" spans="1:15" x14ac:dyDescent="0.25">
      <c r="A2357" t="s">
        <v>46</v>
      </c>
      <c r="B2357" t="s">
        <v>18</v>
      </c>
      <c r="C2357" t="s">
        <v>11</v>
      </c>
      <c r="D2357" t="str">
        <f t="shared" si="218"/>
        <v>FAB6_12 1L Leche Y Pan Light</v>
      </c>
      <c r="E2357">
        <v>2022</v>
      </c>
      <c r="F2357">
        <v>9</v>
      </c>
      <c r="G2357">
        <f t="shared" si="219"/>
        <v>3</v>
      </c>
      <c r="H2357" s="1">
        <f t="shared" si="220"/>
        <v>44620</v>
      </c>
      <c r="I2357" s="1">
        <f t="shared" si="221"/>
        <v>44621</v>
      </c>
      <c r="J2357">
        <v>24993.91</v>
      </c>
      <c r="K2357">
        <v>1764</v>
      </c>
      <c r="L2357">
        <f t="shared" si="217"/>
        <v>14.168883219954649</v>
      </c>
      <c r="M2357">
        <v>147</v>
      </c>
      <c r="N2357" s="2">
        <f t="shared" si="222"/>
        <v>170.02659863945578</v>
      </c>
      <c r="O2357">
        <v>12</v>
      </c>
    </row>
    <row r="2358" spans="1:15" x14ac:dyDescent="0.25">
      <c r="A2358" t="s">
        <v>46</v>
      </c>
      <c r="B2358" t="s">
        <v>18</v>
      </c>
      <c r="C2358" t="s">
        <v>11</v>
      </c>
      <c r="D2358" t="str">
        <f t="shared" si="218"/>
        <v>FAB6_12 1L Leche Y Pan Light</v>
      </c>
      <c r="E2358">
        <v>2022</v>
      </c>
      <c r="F2358">
        <v>10</v>
      </c>
      <c r="G2358">
        <f t="shared" si="219"/>
        <v>3</v>
      </c>
      <c r="H2358" s="1">
        <f t="shared" si="220"/>
        <v>44627</v>
      </c>
      <c r="I2358" s="1">
        <f t="shared" si="221"/>
        <v>44621</v>
      </c>
      <c r="J2358">
        <v>16830</v>
      </c>
      <c r="K2358">
        <v>1188</v>
      </c>
      <c r="L2358">
        <f t="shared" si="217"/>
        <v>14.166666666666666</v>
      </c>
      <c r="M2358">
        <v>99</v>
      </c>
      <c r="N2358" s="2">
        <f t="shared" si="222"/>
        <v>170</v>
      </c>
      <c r="O2358">
        <v>12</v>
      </c>
    </row>
    <row r="2359" spans="1:15" x14ac:dyDescent="0.25">
      <c r="A2359" t="s">
        <v>46</v>
      </c>
      <c r="B2359" t="s">
        <v>18</v>
      </c>
      <c r="C2359" t="s">
        <v>11</v>
      </c>
      <c r="D2359" t="str">
        <f t="shared" si="218"/>
        <v>FAB6_12 1L Leche Y Pan Light</v>
      </c>
      <c r="E2359">
        <v>2022</v>
      </c>
      <c r="F2359">
        <v>11</v>
      </c>
      <c r="G2359">
        <f t="shared" si="219"/>
        <v>3</v>
      </c>
      <c r="H2359" s="1">
        <f t="shared" si="220"/>
        <v>44634</v>
      </c>
      <c r="I2359" s="1">
        <f t="shared" si="221"/>
        <v>44621</v>
      </c>
      <c r="J2359">
        <v>17510</v>
      </c>
      <c r="K2359">
        <v>1236</v>
      </c>
      <c r="L2359">
        <f t="shared" si="217"/>
        <v>14.166666666666666</v>
      </c>
      <c r="M2359">
        <v>103</v>
      </c>
      <c r="N2359" s="2">
        <f t="shared" si="222"/>
        <v>170</v>
      </c>
      <c r="O2359">
        <v>12</v>
      </c>
    </row>
    <row r="2360" spans="1:15" x14ac:dyDescent="0.25">
      <c r="A2360" t="s">
        <v>46</v>
      </c>
      <c r="B2360" t="s">
        <v>18</v>
      </c>
      <c r="C2360" t="s">
        <v>11</v>
      </c>
      <c r="D2360" t="str">
        <f t="shared" si="218"/>
        <v>FAB6_12 1L Leche Y Pan Light</v>
      </c>
      <c r="E2360">
        <v>2022</v>
      </c>
      <c r="F2360">
        <v>12</v>
      </c>
      <c r="G2360">
        <f t="shared" si="219"/>
        <v>3</v>
      </c>
      <c r="H2360" s="1">
        <f t="shared" si="220"/>
        <v>44641</v>
      </c>
      <c r="I2360" s="1">
        <f t="shared" si="221"/>
        <v>44621</v>
      </c>
      <c r="J2360">
        <v>18190</v>
      </c>
      <c r="K2360">
        <v>1284</v>
      </c>
      <c r="L2360">
        <f t="shared" si="217"/>
        <v>14.166666666666666</v>
      </c>
      <c r="M2360">
        <v>107</v>
      </c>
      <c r="N2360" s="2">
        <f t="shared" si="222"/>
        <v>170</v>
      </c>
      <c r="O2360">
        <v>12</v>
      </c>
    </row>
    <row r="2361" spans="1:15" x14ac:dyDescent="0.25">
      <c r="A2361" t="s">
        <v>46</v>
      </c>
      <c r="B2361" t="s">
        <v>18</v>
      </c>
      <c r="C2361" t="s">
        <v>11</v>
      </c>
      <c r="D2361" t="str">
        <f t="shared" si="218"/>
        <v>FAB6_12 1L Leche Y Pan Light</v>
      </c>
      <c r="E2361">
        <v>2022</v>
      </c>
      <c r="F2361">
        <v>13</v>
      </c>
      <c r="G2361">
        <f t="shared" si="219"/>
        <v>3</v>
      </c>
      <c r="H2361" s="1">
        <f t="shared" si="220"/>
        <v>44648</v>
      </c>
      <c r="I2361" s="1">
        <f t="shared" si="221"/>
        <v>44621</v>
      </c>
      <c r="J2361">
        <v>17355.64</v>
      </c>
      <c r="K2361">
        <v>1224</v>
      </c>
      <c r="L2361">
        <f t="shared" si="217"/>
        <v>14.179444444444444</v>
      </c>
      <c r="M2361">
        <v>102</v>
      </c>
      <c r="N2361" s="2">
        <f t="shared" si="222"/>
        <v>170.15333333333334</v>
      </c>
      <c r="O2361">
        <v>12</v>
      </c>
    </row>
    <row r="2362" spans="1:15" x14ac:dyDescent="0.25">
      <c r="A2362" t="s">
        <v>46</v>
      </c>
      <c r="B2362" t="s">
        <v>18</v>
      </c>
      <c r="C2362" t="s">
        <v>11</v>
      </c>
      <c r="D2362" t="str">
        <f t="shared" si="218"/>
        <v>FAB6_12 1L Leche Y Pan Light</v>
      </c>
      <c r="E2362">
        <v>2022</v>
      </c>
      <c r="F2362">
        <v>14</v>
      </c>
      <c r="G2362">
        <f t="shared" si="219"/>
        <v>4</v>
      </c>
      <c r="H2362" s="1">
        <f t="shared" si="220"/>
        <v>44655</v>
      </c>
      <c r="I2362" s="1">
        <f t="shared" si="221"/>
        <v>44652</v>
      </c>
      <c r="J2362">
        <v>17340</v>
      </c>
      <c r="K2362">
        <v>1224</v>
      </c>
      <c r="L2362">
        <f t="shared" si="217"/>
        <v>14.166666666666666</v>
      </c>
      <c r="M2362">
        <v>102</v>
      </c>
      <c r="N2362" s="2">
        <f t="shared" si="222"/>
        <v>170</v>
      </c>
      <c r="O2362">
        <v>12</v>
      </c>
    </row>
    <row r="2363" spans="1:15" x14ac:dyDescent="0.25">
      <c r="A2363" t="s">
        <v>46</v>
      </c>
      <c r="B2363" t="s">
        <v>18</v>
      </c>
      <c r="C2363" t="s">
        <v>11</v>
      </c>
      <c r="D2363" t="str">
        <f t="shared" si="218"/>
        <v>FAB6_12 1L Leche Y Pan Light</v>
      </c>
      <c r="E2363">
        <v>2022</v>
      </c>
      <c r="F2363">
        <v>15</v>
      </c>
      <c r="G2363">
        <f t="shared" si="219"/>
        <v>4</v>
      </c>
      <c r="H2363" s="1">
        <f t="shared" si="220"/>
        <v>44662</v>
      </c>
      <c r="I2363" s="1">
        <f t="shared" si="221"/>
        <v>44652</v>
      </c>
      <c r="J2363">
        <v>15817.82</v>
      </c>
      <c r="K2363">
        <v>1116</v>
      </c>
      <c r="L2363">
        <f t="shared" si="217"/>
        <v>14.173673835125447</v>
      </c>
      <c r="M2363">
        <v>93</v>
      </c>
      <c r="N2363" s="2">
        <f t="shared" si="222"/>
        <v>170.08408602150539</v>
      </c>
      <c r="O2363">
        <v>12</v>
      </c>
    </row>
    <row r="2364" spans="1:15" x14ac:dyDescent="0.25">
      <c r="A2364" t="s">
        <v>46</v>
      </c>
      <c r="B2364" t="s">
        <v>18</v>
      </c>
      <c r="C2364" t="s">
        <v>11</v>
      </c>
      <c r="D2364" t="str">
        <f t="shared" si="218"/>
        <v>FAB6_12 1L Leche Y Pan Light</v>
      </c>
      <c r="E2364">
        <v>2022</v>
      </c>
      <c r="F2364">
        <v>16</v>
      </c>
      <c r="G2364">
        <f t="shared" si="219"/>
        <v>4</v>
      </c>
      <c r="H2364" s="1">
        <f t="shared" si="220"/>
        <v>44669</v>
      </c>
      <c r="I2364" s="1">
        <f t="shared" si="221"/>
        <v>44652</v>
      </c>
      <c r="J2364">
        <v>19047.82</v>
      </c>
      <c r="K2364">
        <v>1344</v>
      </c>
      <c r="L2364">
        <f t="shared" si="217"/>
        <v>14.172485119047618</v>
      </c>
      <c r="M2364">
        <v>112</v>
      </c>
      <c r="N2364" s="2">
        <f t="shared" si="222"/>
        <v>170.06982142857143</v>
      </c>
      <c r="O2364">
        <v>12</v>
      </c>
    </row>
    <row r="2365" spans="1:15" x14ac:dyDescent="0.25">
      <c r="A2365" t="s">
        <v>46</v>
      </c>
      <c r="B2365" t="s">
        <v>18</v>
      </c>
      <c r="C2365" t="s">
        <v>11</v>
      </c>
      <c r="D2365" t="str">
        <f t="shared" si="218"/>
        <v>FAB6_12 1L Leche Y Pan Light</v>
      </c>
      <c r="E2365">
        <v>2022</v>
      </c>
      <c r="F2365">
        <v>17</v>
      </c>
      <c r="G2365">
        <f t="shared" si="219"/>
        <v>4</v>
      </c>
      <c r="H2365" s="1">
        <f t="shared" si="220"/>
        <v>44676</v>
      </c>
      <c r="I2365" s="1">
        <f t="shared" si="221"/>
        <v>44652</v>
      </c>
      <c r="J2365">
        <v>15300</v>
      </c>
      <c r="K2365">
        <v>1080</v>
      </c>
      <c r="L2365">
        <f t="shared" si="217"/>
        <v>14.166666666666666</v>
      </c>
      <c r="M2365">
        <v>90</v>
      </c>
      <c r="N2365" s="2">
        <f t="shared" si="222"/>
        <v>170</v>
      </c>
      <c r="O2365">
        <v>12</v>
      </c>
    </row>
    <row r="2366" spans="1:15" x14ac:dyDescent="0.25">
      <c r="A2366" t="s">
        <v>46</v>
      </c>
      <c r="B2366" t="s">
        <v>18</v>
      </c>
      <c r="C2366" t="s">
        <v>11</v>
      </c>
      <c r="D2366" t="str">
        <f t="shared" si="218"/>
        <v>FAB6_12 1L Leche Y Pan Light</v>
      </c>
      <c r="E2366">
        <v>2022</v>
      </c>
      <c r="F2366">
        <v>18</v>
      </c>
      <c r="G2366">
        <f t="shared" si="219"/>
        <v>5</v>
      </c>
      <c r="H2366" s="1">
        <f t="shared" si="220"/>
        <v>44683</v>
      </c>
      <c r="I2366" s="1">
        <f t="shared" si="221"/>
        <v>44682</v>
      </c>
      <c r="J2366">
        <v>22795.239999999998</v>
      </c>
      <c r="K2366">
        <v>1572</v>
      </c>
      <c r="L2366">
        <f t="shared" ref="L2366:L2429" si="223">J2366/(M2366*O2366)</f>
        <v>14.500788804071245</v>
      </c>
      <c r="M2366">
        <v>131</v>
      </c>
      <c r="N2366" s="2">
        <f t="shared" si="222"/>
        <v>174.00946564885496</v>
      </c>
      <c r="O2366">
        <v>12</v>
      </c>
    </row>
    <row r="2367" spans="1:15" x14ac:dyDescent="0.25">
      <c r="A2367" t="s">
        <v>46</v>
      </c>
      <c r="B2367" t="s">
        <v>18</v>
      </c>
      <c r="C2367" t="s">
        <v>11</v>
      </c>
      <c r="D2367" t="str">
        <f t="shared" si="218"/>
        <v>FAB6_12 1L Leche Y Pan Light</v>
      </c>
      <c r="E2367">
        <v>2022</v>
      </c>
      <c r="F2367">
        <v>19</v>
      </c>
      <c r="G2367">
        <f t="shared" si="219"/>
        <v>5</v>
      </c>
      <c r="H2367" s="1">
        <f t="shared" si="220"/>
        <v>44690</v>
      </c>
      <c r="I2367" s="1">
        <f t="shared" si="221"/>
        <v>44682</v>
      </c>
      <c r="J2367">
        <v>16198.13</v>
      </c>
      <c r="K2367">
        <v>1032</v>
      </c>
      <c r="L2367">
        <f t="shared" si="223"/>
        <v>15.695862403100774</v>
      </c>
      <c r="M2367">
        <v>86</v>
      </c>
      <c r="N2367" s="2">
        <f t="shared" si="222"/>
        <v>188.35034883720928</v>
      </c>
      <c r="O2367">
        <v>12</v>
      </c>
    </row>
    <row r="2368" spans="1:15" x14ac:dyDescent="0.25">
      <c r="A2368" t="s">
        <v>46</v>
      </c>
      <c r="B2368" t="s">
        <v>18</v>
      </c>
      <c r="C2368" t="s">
        <v>11</v>
      </c>
      <c r="D2368" t="str">
        <f t="shared" si="218"/>
        <v>FAB6_12 1L Leche Y Pan Light</v>
      </c>
      <c r="E2368">
        <v>2022</v>
      </c>
      <c r="F2368">
        <v>20</v>
      </c>
      <c r="G2368">
        <f t="shared" si="219"/>
        <v>5</v>
      </c>
      <c r="H2368" s="1">
        <f t="shared" si="220"/>
        <v>44697</v>
      </c>
      <c r="I2368" s="1">
        <f t="shared" si="221"/>
        <v>44682</v>
      </c>
      <c r="J2368">
        <v>20141.7</v>
      </c>
      <c r="K2368">
        <v>1284</v>
      </c>
      <c r="L2368">
        <f t="shared" si="223"/>
        <v>15.686682242990655</v>
      </c>
      <c r="M2368">
        <v>107</v>
      </c>
      <c r="N2368" s="2">
        <f t="shared" si="222"/>
        <v>188.24018691588785</v>
      </c>
      <c r="O2368">
        <v>12</v>
      </c>
    </row>
    <row r="2369" spans="1:15" x14ac:dyDescent="0.25">
      <c r="A2369" t="s">
        <v>46</v>
      </c>
      <c r="B2369" t="s">
        <v>18</v>
      </c>
      <c r="C2369" t="s">
        <v>11</v>
      </c>
      <c r="D2369" t="str">
        <f t="shared" si="218"/>
        <v>FAB6_12 1L Leche Y Pan Light</v>
      </c>
      <c r="E2369">
        <v>2022</v>
      </c>
      <c r="F2369">
        <v>21</v>
      </c>
      <c r="G2369">
        <f t="shared" si="219"/>
        <v>5</v>
      </c>
      <c r="H2369" s="1">
        <f t="shared" si="220"/>
        <v>44704</v>
      </c>
      <c r="I2369" s="1">
        <f t="shared" si="221"/>
        <v>44682</v>
      </c>
      <c r="J2369">
        <v>13738.59</v>
      </c>
      <c r="K2369">
        <v>876</v>
      </c>
      <c r="L2369">
        <f t="shared" si="223"/>
        <v>15.68332191780822</v>
      </c>
      <c r="M2369">
        <v>73</v>
      </c>
      <c r="N2369" s="2">
        <f t="shared" si="222"/>
        <v>188.19986301369863</v>
      </c>
      <c r="O2369">
        <v>12</v>
      </c>
    </row>
    <row r="2370" spans="1:15" x14ac:dyDescent="0.25">
      <c r="A2370" t="s">
        <v>46</v>
      </c>
      <c r="B2370" t="s">
        <v>18</v>
      </c>
      <c r="C2370" t="s">
        <v>11</v>
      </c>
      <c r="D2370" t="str">
        <f t="shared" si="218"/>
        <v>FAB6_12 1L Leche Y Pan Light</v>
      </c>
      <c r="E2370">
        <v>2022</v>
      </c>
      <c r="F2370">
        <v>22</v>
      </c>
      <c r="G2370">
        <f t="shared" si="219"/>
        <v>6</v>
      </c>
      <c r="H2370" s="1">
        <f t="shared" si="220"/>
        <v>44711</v>
      </c>
      <c r="I2370" s="1">
        <f t="shared" si="221"/>
        <v>44713</v>
      </c>
      <c r="J2370">
        <v>19962.13</v>
      </c>
      <c r="K2370">
        <v>1272</v>
      </c>
      <c r="L2370">
        <f t="shared" si="223"/>
        <v>15.693498427672957</v>
      </c>
      <c r="M2370">
        <v>106</v>
      </c>
      <c r="N2370" s="2">
        <f t="shared" si="222"/>
        <v>188.32198113207548</v>
      </c>
      <c r="O2370">
        <v>12</v>
      </c>
    </row>
    <row r="2371" spans="1:15" x14ac:dyDescent="0.25">
      <c r="A2371" t="s">
        <v>46</v>
      </c>
      <c r="B2371" t="s">
        <v>18</v>
      </c>
      <c r="C2371" t="s">
        <v>11</v>
      </c>
      <c r="D2371" t="str">
        <f t="shared" ref="D2371:D2434" si="224">B2371&amp;"_"&amp;C2371</f>
        <v>FAB6_12 1L Leche Y Pan Light</v>
      </c>
      <c r="E2371">
        <v>2022</v>
      </c>
      <c r="F2371">
        <v>23</v>
      </c>
      <c r="G2371">
        <f t="shared" ref="G2371:G2434" si="225">MONTH(DATE(E2371,1,4)+(F2371-1)*7-WEEKDAY(DATE(E2371,1,4),2)+4)</f>
        <v>6</v>
      </c>
      <c r="H2371" s="1">
        <f t="shared" ref="H2371:H2434" si="226">DATE(E2371,1,-2)-WEEKDAY(DATE(E2371,1,3))+F2371*7</f>
        <v>44718</v>
      </c>
      <c r="I2371" s="1">
        <f t="shared" ref="I2371:I2434" si="227">DATE(E2371,G2371,1)</f>
        <v>44713</v>
      </c>
      <c r="J2371">
        <v>16561.579999999998</v>
      </c>
      <c r="K2371">
        <v>1056</v>
      </c>
      <c r="L2371">
        <f t="shared" si="223"/>
        <v>15.683314393939392</v>
      </c>
      <c r="M2371">
        <v>88</v>
      </c>
      <c r="N2371" s="2">
        <f t="shared" ref="N2371:N2434" si="228">J2371/M2371</f>
        <v>188.19977272727272</v>
      </c>
      <c r="O2371">
        <v>12</v>
      </c>
    </row>
    <row r="2372" spans="1:15" x14ac:dyDescent="0.25">
      <c r="A2372" t="s">
        <v>46</v>
      </c>
      <c r="B2372" t="s">
        <v>18</v>
      </c>
      <c r="C2372" t="s">
        <v>11</v>
      </c>
      <c r="D2372" t="str">
        <f t="shared" si="224"/>
        <v>FAB6_12 1L Leche Y Pan Light</v>
      </c>
      <c r="E2372">
        <v>2022</v>
      </c>
      <c r="F2372">
        <v>24</v>
      </c>
      <c r="G2372">
        <f t="shared" si="225"/>
        <v>6</v>
      </c>
      <c r="H2372" s="1">
        <f t="shared" si="226"/>
        <v>44725</v>
      </c>
      <c r="I2372" s="1">
        <f t="shared" si="227"/>
        <v>44713</v>
      </c>
      <c r="J2372">
        <v>11856.599999999999</v>
      </c>
      <c r="K2372">
        <v>756</v>
      </c>
      <c r="L2372">
        <f t="shared" si="223"/>
        <v>15.683333333333332</v>
      </c>
      <c r="M2372">
        <v>63</v>
      </c>
      <c r="N2372" s="2">
        <f t="shared" si="228"/>
        <v>188.2</v>
      </c>
      <c r="O2372">
        <v>12</v>
      </c>
    </row>
    <row r="2373" spans="1:15" x14ac:dyDescent="0.25">
      <c r="A2373" t="s">
        <v>46</v>
      </c>
      <c r="B2373" t="s">
        <v>18</v>
      </c>
      <c r="C2373" t="s">
        <v>11</v>
      </c>
      <c r="D2373" t="str">
        <f t="shared" si="224"/>
        <v>FAB6_12 1L Leche Y Pan Light</v>
      </c>
      <c r="E2373">
        <v>2022</v>
      </c>
      <c r="F2373">
        <v>25</v>
      </c>
      <c r="G2373">
        <f t="shared" si="225"/>
        <v>6</v>
      </c>
      <c r="H2373" s="1">
        <f t="shared" si="226"/>
        <v>44732</v>
      </c>
      <c r="I2373" s="1">
        <f t="shared" si="227"/>
        <v>44713</v>
      </c>
      <c r="J2373">
        <v>12990.119999999999</v>
      </c>
      <c r="K2373">
        <v>828</v>
      </c>
      <c r="L2373">
        <f t="shared" si="223"/>
        <v>15.688550724637681</v>
      </c>
      <c r="M2373">
        <v>69</v>
      </c>
      <c r="N2373" s="2">
        <f t="shared" si="228"/>
        <v>188.26260869565215</v>
      </c>
      <c r="O2373">
        <v>12</v>
      </c>
    </row>
    <row r="2374" spans="1:15" x14ac:dyDescent="0.25">
      <c r="A2374" t="s">
        <v>46</v>
      </c>
      <c r="B2374" t="s">
        <v>18</v>
      </c>
      <c r="C2374" t="s">
        <v>11</v>
      </c>
      <c r="D2374" t="str">
        <f t="shared" si="224"/>
        <v>FAB6_12 1L Leche Y Pan Light</v>
      </c>
      <c r="E2374">
        <v>2022</v>
      </c>
      <c r="F2374">
        <v>26</v>
      </c>
      <c r="G2374">
        <f t="shared" si="225"/>
        <v>6</v>
      </c>
      <c r="H2374" s="1">
        <f t="shared" si="226"/>
        <v>44739</v>
      </c>
      <c r="I2374" s="1">
        <f t="shared" si="227"/>
        <v>44713</v>
      </c>
      <c r="J2374">
        <v>18268.34</v>
      </c>
      <c r="K2374">
        <v>1164</v>
      </c>
      <c r="L2374">
        <f t="shared" si="223"/>
        <v>15.694450171821305</v>
      </c>
      <c r="M2374">
        <v>97</v>
      </c>
      <c r="N2374" s="2">
        <f t="shared" si="228"/>
        <v>188.33340206185568</v>
      </c>
      <c r="O2374">
        <v>12</v>
      </c>
    </row>
    <row r="2375" spans="1:15" x14ac:dyDescent="0.25">
      <c r="A2375" t="s">
        <v>46</v>
      </c>
      <c r="B2375" t="s">
        <v>18</v>
      </c>
      <c r="C2375" t="s">
        <v>11</v>
      </c>
      <c r="D2375" t="str">
        <f t="shared" si="224"/>
        <v>FAB6_12 1L Leche Y Pan Light</v>
      </c>
      <c r="E2375">
        <v>2022</v>
      </c>
      <c r="F2375">
        <v>27</v>
      </c>
      <c r="G2375">
        <f t="shared" si="225"/>
        <v>7</v>
      </c>
      <c r="H2375" s="1">
        <f t="shared" si="226"/>
        <v>44746</v>
      </c>
      <c r="I2375" s="1">
        <f t="shared" si="227"/>
        <v>44743</v>
      </c>
      <c r="J2375">
        <v>16373.38</v>
      </c>
      <c r="K2375">
        <v>1044</v>
      </c>
      <c r="L2375">
        <f t="shared" si="223"/>
        <v>15.68331417624521</v>
      </c>
      <c r="M2375">
        <v>87</v>
      </c>
      <c r="N2375" s="2">
        <f t="shared" si="228"/>
        <v>188.19977011494251</v>
      </c>
      <c r="O2375">
        <v>12</v>
      </c>
    </row>
    <row r="2376" spans="1:15" x14ac:dyDescent="0.25">
      <c r="A2376" t="s">
        <v>46</v>
      </c>
      <c r="B2376" t="s">
        <v>18</v>
      </c>
      <c r="C2376" t="s">
        <v>11</v>
      </c>
      <c r="D2376" t="str">
        <f t="shared" si="224"/>
        <v>FAB6_12 1L Leche Y Pan Light</v>
      </c>
      <c r="E2376">
        <v>2022</v>
      </c>
      <c r="F2376">
        <v>28</v>
      </c>
      <c r="G2376">
        <f t="shared" si="225"/>
        <v>7</v>
      </c>
      <c r="H2376" s="1">
        <f t="shared" si="226"/>
        <v>44753</v>
      </c>
      <c r="I2376" s="1">
        <f t="shared" si="227"/>
        <v>44743</v>
      </c>
      <c r="J2376">
        <v>13554.699999999999</v>
      </c>
      <c r="K2376">
        <v>864</v>
      </c>
      <c r="L2376">
        <f t="shared" si="223"/>
        <v>15.688310185185184</v>
      </c>
      <c r="M2376">
        <v>72</v>
      </c>
      <c r="N2376" s="2">
        <f t="shared" si="228"/>
        <v>188.25972222222219</v>
      </c>
      <c r="O2376">
        <v>12</v>
      </c>
    </row>
    <row r="2377" spans="1:15" x14ac:dyDescent="0.25">
      <c r="A2377" t="s">
        <v>46</v>
      </c>
      <c r="B2377" t="s">
        <v>18</v>
      </c>
      <c r="C2377" t="s">
        <v>11</v>
      </c>
      <c r="D2377" t="str">
        <f t="shared" si="224"/>
        <v>FAB6_12 1L Leche Y Pan Light</v>
      </c>
      <c r="E2377">
        <v>2022</v>
      </c>
      <c r="F2377">
        <v>29</v>
      </c>
      <c r="G2377">
        <f t="shared" si="225"/>
        <v>7</v>
      </c>
      <c r="H2377" s="1">
        <f t="shared" si="226"/>
        <v>44760</v>
      </c>
      <c r="I2377" s="1">
        <f t="shared" si="227"/>
        <v>44743</v>
      </c>
      <c r="J2377">
        <v>19949.189999999999</v>
      </c>
      <c r="K2377">
        <v>1272</v>
      </c>
      <c r="L2377">
        <f t="shared" si="223"/>
        <v>15.683325471698112</v>
      </c>
      <c r="M2377">
        <v>106</v>
      </c>
      <c r="N2377" s="2">
        <f t="shared" si="228"/>
        <v>188.19990566037734</v>
      </c>
      <c r="O2377">
        <v>12</v>
      </c>
    </row>
    <row r="2378" spans="1:15" x14ac:dyDescent="0.25">
      <c r="A2378" t="s">
        <v>46</v>
      </c>
      <c r="B2378" t="s">
        <v>18</v>
      </c>
      <c r="C2378" t="s">
        <v>11</v>
      </c>
      <c r="D2378" t="str">
        <f t="shared" si="224"/>
        <v>FAB6_12 1L Leche Y Pan Light</v>
      </c>
      <c r="E2378">
        <v>2022</v>
      </c>
      <c r="F2378">
        <v>30</v>
      </c>
      <c r="G2378">
        <f t="shared" si="225"/>
        <v>7</v>
      </c>
      <c r="H2378" s="1">
        <f t="shared" si="226"/>
        <v>44767</v>
      </c>
      <c r="I2378" s="1">
        <f t="shared" si="227"/>
        <v>44743</v>
      </c>
      <c r="J2378">
        <v>12421.2</v>
      </c>
      <c r="K2378">
        <v>792</v>
      </c>
      <c r="L2378">
        <f t="shared" si="223"/>
        <v>15.683333333333334</v>
      </c>
      <c r="M2378">
        <v>66</v>
      </c>
      <c r="N2378" s="2">
        <f t="shared" si="228"/>
        <v>188.20000000000002</v>
      </c>
      <c r="O2378">
        <v>12</v>
      </c>
    </row>
    <row r="2379" spans="1:15" x14ac:dyDescent="0.25">
      <c r="A2379" t="s">
        <v>46</v>
      </c>
      <c r="B2379" t="s">
        <v>18</v>
      </c>
      <c r="C2379" t="s">
        <v>11</v>
      </c>
      <c r="D2379" t="str">
        <f t="shared" si="224"/>
        <v>FAB6_12 1L Leche Y Pan Light</v>
      </c>
      <c r="E2379">
        <v>2022</v>
      </c>
      <c r="F2379">
        <v>31</v>
      </c>
      <c r="G2379">
        <f t="shared" si="225"/>
        <v>8</v>
      </c>
      <c r="H2379" s="1">
        <f t="shared" si="226"/>
        <v>44774</v>
      </c>
      <c r="I2379" s="1">
        <f t="shared" si="227"/>
        <v>44774</v>
      </c>
      <c r="J2379">
        <v>18443.57</v>
      </c>
      <c r="K2379">
        <v>1176</v>
      </c>
      <c r="L2379">
        <f t="shared" si="223"/>
        <v>15.683307823129251</v>
      </c>
      <c r="M2379">
        <v>98</v>
      </c>
      <c r="N2379" s="2">
        <f t="shared" si="228"/>
        <v>188.19969387755103</v>
      </c>
      <c r="O2379">
        <v>12</v>
      </c>
    </row>
    <row r="2380" spans="1:15" x14ac:dyDescent="0.25">
      <c r="A2380" t="s">
        <v>46</v>
      </c>
      <c r="B2380" t="s">
        <v>18</v>
      </c>
      <c r="C2380" t="s">
        <v>11</v>
      </c>
      <c r="D2380" t="str">
        <f t="shared" si="224"/>
        <v>FAB6_12 1L Leche Y Pan Light</v>
      </c>
      <c r="E2380">
        <v>2022</v>
      </c>
      <c r="F2380">
        <v>32</v>
      </c>
      <c r="G2380">
        <f t="shared" si="225"/>
        <v>8</v>
      </c>
      <c r="H2380" s="1">
        <f t="shared" si="226"/>
        <v>44781</v>
      </c>
      <c r="I2380" s="1">
        <f t="shared" si="227"/>
        <v>44774</v>
      </c>
      <c r="J2380">
        <v>17891.940000000002</v>
      </c>
      <c r="K2380">
        <v>1140</v>
      </c>
      <c r="L2380">
        <f t="shared" si="223"/>
        <v>15.694684210526319</v>
      </c>
      <c r="M2380">
        <v>95</v>
      </c>
      <c r="N2380" s="2">
        <f t="shared" si="228"/>
        <v>188.33621052631582</v>
      </c>
      <c r="O2380">
        <v>12</v>
      </c>
    </row>
    <row r="2381" spans="1:15" x14ac:dyDescent="0.25">
      <c r="A2381" t="s">
        <v>46</v>
      </c>
      <c r="B2381" t="s">
        <v>18</v>
      </c>
      <c r="C2381" t="s">
        <v>11</v>
      </c>
      <c r="D2381" t="str">
        <f t="shared" si="224"/>
        <v>FAB6_12 1L Leche Y Pan Light</v>
      </c>
      <c r="E2381">
        <v>2022</v>
      </c>
      <c r="F2381">
        <v>33</v>
      </c>
      <c r="G2381">
        <f t="shared" si="225"/>
        <v>8</v>
      </c>
      <c r="H2381" s="1">
        <f t="shared" si="226"/>
        <v>44788</v>
      </c>
      <c r="I2381" s="1">
        <f t="shared" si="227"/>
        <v>44774</v>
      </c>
      <c r="J2381">
        <v>16937.989999999998</v>
      </c>
      <c r="K2381">
        <v>1080</v>
      </c>
      <c r="L2381">
        <f t="shared" si="223"/>
        <v>15.683324074074072</v>
      </c>
      <c r="M2381">
        <v>90</v>
      </c>
      <c r="N2381" s="2">
        <f t="shared" si="228"/>
        <v>188.19988888888886</v>
      </c>
      <c r="O2381">
        <v>12</v>
      </c>
    </row>
    <row r="2382" spans="1:15" x14ac:dyDescent="0.25">
      <c r="A2382" t="s">
        <v>46</v>
      </c>
      <c r="B2382" t="s">
        <v>18</v>
      </c>
      <c r="C2382" t="s">
        <v>11</v>
      </c>
      <c r="D2382" t="str">
        <f t="shared" si="224"/>
        <v>FAB6_12 1L Leche Y Pan Light</v>
      </c>
      <c r="E2382">
        <v>2022</v>
      </c>
      <c r="F2382">
        <v>34</v>
      </c>
      <c r="G2382">
        <f t="shared" si="225"/>
        <v>8</v>
      </c>
      <c r="H2382" s="1">
        <f t="shared" si="226"/>
        <v>44795</v>
      </c>
      <c r="I2382" s="1">
        <f t="shared" si="227"/>
        <v>44774</v>
      </c>
      <c r="J2382">
        <v>14683.919999999998</v>
      </c>
      <c r="K2382">
        <v>936</v>
      </c>
      <c r="L2382">
        <f t="shared" si="223"/>
        <v>15.687948717948716</v>
      </c>
      <c r="M2382">
        <v>78</v>
      </c>
      <c r="N2382" s="2">
        <f t="shared" si="228"/>
        <v>188.2553846153846</v>
      </c>
      <c r="O2382">
        <v>12</v>
      </c>
    </row>
    <row r="2383" spans="1:15" x14ac:dyDescent="0.25">
      <c r="A2383" t="s">
        <v>46</v>
      </c>
      <c r="B2383" t="s">
        <v>18</v>
      </c>
      <c r="C2383" t="s">
        <v>11</v>
      </c>
      <c r="D2383" t="str">
        <f t="shared" si="224"/>
        <v>FAB6_12 1L Leche Y Pan Light</v>
      </c>
      <c r="E2383">
        <v>2022</v>
      </c>
      <c r="F2383">
        <v>35</v>
      </c>
      <c r="G2383">
        <f t="shared" si="225"/>
        <v>9</v>
      </c>
      <c r="H2383" s="1">
        <f t="shared" si="226"/>
        <v>44802</v>
      </c>
      <c r="I2383" s="1">
        <f t="shared" si="227"/>
        <v>44805</v>
      </c>
      <c r="J2383">
        <v>23345.439999999995</v>
      </c>
      <c r="K2383">
        <v>1488</v>
      </c>
      <c r="L2383">
        <f t="shared" si="223"/>
        <v>15.689139784946233</v>
      </c>
      <c r="M2383">
        <v>124</v>
      </c>
      <c r="N2383" s="2">
        <f t="shared" si="228"/>
        <v>188.26967741935479</v>
      </c>
      <c r="O2383">
        <v>12</v>
      </c>
    </row>
    <row r="2384" spans="1:15" x14ac:dyDescent="0.25">
      <c r="A2384" t="s">
        <v>46</v>
      </c>
      <c r="B2384" t="s">
        <v>18</v>
      </c>
      <c r="C2384" t="s">
        <v>11</v>
      </c>
      <c r="D2384" t="str">
        <f t="shared" si="224"/>
        <v>FAB6_12 1L Leche Y Pan Light</v>
      </c>
      <c r="E2384">
        <v>2022</v>
      </c>
      <c r="F2384">
        <v>36</v>
      </c>
      <c r="G2384">
        <f t="shared" si="225"/>
        <v>9</v>
      </c>
      <c r="H2384" s="1">
        <f t="shared" si="226"/>
        <v>44809</v>
      </c>
      <c r="I2384" s="1">
        <f t="shared" si="227"/>
        <v>44805</v>
      </c>
      <c r="J2384">
        <v>17690.75</v>
      </c>
      <c r="K2384">
        <v>1128</v>
      </c>
      <c r="L2384">
        <f t="shared" si="223"/>
        <v>15.683289007092199</v>
      </c>
      <c r="M2384">
        <v>94</v>
      </c>
      <c r="N2384" s="2">
        <f t="shared" si="228"/>
        <v>188.19946808510639</v>
      </c>
      <c r="O2384">
        <v>12</v>
      </c>
    </row>
    <row r="2385" spans="1:15" x14ac:dyDescent="0.25">
      <c r="A2385" t="s">
        <v>46</v>
      </c>
      <c r="B2385" t="s">
        <v>18</v>
      </c>
      <c r="C2385" t="s">
        <v>11</v>
      </c>
      <c r="D2385" t="str">
        <f t="shared" si="224"/>
        <v>FAB6_12 1L Leche Y Pan Light</v>
      </c>
      <c r="E2385">
        <v>2022</v>
      </c>
      <c r="F2385">
        <v>37</v>
      </c>
      <c r="G2385">
        <f t="shared" si="225"/>
        <v>9</v>
      </c>
      <c r="H2385" s="1">
        <f t="shared" si="226"/>
        <v>44816</v>
      </c>
      <c r="I2385" s="1">
        <f t="shared" si="227"/>
        <v>44805</v>
      </c>
      <c r="J2385">
        <v>16373.4</v>
      </c>
      <c r="K2385">
        <v>1044</v>
      </c>
      <c r="L2385">
        <f t="shared" si="223"/>
        <v>15.683333333333334</v>
      </c>
      <c r="M2385">
        <v>87</v>
      </c>
      <c r="N2385" s="2">
        <f t="shared" si="228"/>
        <v>188.2</v>
      </c>
      <c r="O2385">
        <v>12</v>
      </c>
    </row>
    <row r="2386" spans="1:15" x14ac:dyDescent="0.25">
      <c r="A2386" t="s">
        <v>46</v>
      </c>
      <c r="B2386" t="s">
        <v>18</v>
      </c>
      <c r="C2386" t="s">
        <v>11</v>
      </c>
      <c r="D2386" t="str">
        <f t="shared" si="224"/>
        <v>FAB6_12 1L Leche Y Pan Light</v>
      </c>
      <c r="E2386">
        <v>2022</v>
      </c>
      <c r="F2386">
        <v>38</v>
      </c>
      <c r="G2386">
        <f t="shared" si="225"/>
        <v>9</v>
      </c>
      <c r="H2386" s="1">
        <f t="shared" si="226"/>
        <v>44823</v>
      </c>
      <c r="I2386" s="1">
        <f t="shared" si="227"/>
        <v>44805</v>
      </c>
      <c r="J2386">
        <v>17878.989999999998</v>
      </c>
      <c r="K2386">
        <v>1140</v>
      </c>
      <c r="L2386">
        <f t="shared" si="223"/>
        <v>15.683324561403508</v>
      </c>
      <c r="M2386">
        <v>95</v>
      </c>
      <c r="N2386" s="2">
        <f t="shared" si="228"/>
        <v>188.19989473684208</v>
      </c>
      <c r="O2386">
        <v>12</v>
      </c>
    </row>
    <row r="2387" spans="1:15" x14ac:dyDescent="0.25">
      <c r="A2387" t="s">
        <v>46</v>
      </c>
      <c r="B2387" t="s">
        <v>18</v>
      </c>
      <c r="C2387" t="s">
        <v>11</v>
      </c>
      <c r="D2387" t="str">
        <f t="shared" si="224"/>
        <v>FAB6_12 1L Leche Y Pan Light</v>
      </c>
      <c r="E2387">
        <v>2022</v>
      </c>
      <c r="F2387">
        <v>39</v>
      </c>
      <c r="G2387">
        <f t="shared" si="225"/>
        <v>9</v>
      </c>
      <c r="H2387" s="1">
        <f t="shared" si="226"/>
        <v>44830</v>
      </c>
      <c r="I2387" s="1">
        <f t="shared" si="227"/>
        <v>44805</v>
      </c>
      <c r="J2387">
        <v>17887.61</v>
      </c>
      <c r="K2387">
        <v>1140</v>
      </c>
      <c r="L2387">
        <f t="shared" si="223"/>
        <v>15.690885964912281</v>
      </c>
      <c r="M2387">
        <v>95</v>
      </c>
      <c r="N2387" s="2">
        <f t="shared" si="228"/>
        <v>188.29063157894737</v>
      </c>
      <c r="O2387">
        <v>12</v>
      </c>
    </row>
    <row r="2388" spans="1:15" x14ac:dyDescent="0.25">
      <c r="A2388" t="s">
        <v>46</v>
      </c>
      <c r="B2388" t="s">
        <v>18</v>
      </c>
      <c r="C2388" t="s">
        <v>11</v>
      </c>
      <c r="D2388" t="str">
        <f t="shared" si="224"/>
        <v>FAB6_12 1L Leche Y Pan Light</v>
      </c>
      <c r="E2388">
        <v>2022</v>
      </c>
      <c r="F2388">
        <v>40</v>
      </c>
      <c r="G2388">
        <f t="shared" si="225"/>
        <v>10</v>
      </c>
      <c r="H2388" s="1">
        <f t="shared" si="226"/>
        <v>44837</v>
      </c>
      <c r="I2388" s="1">
        <f t="shared" si="227"/>
        <v>44835</v>
      </c>
      <c r="J2388">
        <v>21647.279999999999</v>
      </c>
      <c r="K2388">
        <v>1380</v>
      </c>
      <c r="L2388">
        <f t="shared" si="223"/>
        <v>15.686434782608695</v>
      </c>
      <c r="M2388">
        <v>115</v>
      </c>
      <c r="N2388" s="2">
        <f t="shared" si="228"/>
        <v>188.23721739130434</v>
      </c>
      <c r="O2388">
        <v>12</v>
      </c>
    </row>
    <row r="2389" spans="1:15" x14ac:dyDescent="0.25">
      <c r="A2389" t="s">
        <v>46</v>
      </c>
      <c r="B2389" t="s">
        <v>18</v>
      </c>
      <c r="C2389" t="s">
        <v>11</v>
      </c>
      <c r="D2389" t="str">
        <f t="shared" si="224"/>
        <v>FAB6_12 1L Leche Y Pan Light</v>
      </c>
      <c r="E2389">
        <v>2022</v>
      </c>
      <c r="F2389">
        <v>41</v>
      </c>
      <c r="G2389">
        <f t="shared" si="225"/>
        <v>10</v>
      </c>
      <c r="H2389" s="1">
        <f t="shared" si="226"/>
        <v>44844</v>
      </c>
      <c r="I2389" s="1">
        <f t="shared" si="227"/>
        <v>44835</v>
      </c>
      <c r="J2389">
        <v>16561.599999999999</v>
      </c>
      <c r="K2389">
        <v>1056</v>
      </c>
      <c r="L2389">
        <f t="shared" si="223"/>
        <v>15.683333333333332</v>
      </c>
      <c r="M2389">
        <v>88</v>
      </c>
      <c r="N2389" s="2">
        <f t="shared" si="228"/>
        <v>188.2</v>
      </c>
      <c r="O2389">
        <v>12</v>
      </c>
    </row>
    <row r="2390" spans="1:15" x14ac:dyDescent="0.25">
      <c r="A2390" t="s">
        <v>46</v>
      </c>
      <c r="B2390" t="s">
        <v>18</v>
      </c>
      <c r="C2390" t="s">
        <v>11</v>
      </c>
      <c r="D2390" t="str">
        <f t="shared" si="224"/>
        <v>FAB6_12 1L Leche Y Pan Light</v>
      </c>
      <c r="E2390">
        <v>2022</v>
      </c>
      <c r="F2390">
        <v>42</v>
      </c>
      <c r="G2390">
        <f t="shared" si="225"/>
        <v>10</v>
      </c>
      <c r="H2390" s="1">
        <f t="shared" si="226"/>
        <v>44851</v>
      </c>
      <c r="I2390" s="1">
        <f t="shared" si="227"/>
        <v>44835</v>
      </c>
      <c r="J2390">
        <v>19962.14</v>
      </c>
      <c r="K2390">
        <v>1272</v>
      </c>
      <c r="L2390">
        <f t="shared" si="223"/>
        <v>15.693506289308175</v>
      </c>
      <c r="M2390">
        <v>106</v>
      </c>
      <c r="N2390" s="2">
        <f t="shared" si="228"/>
        <v>188.3220754716981</v>
      </c>
      <c r="O2390">
        <v>12</v>
      </c>
    </row>
    <row r="2391" spans="1:15" x14ac:dyDescent="0.25">
      <c r="A2391" t="s">
        <v>46</v>
      </c>
      <c r="B2391" t="s">
        <v>18</v>
      </c>
      <c r="C2391" t="s">
        <v>11</v>
      </c>
      <c r="D2391" t="str">
        <f t="shared" si="224"/>
        <v>FAB6_12 1L Leche Y Pan Light</v>
      </c>
      <c r="E2391">
        <v>2022</v>
      </c>
      <c r="F2391">
        <v>43</v>
      </c>
      <c r="G2391">
        <f t="shared" si="225"/>
        <v>10</v>
      </c>
      <c r="H2391" s="1">
        <f t="shared" si="226"/>
        <v>44858</v>
      </c>
      <c r="I2391" s="1">
        <f t="shared" si="227"/>
        <v>44835</v>
      </c>
      <c r="J2391">
        <v>16758.419999999998</v>
      </c>
      <c r="K2391">
        <v>1068</v>
      </c>
      <c r="L2391">
        <f t="shared" si="223"/>
        <v>15.69140449438202</v>
      </c>
      <c r="M2391">
        <v>89</v>
      </c>
      <c r="N2391" s="2">
        <f t="shared" si="228"/>
        <v>188.29685393258424</v>
      </c>
      <c r="O2391">
        <v>12</v>
      </c>
    </row>
    <row r="2392" spans="1:15" x14ac:dyDescent="0.25">
      <c r="A2392" t="s">
        <v>46</v>
      </c>
      <c r="B2392" t="s">
        <v>18</v>
      </c>
      <c r="C2392" t="s">
        <v>11</v>
      </c>
      <c r="D2392" t="str">
        <f t="shared" si="224"/>
        <v>FAB6_12 1L Leche Y Pan Light</v>
      </c>
      <c r="E2392">
        <v>2022</v>
      </c>
      <c r="F2392">
        <v>44</v>
      </c>
      <c r="G2392">
        <f t="shared" si="225"/>
        <v>11</v>
      </c>
      <c r="H2392" s="1">
        <f t="shared" si="226"/>
        <v>44865</v>
      </c>
      <c r="I2392" s="1">
        <f t="shared" si="227"/>
        <v>44866</v>
      </c>
      <c r="J2392">
        <v>19016.79</v>
      </c>
      <c r="K2392">
        <v>1212</v>
      </c>
      <c r="L2392">
        <f t="shared" si="223"/>
        <v>15.690420792079209</v>
      </c>
      <c r="M2392">
        <v>101</v>
      </c>
      <c r="N2392" s="2">
        <f t="shared" si="228"/>
        <v>188.28504950495051</v>
      </c>
      <c r="O2392">
        <v>12</v>
      </c>
    </row>
    <row r="2393" spans="1:15" x14ac:dyDescent="0.25">
      <c r="A2393" t="s">
        <v>46</v>
      </c>
      <c r="B2393" t="s">
        <v>18</v>
      </c>
      <c r="C2393" t="s">
        <v>11</v>
      </c>
      <c r="D2393" t="str">
        <f t="shared" si="224"/>
        <v>FAB6_12 1L Leche Y Pan Light</v>
      </c>
      <c r="E2393">
        <v>2022</v>
      </c>
      <c r="F2393">
        <v>45</v>
      </c>
      <c r="G2393">
        <f t="shared" si="225"/>
        <v>11</v>
      </c>
      <c r="H2393" s="1">
        <f t="shared" si="226"/>
        <v>44872</v>
      </c>
      <c r="I2393" s="1">
        <f t="shared" si="227"/>
        <v>44866</v>
      </c>
      <c r="J2393">
        <v>10539.189999999999</v>
      </c>
      <c r="K2393">
        <v>672</v>
      </c>
      <c r="L2393">
        <f t="shared" si="223"/>
        <v>15.68331845238095</v>
      </c>
      <c r="M2393">
        <v>56</v>
      </c>
      <c r="N2393" s="2">
        <f t="shared" si="228"/>
        <v>188.1998214285714</v>
      </c>
      <c r="O2393">
        <v>12</v>
      </c>
    </row>
    <row r="2394" spans="1:15" x14ac:dyDescent="0.25">
      <c r="A2394" t="s">
        <v>46</v>
      </c>
      <c r="B2394" t="s">
        <v>18</v>
      </c>
      <c r="C2394" t="s">
        <v>11</v>
      </c>
      <c r="D2394" t="str">
        <f t="shared" si="224"/>
        <v>FAB6_12 1L Leche Y Pan Light</v>
      </c>
      <c r="E2394">
        <v>2022</v>
      </c>
      <c r="F2394">
        <v>46</v>
      </c>
      <c r="G2394">
        <f t="shared" si="225"/>
        <v>11</v>
      </c>
      <c r="H2394" s="1">
        <f t="shared" si="226"/>
        <v>44879</v>
      </c>
      <c r="I2394" s="1">
        <f t="shared" si="227"/>
        <v>44866</v>
      </c>
      <c r="J2394">
        <v>15432.4</v>
      </c>
      <c r="K2394">
        <v>984</v>
      </c>
      <c r="L2394">
        <f t="shared" si="223"/>
        <v>15.683333333333334</v>
      </c>
      <c r="M2394">
        <v>82</v>
      </c>
      <c r="N2394" s="2">
        <f t="shared" si="228"/>
        <v>188.2</v>
      </c>
      <c r="O2394">
        <v>12</v>
      </c>
    </row>
    <row r="2395" spans="1:15" x14ac:dyDescent="0.25">
      <c r="A2395" t="s">
        <v>46</v>
      </c>
      <c r="B2395" t="s">
        <v>18</v>
      </c>
      <c r="C2395" t="s">
        <v>11</v>
      </c>
      <c r="D2395" t="str">
        <f t="shared" si="224"/>
        <v>FAB6_12 1L Leche Y Pan Light</v>
      </c>
      <c r="E2395">
        <v>2022</v>
      </c>
      <c r="F2395">
        <v>47</v>
      </c>
      <c r="G2395">
        <f t="shared" si="225"/>
        <v>11</v>
      </c>
      <c r="H2395" s="1">
        <f t="shared" si="226"/>
        <v>44886</v>
      </c>
      <c r="I2395" s="1">
        <f t="shared" si="227"/>
        <v>44866</v>
      </c>
      <c r="J2395">
        <v>16198.12</v>
      </c>
      <c r="K2395">
        <v>1032</v>
      </c>
      <c r="L2395">
        <f t="shared" si="223"/>
        <v>15.695852713178295</v>
      </c>
      <c r="M2395">
        <v>86</v>
      </c>
      <c r="N2395" s="2">
        <f t="shared" si="228"/>
        <v>188.35023255813954</v>
      </c>
      <c r="O2395">
        <v>12</v>
      </c>
    </row>
    <row r="2396" spans="1:15" x14ac:dyDescent="0.25">
      <c r="A2396" t="s">
        <v>46</v>
      </c>
      <c r="B2396" t="s">
        <v>18</v>
      </c>
      <c r="C2396" t="s">
        <v>11</v>
      </c>
      <c r="D2396" t="str">
        <f t="shared" si="224"/>
        <v>FAB6_12 1L Leche Y Pan Light</v>
      </c>
      <c r="E2396">
        <v>2022</v>
      </c>
      <c r="F2396">
        <v>48</v>
      </c>
      <c r="G2396">
        <f t="shared" si="225"/>
        <v>12</v>
      </c>
      <c r="H2396" s="1">
        <f t="shared" si="226"/>
        <v>44893</v>
      </c>
      <c r="I2396" s="1">
        <f t="shared" si="227"/>
        <v>44896</v>
      </c>
      <c r="J2396">
        <v>15060.26</v>
      </c>
      <c r="K2396">
        <v>960</v>
      </c>
      <c r="L2396">
        <f t="shared" si="223"/>
        <v>15.687770833333333</v>
      </c>
      <c r="M2396">
        <v>80</v>
      </c>
      <c r="N2396" s="2">
        <f t="shared" si="228"/>
        <v>188.25325000000001</v>
      </c>
      <c r="O2396">
        <v>12</v>
      </c>
    </row>
    <row r="2397" spans="1:15" x14ac:dyDescent="0.25">
      <c r="A2397" t="s">
        <v>46</v>
      </c>
      <c r="B2397" t="s">
        <v>18</v>
      </c>
      <c r="C2397" t="s">
        <v>11</v>
      </c>
      <c r="D2397" t="str">
        <f t="shared" si="224"/>
        <v>FAB6_12 1L Leche Y Pan Light</v>
      </c>
      <c r="E2397">
        <v>2022</v>
      </c>
      <c r="F2397">
        <v>49</v>
      </c>
      <c r="G2397">
        <f t="shared" si="225"/>
        <v>12</v>
      </c>
      <c r="H2397" s="1">
        <f t="shared" si="226"/>
        <v>44900</v>
      </c>
      <c r="I2397" s="1">
        <f t="shared" si="227"/>
        <v>44896</v>
      </c>
      <c r="J2397">
        <v>17511.21</v>
      </c>
      <c r="K2397">
        <v>1116</v>
      </c>
      <c r="L2397">
        <f t="shared" si="223"/>
        <v>15.691048387096773</v>
      </c>
      <c r="M2397">
        <v>93</v>
      </c>
      <c r="N2397" s="2">
        <f t="shared" si="228"/>
        <v>188.29258064516128</v>
      </c>
      <c r="O2397">
        <v>12</v>
      </c>
    </row>
    <row r="2398" spans="1:15" x14ac:dyDescent="0.25">
      <c r="A2398" t="s">
        <v>46</v>
      </c>
      <c r="B2398" t="s">
        <v>18</v>
      </c>
      <c r="C2398" t="s">
        <v>11</v>
      </c>
      <c r="D2398" t="str">
        <f t="shared" si="224"/>
        <v>FAB6_12 1L Leche Y Pan Light</v>
      </c>
      <c r="E2398">
        <v>2022</v>
      </c>
      <c r="F2398">
        <v>50</v>
      </c>
      <c r="G2398">
        <f t="shared" si="225"/>
        <v>12</v>
      </c>
      <c r="H2398" s="1">
        <f t="shared" si="226"/>
        <v>44907</v>
      </c>
      <c r="I2398" s="1">
        <f t="shared" si="227"/>
        <v>44896</v>
      </c>
      <c r="J2398">
        <v>8862.6799999999985</v>
      </c>
      <c r="K2398">
        <v>564</v>
      </c>
      <c r="L2398">
        <f t="shared" si="223"/>
        <v>15.713971631205672</v>
      </c>
      <c r="M2398">
        <v>47</v>
      </c>
      <c r="N2398" s="2">
        <f t="shared" si="228"/>
        <v>188.56765957446805</v>
      </c>
      <c r="O2398">
        <v>12</v>
      </c>
    </row>
    <row r="2399" spans="1:15" x14ac:dyDescent="0.25">
      <c r="A2399" t="s">
        <v>46</v>
      </c>
      <c r="B2399" t="s">
        <v>18</v>
      </c>
      <c r="C2399" t="s">
        <v>12</v>
      </c>
      <c r="D2399" t="str">
        <f t="shared" si="224"/>
        <v>FAB6_12 960Ml Suprema Uht Entera</v>
      </c>
      <c r="E2399">
        <v>2022</v>
      </c>
      <c r="F2399">
        <v>1</v>
      </c>
      <c r="G2399">
        <f t="shared" si="225"/>
        <v>1</v>
      </c>
      <c r="H2399" s="1">
        <f t="shared" si="226"/>
        <v>44564</v>
      </c>
      <c r="I2399" s="1">
        <f t="shared" si="227"/>
        <v>44562</v>
      </c>
      <c r="J2399">
        <v>285</v>
      </c>
      <c r="K2399">
        <v>36</v>
      </c>
      <c r="L2399">
        <f t="shared" si="223"/>
        <v>7.916666666666667</v>
      </c>
      <c r="M2399">
        <v>3</v>
      </c>
      <c r="N2399" s="2">
        <f t="shared" si="228"/>
        <v>95</v>
      </c>
      <c r="O2399">
        <v>12</v>
      </c>
    </row>
    <row r="2400" spans="1:15" x14ac:dyDescent="0.25">
      <c r="A2400" t="s">
        <v>46</v>
      </c>
      <c r="B2400" t="s">
        <v>18</v>
      </c>
      <c r="C2400" t="s">
        <v>13</v>
      </c>
      <c r="D2400" t="str">
        <f t="shared" si="224"/>
        <v>FAB6_12/1L Leche Y Pan En Tera</v>
      </c>
      <c r="E2400">
        <v>2022</v>
      </c>
      <c r="F2400">
        <v>1</v>
      </c>
      <c r="G2400">
        <f t="shared" si="225"/>
        <v>1</v>
      </c>
      <c r="H2400" s="1">
        <f t="shared" si="226"/>
        <v>44564</v>
      </c>
      <c r="I2400" s="1">
        <f t="shared" si="227"/>
        <v>44562</v>
      </c>
      <c r="J2400">
        <v>324190</v>
      </c>
      <c r="K2400">
        <v>22884</v>
      </c>
      <c r="L2400">
        <f t="shared" si="223"/>
        <v>14.166666666666666</v>
      </c>
      <c r="M2400">
        <v>1907</v>
      </c>
      <c r="N2400" s="2">
        <f t="shared" si="228"/>
        <v>170</v>
      </c>
      <c r="O2400">
        <v>12</v>
      </c>
    </row>
    <row r="2401" spans="1:15" x14ac:dyDescent="0.25">
      <c r="A2401" t="s">
        <v>46</v>
      </c>
      <c r="B2401" t="s">
        <v>18</v>
      </c>
      <c r="C2401" t="s">
        <v>13</v>
      </c>
      <c r="D2401" t="str">
        <f t="shared" si="224"/>
        <v>FAB6_12/1L Leche Y Pan En Tera</v>
      </c>
      <c r="E2401">
        <v>2022</v>
      </c>
      <c r="F2401">
        <v>2</v>
      </c>
      <c r="G2401">
        <f t="shared" si="225"/>
        <v>1</v>
      </c>
      <c r="H2401" s="1">
        <f t="shared" si="226"/>
        <v>44571</v>
      </c>
      <c r="I2401" s="1">
        <f t="shared" si="227"/>
        <v>44562</v>
      </c>
      <c r="J2401">
        <v>286614.90000000002</v>
      </c>
      <c r="K2401">
        <v>20328</v>
      </c>
      <c r="L2401">
        <f t="shared" si="223"/>
        <v>14.099512987012988</v>
      </c>
      <c r="M2401">
        <v>1694</v>
      </c>
      <c r="N2401" s="2">
        <f t="shared" si="228"/>
        <v>169.19415584415586</v>
      </c>
      <c r="O2401">
        <v>12</v>
      </c>
    </row>
    <row r="2402" spans="1:15" x14ac:dyDescent="0.25">
      <c r="A2402" t="s">
        <v>46</v>
      </c>
      <c r="B2402" t="s">
        <v>18</v>
      </c>
      <c r="C2402" t="s">
        <v>13</v>
      </c>
      <c r="D2402" t="str">
        <f t="shared" si="224"/>
        <v>FAB6_12/1L Leche Y Pan En Tera</v>
      </c>
      <c r="E2402">
        <v>2022</v>
      </c>
      <c r="F2402">
        <v>3</v>
      </c>
      <c r="G2402">
        <f t="shared" si="225"/>
        <v>1</v>
      </c>
      <c r="H2402" s="1">
        <f t="shared" si="226"/>
        <v>44578</v>
      </c>
      <c r="I2402" s="1">
        <f t="shared" si="227"/>
        <v>44562</v>
      </c>
      <c r="J2402">
        <v>324193.91000000003</v>
      </c>
      <c r="K2402">
        <v>22884</v>
      </c>
      <c r="L2402">
        <f t="shared" si="223"/>
        <v>14.166837528404127</v>
      </c>
      <c r="M2402">
        <v>1907</v>
      </c>
      <c r="N2402" s="2">
        <f t="shared" si="228"/>
        <v>170.00205034084951</v>
      </c>
      <c r="O2402">
        <v>12</v>
      </c>
    </row>
    <row r="2403" spans="1:15" x14ac:dyDescent="0.25">
      <c r="A2403" t="s">
        <v>46</v>
      </c>
      <c r="B2403" t="s">
        <v>18</v>
      </c>
      <c r="C2403" t="s">
        <v>13</v>
      </c>
      <c r="D2403" t="str">
        <f t="shared" si="224"/>
        <v>FAB6_12/1L Leche Y Pan En Tera</v>
      </c>
      <c r="E2403">
        <v>2022</v>
      </c>
      <c r="F2403">
        <v>4</v>
      </c>
      <c r="G2403">
        <f t="shared" si="225"/>
        <v>1</v>
      </c>
      <c r="H2403" s="1">
        <f t="shared" si="226"/>
        <v>44585</v>
      </c>
      <c r="I2403" s="1">
        <f t="shared" si="227"/>
        <v>44562</v>
      </c>
      <c r="J2403">
        <v>284413.91000000003</v>
      </c>
      <c r="K2403">
        <v>20076</v>
      </c>
      <c r="L2403">
        <f t="shared" si="223"/>
        <v>14.166861426579002</v>
      </c>
      <c r="M2403">
        <v>1673</v>
      </c>
      <c r="N2403" s="2">
        <f t="shared" si="228"/>
        <v>170.00233711894802</v>
      </c>
      <c r="O2403">
        <v>12</v>
      </c>
    </row>
    <row r="2404" spans="1:15" x14ac:dyDescent="0.25">
      <c r="A2404" t="s">
        <v>46</v>
      </c>
      <c r="B2404" t="s">
        <v>18</v>
      </c>
      <c r="C2404" t="s">
        <v>13</v>
      </c>
      <c r="D2404" t="str">
        <f t="shared" si="224"/>
        <v>FAB6_12/1L Leche Y Pan En Tera</v>
      </c>
      <c r="E2404">
        <v>2022</v>
      </c>
      <c r="F2404">
        <v>5</v>
      </c>
      <c r="G2404">
        <f t="shared" si="225"/>
        <v>2</v>
      </c>
      <c r="H2404" s="1">
        <f t="shared" si="226"/>
        <v>44592</v>
      </c>
      <c r="I2404" s="1">
        <f t="shared" si="227"/>
        <v>44593</v>
      </c>
      <c r="J2404">
        <v>329789.45999999996</v>
      </c>
      <c r="K2404">
        <v>23280</v>
      </c>
      <c r="L2404">
        <f t="shared" si="223"/>
        <v>14.166213917525772</v>
      </c>
      <c r="M2404">
        <v>1940</v>
      </c>
      <c r="N2404" s="2">
        <f t="shared" si="228"/>
        <v>169.99456701030925</v>
      </c>
      <c r="O2404">
        <v>12</v>
      </c>
    </row>
    <row r="2405" spans="1:15" x14ac:dyDescent="0.25">
      <c r="A2405" t="s">
        <v>46</v>
      </c>
      <c r="B2405" t="s">
        <v>18</v>
      </c>
      <c r="C2405" t="s">
        <v>13</v>
      </c>
      <c r="D2405" t="str">
        <f t="shared" si="224"/>
        <v>FAB6_12/1L Leche Y Pan En Tera</v>
      </c>
      <c r="E2405">
        <v>2022</v>
      </c>
      <c r="F2405">
        <v>6</v>
      </c>
      <c r="G2405">
        <f t="shared" si="225"/>
        <v>2</v>
      </c>
      <c r="H2405" s="1">
        <f t="shared" si="226"/>
        <v>44599</v>
      </c>
      <c r="I2405" s="1">
        <f t="shared" si="227"/>
        <v>44593</v>
      </c>
      <c r="J2405">
        <v>343036.62</v>
      </c>
      <c r="K2405">
        <v>24216</v>
      </c>
      <c r="L2405">
        <f t="shared" si="223"/>
        <v>14.165701189296334</v>
      </c>
      <c r="M2405">
        <v>2018</v>
      </c>
      <c r="N2405" s="2">
        <f t="shared" si="228"/>
        <v>169.988414271556</v>
      </c>
      <c r="O2405">
        <v>12</v>
      </c>
    </row>
    <row r="2406" spans="1:15" x14ac:dyDescent="0.25">
      <c r="A2406" t="s">
        <v>46</v>
      </c>
      <c r="B2406" t="s">
        <v>18</v>
      </c>
      <c r="C2406" t="s">
        <v>13</v>
      </c>
      <c r="D2406" t="str">
        <f t="shared" si="224"/>
        <v>FAB6_12/1L Leche Y Pan En Tera</v>
      </c>
      <c r="E2406">
        <v>2022</v>
      </c>
      <c r="F2406">
        <v>7</v>
      </c>
      <c r="G2406">
        <f t="shared" si="225"/>
        <v>2</v>
      </c>
      <c r="H2406" s="1">
        <f t="shared" si="226"/>
        <v>44606</v>
      </c>
      <c r="I2406" s="1">
        <f t="shared" si="227"/>
        <v>44593</v>
      </c>
      <c r="J2406">
        <v>570182.55000000005</v>
      </c>
      <c r="K2406">
        <v>40248</v>
      </c>
      <c r="L2406">
        <f t="shared" si="223"/>
        <v>14.166730023852118</v>
      </c>
      <c r="M2406">
        <v>3354</v>
      </c>
      <c r="N2406" s="2">
        <f t="shared" si="228"/>
        <v>170.00076028622541</v>
      </c>
      <c r="O2406">
        <v>12</v>
      </c>
    </row>
    <row r="2407" spans="1:15" x14ac:dyDescent="0.25">
      <c r="A2407" t="s">
        <v>46</v>
      </c>
      <c r="B2407" t="s">
        <v>18</v>
      </c>
      <c r="C2407" t="s">
        <v>13</v>
      </c>
      <c r="D2407" t="str">
        <f t="shared" si="224"/>
        <v>FAB6_12/1L Leche Y Pan En Tera</v>
      </c>
      <c r="E2407">
        <v>2022</v>
      </c>
      <c r="F2407">
        <v>8</v>
      </c>
      <c r="G2407">
        <f t="shared" si="225"/>
        <v>2</v>
      </c>
      <c r="H2407" s="1">
        <f t="shared" si="226"/>
        <v>44613</v>
      </c>
      <c r="I2407" s="1">
        <f t="shared" si="227"/>
        <v>44593</v>
      </c>
      <c r="J2407">
        <v>168810</v>
      </c>
      <c r="K2407">
        <v>11916</v>
      </c>
      <c r="L2407">
        <f t="shared" si="223"/>
        <v>14.166666666666666</v>
      </c>
      <c r="M2407">
        <v>993</v>
      </c>
      <c r="N2407" s="2">
        <f t="shared" si="228"/>
        <v>170</v>
      </c>
      <c r="O2407">
        <v>12</v>
      </c>
    </row>
    <row r="2408" spans="1:15" x14ac:dyDescent="0.25">
      <c r="A2408" t="s">
        <v>46</v>
      </c>
      <c r="B2408" t="s">
        <v>18</v>
      </c>
      <c r="C2408" t="s">
        <v>13</v>
      </c>
      <c r="D2408" t="str">
        <f t="shared" si="224"/>
        <v>FAB6_12/1L Leche Y Pan En Tera</v>
      </c>
      <c r="E2408">
        <v>2022</v>
      </c>
      <c r="F2408">
        <v>9</v>
      </c>
      <c r="G2408">
        <f t="shared" si="225"/>
        <v>3</v>
      </c>
      <c r="H2408" s="1">
        <f t="shared" si="226"/>
        <v>44620</v>
      </c>
      <c r="I2408" s="1">
        <f t="shared" si="227"/>
        <v>44621</v>
      </c>
      <c r="J2408">
        <v>393550.68</v>
      </c>
      <c r="K2408">
        <v>27780</v>
      </c>
      <c r="L2408">
        <f t="shared" si="223"/>
        <v>14.166691144708423</v>
      </c>
      <c r="M2408">
        <v>2315</v>
      </c>
      <c r="N2408" s="2">
        <f t="shared" si="228"/>
        <v>170.00029373650108</v>
      </c>
      <c r="O2408">
        <v>12</v>
      </c>
    </row>
    <row r="2409" spans="1:15" x14ac:dyDescent="0.25">
      <c r="A2409" t="s">
        <v>46</v>
      </c>
      <c r="B2409" t="s">
        <v>18</v>
      </c>
      <c r="C2409" t="s">
        <v>13</v>
      </c>
      <c r="D2409" t="str">
        <f t="shared" si="224"/>
        <v>FAB6_12/1L Leche Y Pan En Tera</v>
      </c>
      <c r="E2409">
        <v>2022</v>
      </c>
      <c r="F2409">
        <v>10</v>
      </c>
      <c r="G2409">
        <f t="shared" si="225"/>
        <v>3</v>
      </c>
      <c r="H2409" s="1">
        <f t="shared" si="226"/>
        <v>44627</v>
      </c>
      <c r="I2409" s="1">
        <f t="shared" si="227"/>
        <v>44621</v>
      </c>
      <c r="J2409">
        <v>271192.16000000003</v>
      </c>
      <c r="K2409">
        <v>19140</v>
      </c>
      <c r="L2409">
        <f t="shared" si="223"/>
        <v>14.168869383490074</v>
      </c>
      <c r="M2409">
        <v>1595</v>
      </c>
      <c r="N2409" s="2">
        <f t="shared" si="228"/>
        <v>170.02643260188088</v>
      </c>
      <c r="O2409">
        <v>12</v>
      </c>
    </row>
    <row r="2410" spans="1:15" x14ac:dyDescent="0.25">
      <c r="A2410" t="s">
        <v>46</v>
      </c>
      <c r="B2410" t="s">
        <v>18</v>
      </c>
      <c r="C2410" t="s">
        <v>13</v>
      </c>
      <c r="D2410" t="str">
        <f t="shared" si="224"/>
        <v>FAB6_12/1L Leche Y Pan En Tera</v>
      </c>
      <c r="E2410">
        <v>2022</v>
      </c>
      <c r="F2410">
        <v>11</v>
      </c>
      <c r="G2410">
        <f t="shared" si="225"/>
        <v>3</v>
      </c>
      <c r="H2410" s="1">
        <f t="shared" si="226"/>
        <v>44634</v>
      </c>
      <c r="I2410" s="1">
        <f t="shared" si="227"/>
        <v>44621</v>
      </c>
      <c r="J2410">
        <v>277686.16000000009</v>
      </c>
      <c r="K2410">
        <v>19596</v>
      </c>
      <c r="L2410">
        <f t="shared" si="223"/>
        <v>14.170553174117172</v>
      </c>
      <c r="M2410">
        <v>1633</v>
      </c>
      <c r="N2410" s="2">
        <f t="shared" si="228"/>
        <v>170.04663808940606</v>
      </c>
      <c r="O2410">
        <v>12</v>
      </c>
    </row>
    <row r="2411" spans="1:15" x14ac:dyDescent="0.25">
      <c r="A2411" t="s">
        <v>46</v>
      </c>
      <c r="B2411" t="s">
        <v>18</v>
      </c>
      <c r="C2411" t="s">
        <v>13</v>
      </c>
      <c r="D2411" t="str">
        <f t="shared" si="224"/>
        <v>FAB6_12/1L Leche Y Pan En Tera</v>
      </c>
      <c r="E2411">
        <v>2022</v>
      </c>
      <c r="F2411">
        <v>12</v>
      </c>
      <c r="G2411">
        <f t="shared" si="225"/>
        <v>3</v>
      </c>
      <c r="H2411" s="1">
        <f t="shared" si="226"/>
        <v>44641</v>
      </c>
      <c r="I2411" s="1">
        <f t="shared" si="227"/>
        <v>44621</v>
      </c>
      <c r="J2411">
        <v>260141.82000000004</v>
      </c>
      <c r="K2411">
        <v>18360</v>
      </c>
      <c r="L2411">
        <f t="shared" si="223"/>
        <v>14.168944444444447</v>
      </c>
      <c r="M2411">
        <v>1530</v>
      </c>
      <c r="N2411" s="2">
        <f t="shared" si="228"/>
        <v>170.02733333333336</v>
      </c>
      <c r="O2411">
        <v>12</v>
      </c>
    </row>
    <row r="2412" spans="1:15" x14ac:dyDescent="0.25">
      <c r="A2412" t="s">
        <v>46</v>
      </c>
      <c r="B2412" t="s">
        <v>18</v>
      </c>
      <c r="C2412" t="s">
        <v>13</v>
      </c>
      <c r="D2412" t="str">
        <f t="shared" si="224"/>
        <v>FAB6_12/1L Leche Y Pan En Tera</v>
      </c>
      <c r="E2412">
        <v>2022</v>
      </c>
      <c r="F2412">
        <v>13</v>
      </c>
      <c r="G2412">
        <f t="shared" si="225"/>
        <v>3</v>
      </c>
      <c r="H2412" s="1">
        <f t="shared" si="226"/>
        <v>44648</v>
      </c>
      <c r="I2412" s="1">
        <f t="shared" si="227"/>
        <v>44621</v>
      </c>
      <c r="J2412">
        <v>322577.88999999996</v>
      </c>
      <c r="K2412">
        <v>22764</v>
      </c>
      <c r="L2412">
        <f t="shared" si="223"/>
        <v>14.170527587418729</v>
      </c>
      <c r="M2412">
        <v>1897</v>
      </c>
      <c r="N2412" s="2">
        <f t="shared" si="228"/>
        <v>170.04633104902476</v>
      </c>
      <c r="O2412">
        <v>12</v>
      </c>
    </row>
    <row r="2413" spans="1:15" x14ac:dyDescent="0.25">
      <c r="A2413" t="s">
        <v>46</v>
      </c>
      <c r="B2413" t="s">
        <v>18</v>
      </c>
      <c r="C2413" t="s">
        <v>13</v>
      </c>
      <c r="D2413" t="str">
        <f t="shared" si="224"/>
        <v>FAB6_12/1L Leche Y Pan En Tera</v>
      </c>
      <c r="E2413">
        <v>2022</v>
      </c>
      <c r="F2413">
        <v>14</v>
      </c>
      <c r="G2413">
        <f t="shared" si="225"/>
        <v>4</v>
      </c>
      <c r="H2413" s="1">
        <f t="shared" si="226"/>
        <v>44655</v>
      </c>
      <c r="I2413" s="1">
        <f t="shared" si="227"/>
        <v>44652</v>
      </c>
      <c r="J2413">
        <v>309394.59000000003</v>
      </c>
      <c r="K2413">
        <v>21840</v>
      </c>
      <c r="L2413">
        <f t="shared" si="223"/>
        <v>14.166418956043957</v>
      </c>
      <c r="M2413">
        <v>1820</v>
      </c>
      <c r="N2413" s="2">
        <f t="shared" si="228"/>
        <v>169.99702747252749</v>
      </c>
      <c r="O2413">
        <v>12</v>
      </c>
    </row>
    <row r="2414" spans="1:15" x14ac:dyDescent="0.25">
      <c r="A2414" t="s">
        <v>46</v>
      </c>
      <c r="B2414" t="s">
        <v>18</v>
      </c>
      <c r="C2414" t="s">
        <v>13</v>
      </c>
      <c r="D2414" t="str">
        <f t="shared" si="224"/>
        <v>FAB6_12/1L Leche Y Pan En Tera</v>
      </c>
      <c r="E2414">
        <v>2022</v>
      </c>
      <c r="F2414">
        <v>15</v>
      </c>
      <c r="G2414">
        <f t="shared" si="225"/>
        <v>4</v>
      </c>
      <c r="H2414" s="1">
        <f t="shared" si="226"/>
        <v>44662</v>
      </c>
      <c r="I2414" s="1">
        <f t="shared" si="227"/>
        <v>44652</v>
      </c>
      <c r="J2414">
        <v>261298.58000000005</v>
      </c>
      <c r="K2414">
        <v>18444</v>
      </c>
      <c r="L2414">
        <f t="shared" si="223"/>
        <v>14.167131858599005</v>
      </c>
      <c r="M2414">
        <v>1537</v>
      </c>
      <c r="N2414" s="2">
        <f t="shared" si="228"/>
        <v>170.00558230318805</v>
      </c>
      <c r="O2414">
        <v>12</v>
      </c>
    </row>
    <row r="2415" spans="1:15" x14ac:dyDescent="0.25">
      <c r="A2415" t="s">
        <v>46</v>
      </c>
      <c r="B2415" t="s">
        <v>18</v>
      </c>
      <c r="C2415" t="s">
        <v>13</v>
      </c>
      <c r="D2415" t="str">
        <f t="shared" si="224"/>
        <v>FAB6_12/1L Leche Y Pan En Tera</v>
      </c>
      <c r="E2415">
        <v>2022</v>
      </c>
      <c r="F2415">
        <v>16</v>
      </c>
      <c r="G2415">
        <f t="shared" si="225"/>
        <v>4</v>
      </c>
      <c r="H2415" s="1">
        <f t="shared" si="226"/>
        <v>44669</v>
      </c>
      <c r="I2415" s="1">
        <f t="shared" si="227"/>
        <v>44652</v>
      </c>
      <c r="J2415">
        <v>287499.93000000005</v>
      </c>
      <c r="K2415">
        <v>20292</v>
      </c>
      <c r="L2415">
        <f t="shared" si="223"/>
        <v>14.168141632170316</v>
      </c>
      <c r="M2415">
        <v>1691</v>
      </c>
      <c r="N2415" s="2">
        <f t="shared" si="228"/>
        <v>170.01769958604379</v>
      </c>
      <c r="O2415">
        <v>12</v>
      </c>
    </row>
    <row r="2416" spans="1:15" x14ac:dyDescent="0.25">
      <c r="A2416" t="s">
        <v>46</v>
      </c>
      <c r="B2416" t="s">
        <v>18</v>
      </c>
      <c r="C2416" t="s">
        <v>13</v>
      </c>
      <c r="D2416" t="str">
        <f t="shared" si="224"/>
        <v>FAB6_12/1L Leche Y Pan En Tera</v>
      </c>
      <c r="E2416">
        <v>2022</v>
      </c>
      <c r="F2416">
        <v>17</v>
      </c>
      <c r="G2416">
        <f t="shared" si="225"/>
        <v>4</v>
      </c>
      <c r="H2416" s="1">
        <f t="shared" si="226"/>
        <v>44676</v>
      </c>
      <c r="I2416" s="1">
        <f t="shared" si="227"/>
        <v>44652</v>
      </c>
      <c r="J2416">
        <v>285631.38</v>
      </c>
      <c r="K2416">
        <v>20160</v>
      </c>
      <c r="L2416">
        <f t="shared" si="223"/>
        <v>14.168223214285714</v>
      </c>
      <c r="M2416">
        <v>1680</v>
      </c>
      <c r="N2416" s="2">
        <f t="shared" si="228"/>
        <v>170.01867857142858</v>
      </c>
      <c r="O2416">
        <v>12</v>
      </c>
    </row>
    <row r="2417" spans="1:15" x14ac:dyDescent="0.25">
      <c r="A2417" t="s">
        <v>46</v>
      </c>
      <c r="B2417" t="s">
        <v>18</v>
      </c>
      <c r="C2417" t="s">
        <v>13</v>
      </c>
      <c r="D2417" t="str">
        <f t="shared" si="224"/>
        <v>FAB6_12/1L Leche Y Pan En Tera</v>
      </c>
      <c r="E2417">
        <v>2022</v>
      </c>
      <c r="F2417">
        <v>18</v>
      </c>
      <c r="G2417">
        <f t="shared" si="225"/>
        <v>5</v>
      </c>
      <c r="H2417" s="1">
        <f t="shared" si="226"/>
        <v>44683</v>
      </c>
      <c r="I2417" s="1">
        <f t="shared" si="227"/>
        <v>44682</v>
      </c>
      <c r="J2417">
        <v>375114.12999999995</v>
      </c>
      <c r="K2417">
        <v>26016</v>
      </c>
      <c r="L2417">
        <f t="shared" si="223"/>
        <v>14.418593557810576</v>
      </c>
      <c r="M2417">
        <v>2168</v>
      </c>
      <c r="N2417" s="2">
        <f t="shared" si="228"/>
        <v>173.02312269372692</v>
      </c>
      <c r="O2417">
        <v>12</v>
      </c>
    </row>
    <row r="2418" spans="1:15" x14ac:dyDescent="0.25">
      <c r="A2418" t="s">
        <v>46</v>
      </c>
      <c r="B2418" t="s">
        <v>18</v>
      </c>
      <c r="C2418" t="s">
        <v>13</v>
      </c>
      <c r="D2418" t="str">
        <f t="shared" si="224"/>
        <v>FAB6_12/1L Leche Y Pan En Tera</v>
      </c>
      <c r="E2418">
        <v>2022</v>
      </c>
      <c r="F2418">
        <v>19</v>
      </c>
      <c r="G2418">
        <f t="shared" si="225"/>
        <v>5</v>
      </c>
      <c r="H2418" s="1">
        <f t="shared" si="226"/>
        <v>44690</v>
      </c>
      <c r="I2418" s="1">
        <f t="shared" si="227"/>
        <v>44682</v>
      </c>
      <c r="J2418">
        <v>253968.99000000008</v>
      </c>
      <c r="K2418">
        <v>16356</v>
      </c>
      <c r="L2418">
        <f t="shared" si="223"/>
        <v>15.527573367571538</v>
      </c>
      <c r="M2418">
        <v>1363</v>
      </c>
      <c r="N2418" s="2">
        <f t="shared" si="228"/>
        <v>186.33088041085847</v>
      </c>
      <c r="O2418">
        <v>12</v>
      </c>
    </row>
    <row r="2419" spans="1:15" x14ac:dyDescent="0.25">
      <c r="A2419" t="s">
        <v>46</v>
      </c>
      <c r="B2419" t="s">
        <v>18</v>
      </c>
      <c r="C2419" t="s">
        <v>13</v>
      </c>
      <c r="D2419" t="str">
        <f t="shared" si="224"/>
        <v>FAB6_12/1L Leche Y Pan En Tera</v>
      </c>
      <c r="E2419">
        <v>2022</v>
      </c>
      <c r="F2419">
        <v>20</v>
      </c>
      <c r="G2419">
        <f t="shared" si="225"/>
        <v>5</v>
      </c>
      <c r="H2419" s="1">
        <f t="shared" si="226"/>
        <v>44697</v>
      </c>
      <c r="I2419" s="1">
        <f t="shared" si="227"/>
        <v>44682</v>
      </c>
      <c r="J2419">
        <v>319887.38</v>
      </c>
      <c r="K2419">
        <v>20604</v>
      </c>
      <c r="L2419">
        <f t="shared" si="223"/>
        <v>15.525498932246165</v>
      </c>
      <c r="M2419">
        <v>1717</v>
      </c>
      <c r="N2419" s="2">
        <f t="shared" si="228"/>
        <v>186.30598718695398</v>
      </c>
      <c r="O2419">
        <v>12</v>
      </c>
    </row>
    <row r="2420" spans="1:15" x14ac:dyDescent="0.25">
      <c r="A2420" t="s">
        <v>46</v>
      </c>
      <c r="B2420" t="s">
        <v>18</v>
      </c>
      <c r="C2420" t="s">
        <v>13</v>
      </c>
      <c r="D2420" t="str">
        <f t="shared" si="224"/>
        <v>FAB6_12/1L Leche Y Pan En Tera</v>
      </c>
      <c r="E2420">
        <v>2022</v>
      </c>
      <c r="F2420">
        <v>21</v>
      </c>
      <c r="G2420">
        <f t="shared" si="225"/>
        <v>5</v>
      </c>
      <c r="H2420" s="1">
        <f t="shared" si="226"/>
        <v>44704</v>
      </c>
      <c r="I2420" s="1">
        <f t="shared" si="227"/>
        <v>44682</v>
      </c>
      <c r="J2420">
        <v>254758.15999999997</v>
      </c>
      <c r="K2420">
        <v>16380</v>
      </c>
      <c r="L2420">
        <f t="shared" si="223"/>
        <v>15.553001221001219</v>
      </c>
      <c r="M2420">
        <v>1365</v>
      </c>
      <c r="N2420" s="2">
        <f t="shared" si="228"/>
        <v>186.63601465201464</v>
      </c>
      <c r="O2420">
        <v>12</v>
      </c>
    </row>
    <row r="2421" spans="1:15" x14ac:dyDescent="0.25">
      <c r="A2421" t="s">
        <v>46</v>
      </c>
      <c r="B2421" t="s">
        <v>18</v>
      </c>
      <c r="C2421" t="s">
        <v>13</v>
      </c>
      <c r="D2421" t="str">
        <f t="shared" si="224"/>
        <v>FAB6_12/1L Leche Y Pan En Tera</v>
      </c>
      <c r="E2421">
        <v>2022</v>
      </c>
      <c r="F2421">
        <v>22</v>
      </c>
      <c r="G2421">
        <f t="shared" si="225"/>
        <v>6</v>
      </c>
      <c r="H2421" s="1">
        <f t="shared" si="226"/>
        <v>44711</v>
      </c>
      <c r="I2421" s="1">
        <f t="shared" si="227"/>
        <v>44713</v>
      </c>
      <c r="J2421">
        <v>338299.01</v>
      </c>
      <c r="K2421">
        <v>21708</v>
      </c>
      <c r="L2421">
        <f t="shared" si="223"/>
        <v>15.584070849456422</v>
      </c>
      <c r="M2421">
        <v>1809</v>
      </c>
      <c r="N2421" s="2">
        <f t="shared" si="228"/>
        <v>187.00885019347706</v>
      </c>
      <c r="O2421">
        <v>12</v>
      </c>
    </row>
    <row r="2422" spans="1:15" x14ac:dyDescent="0.25">
      <c r="A2422" t="s">
        <v>46</v>
      </c>
      <c r="B2422" t="s">
        <v>18</v>
      </c>
      <c r="C2422" t="s">
        <v>13</v>
      </c>
      <c r="D2422" t="str">
        <f t="shared" si="224"/>
        <v>FAB6_12/1L Leche Y Pan En Tera</v>
      </c>
      <c r="E2422">
        <v>2022</v>
      </c>
      <c r="F2422">
        <v>23</v>
      </c>
      <c r="G2422">
        <f t="shared" si="225"/>
        <v>6</v>
      </c>
      <c r="H2422" s="1">
        <f t="shared" si="226"/>
        <v>44718</v>
      </c>
      <c r="I2422" s="1">
        <f t="shared" si="227"/>
        <v>44713</v>
      </c>
      <c r="J2422">
        <v>271474.56999999995</v>
      </c>
      <c r="K2422">
        <v>17304</v>
      </c>
      <c r="L2422">
        <f t="shared" si="223"/>
        <v>15.688544267221449</v>
      </c>
      <c r="M2422">
        <v>1442</v>
      </c>
      <c r="N2422" s="2">
        <f t="shared" si="228"/>
        <v>188.26253120665737</v>
      </c>
      <c r="O2422">
        <v>12</v>
      </c>
    </row>
    <row r="2423" spans="1:15" x14ac:dyDescent="0.25">
      <c r="A2423" t="s">
        <v>46</v>
      </c>
      <c r="B2423" t="s">
        <v>18</v>
      </c>
      <c r="C2423" t="s">
        <v>13</v>
      </c>
      <c r="D2423" t="str">
        <f t="shared" si="224"/>
        <v>FAB6_12/1L Leche Y Pan En Tera</v>
      </c>
      <c r="E2423">
        <v>2022</v>
      </c>
      <c r="F2423">
        <v>24</v>
      </c>
      <c r="G2423">
        <f t="shared" si="225"/>
        <v>6</v>
      </c>
      <c r="H2423" s="1">
        <f t="shared" si="226"/>
        <v>44725</v>
      </c>
      <c r="I2423" s="1">
        <f t="shared" si="227"/>
        <v>44713</v>
      </c>
      <c r="J2423">
        <v>307015.21999999986</v>
      </c>
      <c r="K2423">
        <v>19572</v>
      </c>
      <c r="L2423">
        <f t="shared" si="223"/>
        <v>15.686451052524006</v>
      </c>
      <c r="M2423">
        <v>1631</v>
      </c>
      <c r="N2423" s="2">
        <f t="shared" si="228"/>
        <v>188.23741263028808</v>
      </c>
      <c r="O2423">
        <v>12</v>
      </c>
    </row>
    <row r="2424" spans="1:15" x14ac:dyDescent="0.25">
      <c r="A2424" t="s">
        <v>46</v>
      </c>
      <c r="B2424" t="s">
        <v>18</v>
      </c>
      <c r="C2424" t="s">
        <v>13</v>
      </c>
      <c r="D2424" t="str">
        <f t="shared" si="224"/>
        <v>FAB6_12/1L Leche Y Pan En Tera</v>
      </c>
      <c r="E2424">
        <v>2022</v>
      </c>
      <c r="F2424">
        <v>25</v>
      </c>
      <c r="G2424">
        <f t="shared" si="225"/>
        <v>6</v>
      </c>
      <c r="H2424" s="1">
        <f t="shared" si="226"/>
        <v>44732</v>
      </c>
      <c r="I2424" s="1">
        <f t="shared" si="227"/>
        <v>44713</v>
      </c>
      <c r="J2424">
        <v>268131.47999999992</v>
      </c>
      <c r="K2424">
        <v>17100</v>
      </c>
      <c r="L2424">
        <f t="shared" si="223"/>
        <v>15.680203508771925</v>
      </c>
      <c r="M2424">
        <v>1425</v>
      </c>
      <c r="N2424" s="2">
        <f t="shared" si="228"/>
        <v>188.1624421052631</v>
      </c>
      <c r="O2424">
        <v>12</v>
      </c>
    </row>
    <row r="2425" spans="1:15" x14ac:dyDescent="0.25">
      <c r="A2425" t="s">
        <v>46</v>
      </c>
      <c r="B2425" t="s">
        <v>18</v>
      </c>
      <c r="C2425" t="s">
        <v>13</v>
      </c>
      <c r="D2425" t="str">
        <f t="shared" si="224"/>
        <v>FAB6_12/1L Leche Y Pan En Tera</v>
      </c>
      <c r="E2425">
        <v>2022</v>
      </c>
      <c r="F2425">
        <v>26</v>
      </c>
      <c r="G2425">
        <f t="shared" si="225"/>
        <v>6</v>
      </c>
      <c r="H2425" s="1">
        <f t="shared" si="226"/>
        <v>44739</v>
      </c>
      <c r="I2425" s="1">
        <f t="shared" si="227"/>
        <v>44713</v>
      </c>
      <c r="J2425">
        <v>251654.57999999996</v>
      </c>
      <c r="K2425">
        <v>16044</v>
      </c>
      <c r="L2425">
        <f t="shared" si="223"/>
        <v>15.685276738967836</v>
      </c>
      <c r="M2425">
        <v>1337</v>
      </c>
      <c r="N2425" s="2">
        <f t="shared" si="228"/>
        <v>188.22332086761404</v>
      </c>
      <c r="O2425">
        <v>12</v>
      </c>
    </row>
    <row r="2426" spans="1:15" x14ac:dyDescent="0.25">
      <c r="A2426" t="s">
        <v>46</v>
      </c>
      <c r="B2426" t="s">
        <v>18</v>
      </c>
      <c r="C2426" t="s">
        <v>13</v>
      </c>
      <c r="D2426" t="str">
        <f t="shared" si="224"/>
        <v>FAB6_12/1L Leche Y Pan En Tera</v>
      </c>
      <c r="E2426">
        <v>2022</v>
      </c>
      <c r="F2426">
        <v>27</v>
      </c>
      <c r="G2426">
        <f t="shared" si="225"/>
        <v>7</v>
      </c>
      <c r="H2426" s="1">
        <f t="shared" si="226"/>
        <v>44746</v>
      </c>
      <c r="I2426" s="1">
        <f t="shared" si="227"/>
        <v>44743</v>
      </c>
      <c r="J2426">
        <v>308284.8899999999</v>
      </c>
      <c r="K2426">
        <v>19728</v>
      </c>
      <c r="L2426">
        <f t="shared" si="223"/>
        <v>15.626768552311431</v>
      </c>
      <c r="M2426">
        <v>1644</v>
      </c>
      <c r="N2426" s="2">
        <f t="shared" si="228"/>
        <v>187.52122262773716</v>
      </c>
      <c r="O2426">
        <v>12</v>
      </c>
    </row>
    <row r="2427" spans="1:15" x14ac:dyDescent="0.25">
      <c r="A2427" t="s">
        <v>46</v>
      </c>
      <c r="B2427" t="s">
        <v>18</v>
      </c>
      <c r="C2427" t="s">
        <v>13</v>
      </c>
      <c r="D2427" t="str">
        <f t="shared" si="224"/>
        <v>FAB6_12/1L Leche Y Pan En Tera</v>
      </c>
      <c r="E2427">
        <v>2022</v>
      </c>
      <c r="F2427">
        <v>28</v>
      </c>
      <c r="G2427">
        <f t="shared" si="225"/>
        <v>7</v>
      </c>
      <c r="H2427" s="1">
        <f t="shared" si="226"/>
        <v>44753</v>
      </c>
      <c r="I2427" s="1">
        <f t="shared" si="227"/>
        <v>44743</v>
      </c>
      <c r="J2427">
        <v>244397.91000000006</v>
      </c>
      <c r="K2427">
        <v>15576</v>
      </c>
      <c r="L2427">
        <f t="shared" si="223"/>
        <v>15.690672187981514</v>
      </c>
      <c r="M2427">
        <v>1298</v>
      </c>
      <c r="N2427" s="2">
        <f t="shared" si="228"/>
        <v>188.28806625577818</v>
      </c>
      <c r="O2427">
        <v>12</v>
      </c>
    </row>
    <row r="2428" spans="1:15" x14ac:dyDescent="0.25">
      <c r="A2428" t="s">
        <v>46</v>
      </c>
      <c r="B2428" t="s">
        <v>18</v>
      </c>
      <c r="C2428" t="s">
        <v>13</v>
      </c>
      <c r="D2428" t="str">
        <f t="shared" si="224"/>
        <v>FAB6_12/1L Leche Y Pan En Tera</v>
      </c>
      <c r="E2428">
        <v>2022</v>
      </c>
      <c r="F2428">
        <v>29</v>
      </c>
      <c r="G2428">
        <f t="shared" si="225"/>
        <v>7</v>
      </c>
      <c r="H2428" s="1">
        <f t="shared" si="226"/>
        <v>44760</v>
      </c>
      <c r="I2428" s="1">
        <f t="shared" si="227"/>
        <v>44743</v>
      </c>
      <c r="J2428">
        <v>319391.33999999985</v>
      </c>
      <c r="K2428">
        <v>20376</v>
      </c>
      <c r="L2428">
        <f t="shared" si="223"/>
        <v>15.674879269729086</v>
      </c>
      <c r="M2428">
        <v>1698</v>
      </c>
      <c r="N2428" s="2">
        <f t="shared" si="228"/>
        <v>188.09855123674902</v>
      </c>
      <c r="O2428">
        <v>12</v>
      </c>
    </row>
    <row r="2429" spans="1:15" x14ac:dyDescent="0.25">
      <c r="A2429" t="s">
        <v>46</v>
      </c>
      <c r="B2429" t="s">
        <v>18</v>
      </c>
      <c r="C2429" t="s">
        <v>13</v>
      </c>
      <c r="D2429" t="str">
        <f t="shared" si="224"/>
        <v>FAB6_12/1L Leche Y Pan En Tera</v>
      </c>
      <c r="E2429">
        <v>2022</v>
      </c>
      <c r="F2429">
        <v>30</v>
      </c>
      <c r="G2429">
        <f t="shared" si="225"/>
        <v>7</v>
      </c>
      <c r="H2429" s="1">
        <f t="shared" si="226"/>
        <v>44767</v>
      </c>
      <c r="I2429" s="1">
        <f t="shared" si="227"/>
        <v>44743</v>
      </c>
      <c r="J2429">
        <v>251504.28999999995</v>
      </c>
      <c r="K2429">
        <v>16044</v>
      </c>
      <c r="L2429">
        <f t="shared" si="223"/>
        <v>15.67590937422089</v>
      </c>
      <c r="M2429">
        <v>1337</v>
      </c>
      <c r="N2429" s="2">
        <f t="shared" si="228"/>
        <v>188.11091249065066</v>
      </c>
      <c r="O2429">
        <v>12</v>
      </c>
    </row>
    <row r="2430" spans="1:15" x14ac:dyDescent="0.25">
      <c r="A2430" t="s">
        <v>46</v>
      </c>
      <c r="B2430" t="s">
        <v>18</v>
      </c>
      <c r="C2430" t="s">
        <v>13</v>
      </c>
      <c r="D2430" t="str">
        <f t="shared" si="224"/>
        <v>FAB6_12/1L Leche Y Pan En Tera</v>
      </c>
      <c r="E2430">
        <v>2022</v>
      </c>
      <c r="F2430">
        <v>31</v>
      </c>
      <c r="G2430">
        <f t="shared" si="225"/>
        <v>8</v>
      </c>
      <c r="H2430" s="1">
        <f t="shared" si="226"/>
        <v>44774</v>
      </c>
      <c r="I2430" s="1">
        <f t="shared" si="227"/>
        <v>44774</v>
      </c>
      <c r="J2430">
        <v>361385.65999999986</v>
      </c>
      <c r="K2430">
        <v>23052</v>
      </c>
      <c r="L2430">
        <f t="shared" ref="L2430:L2493" si="229">J2430/(M2430*O2430)</f>
        <v>15.676976401179935</v>
      </c>
      <c r="M2430">
        <v>1921</v>
      </c>
      <c r="N2430" s="2">
        <f t="shared" si="228"/>
        <v>188.12371681415922</v>
      </c>
      <c r="O2430">
        <v>12</v>
      </c>
    </row>
    <row r="2431" spans="1:15" x14ac:dyDescent="0.25">
      <c r="A2431" t="s">
        <v>46</v>
      </c>
      <c r="B2431" t="s">
        <v>18</v>
      </c>
      <c r="C2431" t="s">
        <v>13</v>
      </c>
      <c r="D2431" t="str">
        <f t="shared" si="224"/>
        <v>FAB6_12/1L Leche Y Pan En Tera</v>
      </c>
      <c r="E2431">
        <v>2022</v>
      </c>
      <c r="F2431">
        <v>32</v>
      </c>
      <c r="G2431">
        <f t="shared" si="225"/>
        <v>8</v>
      </c>
      <c r="H2431" s="1">
        <f t="shared" si="226"/>
        <v>44781</v>
      </c>
      <c r="I2431" s="1">
        <f t="shared" si="227"/>
        <v>44774</v>
      </c>
      <c r="J2431">
        <v>314558.90000000002</v>
      </c>
      <c r="K2431">
        <v>20052</v>
      </c>
      <c r="L2431">
        <f t="shared" si="229"/>
        <v>15.687158388190705</v>
      </c>
      <c r="M2431">
        <v>1671</v>
      </c>
      <c r="N2431" s="2">
        <f t="shared" si="228"/>
        <v>188.24590065828846</v>
      </c>
      <c r="O2431">
        <v>12</v>
      </c>
    </row>
    <row r="2432" spans="1:15" x14ac:dyDescent="0.25">
      <c r="A2432" t="s">
        <v>46</v>
      </c>
      <c r="B2432" t="s">
        <v>18</v>
      </c>
      <c r="C2432" t="s">
        <v>13</v>
      </c>
      <c r="D2432" t="str">
        <f t="shared" si="224"/>
        <v>FAB6_12/1L Leche Y Pan En Tera</v>
      </c>
      <c r="E2432">
        <v>2022</v>
      </c>
      <c r="F2432">
        <v>33</v>
      </c>
      <c r="G2432">
        <f t="shared" si="225"/>
        <v>8</v>
      </c>
      <c r="H2432" s="1">
        <f t="shared" si="226"/>
        <v>44788</v>
      </c>
      <c r="I2432" s="1">
        <f t="shared" si="227"/>
        <v>44774</v>
      </c>
      <c r="J2432">
        <v>322132.64999999991</v>
      </c>
      <c r="K2432">
        <v>20532</v>
      </c>
      <c r="L2432">
        <f t="shared" si="229"/>
        <v>15.689297194623023</v>
      </c>
      <c r="M2432">
        <v>1711</v>
      </c>
      <c r="N2432" s="2">
        <f t="shared" si="228"/>
        <v>188.27156633547628</v>
      </c>
      <c r="O2432">
        <v>12</v>
      </c>
    </row>
    <row r="2433" spans="1:15" x14ac:dyDescent="0.25">
      <c r="A2433" t="s">
        <v>46</v>
      </c>
      <c r="B2433" t="s">
        <v>18</v>
      </c>
      <c r="C2433" t="s">
        <v>13</v>
      </c>
      <c r="D2433" t="str">
        <f t="shared" si="224"/>
        <v>FAB6_12/1L Leche Y Pan En Tera</v>
      </c>
      <c r="E2433">
        <v>2022</v>
      </c>
      <c r="F2433">
        <v>34</v>
      </c>
      <c r="G2433">
        <f t="shared" si="225"/>
        <v>8</v>
      </c>
      <c r="H2433" s="1">
        <f t="shared" si="226"/>
        <v>44795</v>
      </c>
      <c r="I2433" s="1">
        <f t="shared" si="227"/>
        <v>44774</v>
      </c>
      <c r="J2433">
        <v>289471.90999999997</v>
      </c>
      <c r="K2433">
        <v>18444</v>
      </c>
      <c r="L2433">
        <f t="shared" si="229"/>
        <v>15.694638364779873</v>
      </c>
      <c r="M2433">
        <v>1537</v>
      </c>
      <c r="N2433" s="2">
        <f t="shared" si="228"/>
        <v>188.33566037735847</v>
      </c>
      <c r="O2433">
        <v>12</v>
      </c>
    </row>
    <row r="2434" spans="1:15" x14ac:dyDescent="0.25">
      <c r="A2434" t="s">
        <v>46</v>
      </c>
      <c r="B2434" t="s">
        <v>18</v>
      </c>
      <c r="C2434" t="s">
        <v>13</v>
      </c>
      <c r="D2434" t="str">
        <f t="shared" si="224"/>
        <v>FAB6_12/1L Leche Y Pan En Tera</v>
      </c>
      <c r="E2434">
        <v>2022</v>
      </c>
      <c r="F2434">
        <v>35</v>
      </c>
      <c r="G2434">
        <f t="shared" si="225"/>
        <v>9</v>
      </c>
      <c r="H2434" s="1">
        <f t="shared" si="226"/>
        <v>44802</v>
      </c>
      <c r="I2434" s="1">
        <f t="shared" si="227"/>
        <v>44805</v>
      </c>
      <c r="J2434">
        <v>350500.69999999984</v>
      </c>
      <c r="K2434">
        <v>22344</v>
      </c>
      <c r="L2434">
        <f t="shared" si="229"/>
        <v>15.686569101324734</v>
      </c>
      <c r="M2434">
        <v>1862</v>
      </c>
      <c r="N2434" s="2">
        <f t="shared" si="228"/>
        <v>188.2388292158968</v>
      </c>
      <c r="O2434">
        <v>12</v>
      </c>
    </row>
    <row r="2435" spans="1:15" x14ac:dyDescent="0.25">
      <c r="A2435" t="s">
        <v>46</v>
      </c>
      <c r="B2435" t="s">
        <v>18</v>
      </c>
      <c r="C2435" t="s">
        <v>13</v>
      </c>
      <c r="D2435" t="str">
        <f t="shared" ref="D2435:D2498" si="230">B2435&amp;"_"&amp;C2435</f>
        <v>FAB6_12/1L Leche Y Pan En Tera</v>
      </c>
      <c r="E2435">
        <v>2022</v>
      </c>
      <c r="F2435">
        <v>36</v>
      </c>
      <c r="G2435">
        <f t="shared" ref="G2435:G2498" si="231">MONTH(DATE(E2435,1,4)+(F2435-1)*7-WEEKDAY(DATE(E2435,1,4),2)+4)</f>
        <v>9</v>
      </c>
      <c r="H2435" s="1">
        <f t="shared" ref="H2435:H2498" si="232">DATE(E2435,1,-2)-WEEKDAY(DATE(E2435,1,3))+F2435*7</f>
        <v>44809</v>
      </c>
      <c r="I2435" s="1">
        <f t="shared" ref="I2435:I2498" si="233">DATE(E2435,G2435,1)</f>
        <v>44805</v>
      </c>
      <c r="J2435">
        <v>337328.37999999995</v>
      </c>
      <c r="K2435">
        <v>21504</v>
      </c>
      <c r="L2435">
        <f t="shared" si="229"/>
        <v>15.686773623511902</v>
      </c>
      <c r="M2435">
        <v>1792</v>
      </c>
      <c r="N2435" s="2">
        <f t="shared" ref="N2435:N2498" si="234">J2435/M2435</f>
        <v>188.24128348214282</v>
      </c>
      <c r="O2435">
        <v>12</v>
      </c>
    </row>
    <row r="2436" spans="1:15" x14ac:dyDescent="0.25">
      <c r="A2436" t="s">
        <v>46</v>
      </c>
      <c r="B2436" t="s">
        <v>18</v>
      </c>
      <c r="C2436" t="s">
        <v>13</v>
      </c>
      <c r="D2436" t="str">
        <f t="shared" si="230"/>
        <v>FAB6_12/1L Leche Y Pan En Tera</v>
      </c>
      <c r="E2436">
        <v>2022</v>
      </c>
      <c r="F2436">
        <v>37</v>
      </c>
      <c r="G2436">
        <f t="shared" si="231"/>
        <v>9</v>
      </c>
      <c r="H2436" s="1">
        <f t="shared" si="232"/>
        <v>44816</v>
      </c>
      <c r="I2436" s="1">
        <f t="shared" si="233"/>
        <v>44805</v>
      </c>
      <c r="J2436">
        <v>335050.82999999996</v>
      </c>
      <c r="K2436">
        <v>21420</v>
      </c>
      <c r="L2436">
        <f t="shared" si="229"/>
        <v>15.641962184873947</v>
      </c>
      <c r="M2436">
        <v>1785</v>
      </c>
      <c r="N2436" s="2">
        <f t="shared" si="234"/>
        <v>187.70354621848736</v>
      </c>
      <c r="O2436">
        <v>12</v>
      </c>
    </row>
    <row r="2437" spans="1:15" x14ac:dyDescent="0.25">
      <c r="A2437" t="s">
        <v>46</v>
      </c>
      <c r="B2437" t="s">
        <v>18</v>
      </c>
      <c r="C2437" t="s">
        <v>13</v>
      </c>
      <c r="D2437" t="str">
        <f t="shared" si="230"/>
        <v>FAB6_12/1L Leche Y Pan En Tera</v>
      </c>
      <c r="E2437">
        <v>2022</v>
      </c>
      <c r="F2437">
        <v>38</v>
      </c>
      <c r="G2437">
        <f t="shared" si="231"/>
        <v>9</v>
      </c>
      <c r="H2437" s="1">
        <f t="shared" si="232"/>
        <v>44823</v>
      </c>
      <c r="I2437" s="1">
        <f t="shared" si="233"/>
        <v>44805</v>
      </c>
      <c r="J2437">
        <v>327216.47000000015</v>
      </c>
      <c r="K2437">
        <v>20856</v>
      </c>
      <c r="L2437">
        <f t="shared" si="229"/>
        <v>15.689320579209827</v>
      </c>
      <c r="M2437">
        <v>1738</v>
      </c>
      <c r="N2437" s="2">
        <f t="shared" si="234"/>
        <v>188.27184695051793</v>
      </c>
      <c r="O2437">
        <v>12</v>
      </c>
    </row>
    <row r="2438" spans="1:15" x14ac:dyDescent="0.25">
      <c r="A2438" t="s">
        <v>46</v>
      </c>
      <c r="B2438" t="s">
        <v>18</v>
      </c>
      <c r="C2438" t="s">
        <v>13</v>
      </c>
      <c r="D2438" t="str">
        <f t="shared" si="230"/>
        <v>FAB6_12/1L Leche Y Pan En Tera</v>
      </c>
      <c r="E2438">
        <v>2022</v>
      </c>
      <c r="F2438">
        <v>39</v>
      </c>
      <c r="G2438">
        <f t="shared" si="231"/>
        <v>9</v>
      </c>
      <c r="H2438" s="1">
        <f t="shared" si="232"/>
        <v>44830</v>
      </c>
      <c r="I2438" s="1">
        <f t="shared" si="233"/>
        <v>44805</v>
      </c>
      <c r="J2438">
        <v>317382.51999999973</v>
      </c>
      <c r="K2438">
        <v>20232</v>
      </c>
      <c r="L2438">
        <f t="shared" si="229"/>
        <v>15.687155001977052</v>
      </c>
      <c r="M2438">
        <v>1686</v>
      </c>
      <c r="N2438" s="2">
        <f t="shared" si="234"/>
        <v>188.24586002372462</v>
      </c>
      <c r="O2438">
        <v>12</v>
      </c>
    </row>
    <row r="2439" spans="1:15" x14ac:dyDescent="0.25">
      <c r="A2439" t="s">
        <v>46</v>
      </c>
      <c r="B2439" t="s">
        <v>18</v>
      </c>
      <c r="C2439" t="s">
        <v>13</v>
      </c>
      <c r="D2439" t="str">
        <f t="shared" si="230"/>
        <v>FAB6_12/1L Leche Y Pan En Tera</v>
      </c>
      <c r="E2439">
        <v>2022</v>
      </c>
      <c r="F2439">
        <v>40</v>
      </c>
      <c r="G2439">
        <f t="shared" si="231"/>
        <v>10</v>
      </c>
      <c r="H2439" s="1">
        <f t="shared" si="232"/>
        <v>44837</v>
      </c>
      <c r="I2439" s="1">
        <f t="shared" si="233"/>
        <v>44835</v>
      </c>
      <c r="J2439">
        <v>354313.82999999996</v>
      </c>
      <c r="K2439">
        <v>22596</v>
      </c>
      <c r="L2439">
        <f t="shared" si="229"/>
        <v>15.680378385554963</v>
      </c>
      <c r="M2439">
        <v>1883</v>
      </c>
      <c r="N2439" s="2">
        <f t="shared" si="234"/>
        <v>188.16454062665957</v>
      </c>
      <c r="O2439">
        <v>12</v>
      </c>
    </row>
    <row r="2440" spans="1:15" x14ac:dyDescent="0.25">
      <c r="A2440" t="s">
        <v>46</v>
      </c>
      <c r="B2440" t="s">
        <v>18</v>
      </c>
      <c r="C2440" t="s">
        <v>13</v>
      </c>
      <c r="D2440" t="str">
        <f t="shared" si="230"/>
        <v>FAB6_12/1L Leche Y Pan En Tera</v>
      </c>
      <c r="E2440">
        <v>2022</v>
      </c>
      <c r="F2440">
        <v>41</v>
      </c>
      <c r="G2440">
        <f t="shared" si="231"/>
        <v>10</v>
      </c>
      <c r="H2440" s="1">
        <f t="shared" si="232"/>
        <v>44844</v>
      </c>
      <c r="I2440" s="1">
        <f t="shared" si="233"/>
        <v>44835</v>
      </c>
      <c r="J2440">
        <v>306053.27999999997</v>
      </c>
      <c r="K2440">
        <v>19524</v>
      </c>
      <c r="L2440">
        <f t="shared" si="229"/>
        <v>15.675746773202212</v>
      </c>
      <c r="M2440">
        <v>1627</v>
      </c>
      <c r="N2440" s="2">
        <f t="shared" si="234"/>
        <v>188.10896127842653</v>
      </c>
      <c r="O2440">
        <v>12</v>
      </c>
    </row>
    <row r="2441" spans="1:15" x14ac:dyDescent="0.25">
      <c r="A2441" t="s">
        <v>46</v>
      </c>
      <c r="B2441" t="s">
        <v>18</v>
      </c>
      <c r="C2441" t="s">
        <v>13</v>
      </c>
      <c r="D2441" t="str">
        <f t="shared" si="230"/>
        <v>FAB6_12/1L Leche Y Pan En Tera</v>
      </c>
      <c r="E2441">
        <v>2022</v>
      </c>
      <c r="F2441">
        <v>42</v>
      </c>
      <c r="G2441">
        <f t="shared" si="231"/>
        <v>10</v>
      </c>
      <c r="H2441" s="1">
        <f t="shared" si="232"/>
        <v>44851</v>
      </c>
      <c r="I2441" s="1">
        <f t="shared" si="233"/>
        <v>44835</v>
      </c>
      <c r="J2441">
        <v>356383.07000000012</v>
      </c>
      <c r="K2441">
        <v>22716</v>
      </c>
      <c r="L2441">
        <f t="shared" si="229"/>
        <v>15.688636643775318</v>
      </c>
      <c r="M2441">
        <v>1893</v>
      </c>
      <c r="N2441" s="2">
        <f t="shared" si="234"/>
        <v>188.26363972530382</v>
      </c>
      <c r="O2441">
        <v>12</v>
      </c>
    </row>
    <row r="2442" spans="1:15" x14ac:dyDescent="0.25">
      <c r="A2442" t="s">
        <v>46</v>
      </c>
      <c r="B2442" t="s">
        <v>18</v>
      </c>
      <c r="C2442" t="s">
        <v>13</v>
      </c>
      <c r="D2442" t="str">
        <f t="shared" si="230"/>
        <v>FAB6_12/1L Leche Y Pan En Tera</v>
      </c>
      <c r="E2442">
        <v>2022</v>
      </c>
      <c r="F2442">
        <v>43</v>
      </c>
      <c r="G2442">
        <f t="shared" si="231"/>
        <v>10</v>
      </c>
      <c r="H2442" s="1">
        <f t="shared" si="232"/>
        <v>44858</v>
      </c>
      <c r="I2442" s="1">
        <f t="shared" si="233"/>
        <v>44835</v>
      </c>
      <c r="J2442">
        <v>278660.7699999999</v>
      </c>
      <c r="K2442">
        <v>17760</v>
      </c>
      <c r="L2442">
        <f t="shared" si="229"/>
        <v>15.690358671171166</v>
      </c>
      <c r="M2442">
        <v>1480</v>
      </c>
      <c r="N2442" s="2">
        <f t="shared" si="234"/>
        <v>188.28430405405399</v>
      </c>
      <c r="O2442">
        <v>12</v>
      </c>
    </row>
    <row r="2443" spans="1:15" x14ac:dyDescent="0.25">
      <c r="A2443" t="s">
        <v>46</v>
      </c>
      <c r="B2443" t="s">
        <v>18</v>
      </c>
      <c r="C2443" t="s">
        <v>13</v>
      </c>
      <c r="D2443" t="str">
        <f t="shared" si="230"/>
        <v>FAB6_12/1L Leche Y Pan En Tera</v>
      </c>
      <c r="E2443">
        <v>2022</v>
      </c>
      <c r="F2443">
        <v>44</v>
      </c>
      <c r="G2443">
        <f t="shared" si="231"/>
        <v>11</v>
      </c>
      <c r="H2443" s="1">
        <f t="shared" si="232"/>
        <v>44865</v>
      </c>
      <c r="I2443" s="1">
        <f t="shared" si="233"/>
        <v>44866</v>
      </c>
      <c r="J2443">
        <v>355035.25000000017</v>
      </c>
      <c r="K2443">
        <v>22632</v>
      </c>
      <c r="L2443">
        <f t="shared" si="229"/>
        <v>15.68731221279605</v>
      </c>
      <c r="M2443">
        <v>1886</v>
      </c>
      <c r="N2443" s="2">
        <f t="shared" si="234"/>
        <v>188.24774655355259</v>
      </c>
      <c r="O2443">
        <v>12</v>
      </c>
    </row>
    <row r="2444" spans="1:15" x14ac:dyDescent="0.25">
      <c r="A2444" t="s">
        <v>46</v>
      </c>
      <c r="B2444" t="s">
        <v>18</v>
      </c>
      <c r="C2444" t="s">
        <v>13</v>
      </c>
      <c r="D2444" t="str">
        <f t="shared" si="230"/>
        <v>FAB6_12/1L Leche Y Pan En Tera</v>
      </c>
      <c r="E2444">
        <v>2022</v>
      </c>
      <c r="F2444">
        <v>45</v>
      </c>
      <c r="G2444">
        <f t="shared" si="231"/>
        <v>11</v>
      </c>
      <c r="H2444" s="1">
        <f t="shared" si="232"/>
        <v>44872</v>
      </c>
      <c r="I2444" s="1">
        <f t="shared" si="233"/>
        <v>44866</v>
      </c>
      <c r="J2444">
        <v>323939.24000000005</v>
      </c>
      <c r="K2444">
        <v>20652</v>
      </c>
      <c r="L2444">
        <f t="shared" si="229"/>
        <v>15.68561107883014</v>
      </c>
      <c r="M2444">
        <v>1721</v>
      </c>
      <c r="N2444" s="2">
        <f t="shared" si="234"/>
        <v>188.22733294596168</v>
      </c>
      <c r="O2444">
        <v>12</v>
      </c>
    </row>
    <row r="2445" spans="1:15" x14ac:dyDescent="0.25">
      <c r="A2445" t="s">
        <v>46</v>
      </c>
      <c r="B2445" t="s">
        <v>18</v>
      </c>
      <c r="C2445" t="s">
        <v>13</v>
      </c>
      <c r="D2445" t="str">
        <f t="shared" si="230"/>
        <v>FAB6_12/1L Leche Y Pan En Tera</v>
      </c>
      <c r="E2445">
        <v>2022</v>
      </c>
      <c r="F2445">
        <v>46</v>
      </c>
      <c r="G2445">
        <f t="shared" si="231"/>
        <v>11</v>
      </c>
      <c r="H2445" s="1">
        <f t="shared" si="232"/>
        <v>44879</v>
      </c>
      <c r="I2445" s="1">
        <f t="shared" si="233"/>
        <v>44866</v>
      </c>
      <c r="J2445">
        <v>410736.89999999973</v>
      </c>
      <c r="K2445">
        <v>26184</v>
      </c>
      <c r="L2445">
        <f t="shared" si="229"/>
        <v>15.686560494958742</v>
      </c>
      <c r="M2445">
        <v>2182</v>
      </c>
      <c r="N2445" s="2">
        <f t="shared" si="234"/>
        <v>188.23872593950492</v>
      </c>
      <c r="O2445">
        <v>12</v>
      </c>
    </row>
    <row r="2446" spans="1:15" x14ac:dyDescent="0.25">
      <c r="A2446" t="s">
        <v>46</v>
      </c>
      <c r="B2446" t="s">
        <v>18</v>
      </c>
      <c r="C2446" t="s">
        <v>13</v>
      </c>
      <c r="D2446" t="str">
        <f t="shared" si="230"/>
        <v>FAB6_12/1L Leche Y Pan En Tera</v>
      </c>
      <c r="E2446">
        <v>2022</v>
      </c>
      <c r="F2446">
        <v>47</v>
      </c>
      <c r="G2446">
        <f t="shared" si="231"/>
        <v>11</v>
      </c>
      <c r="H2446" s="1">
        <f t="shared" si="232"/>
        <v>44886</v>
      </c>
      <c r="I2446" s="1">
        <f t="shared" si="233"/>
        <v>44866</v>
      </c>
      <c r="J2446">
        <v>350864.85000000003</v>
      </c>
      <c r="K2446">
        <v>22368</v>
      </c>
      <c r="L2446">
        <f t="shared" si="229"/>
        <v>15.686017972103006</v>
      </c>
      <c r="M2446">
        <v>1864</v>
      </c>
      <c r="N2446" s="2">
        <f t="shared" si="234"/>
        <v>188.23221566523608</v>
      </c>
      <c r="O2446">
        <v>12</v>
      </c>
    </row>
    <row r="2447" spans="1:15" x14ac:dyDescent="0.25">
      <c r="A2447" t="s">
        <v>46</v>
      </c>
      <c r="B2447" t="s">
        <v>18</v>
      </c>
      <c r="C2447" t="s">
        <v>13</v>
      </c>
      <c r="D2447" t="str">
        <f t="shared" si="230"/>
        <v>FAB6_12/1L Leche Y Pan En Tera</v>
      </c>
      <c r="E2447">
        <v>2022</v>
      </c>
      <c r="F2447">
        <v>48</v>
      </c>
      <c r="G2447">
        <f t="shared" si="231"/>
        <v>12</v>
      </c>
      <c r="H2447" s="1">
        <f t="shared" si="232"/>
        <v>44893</v>
      </c>
      <c r="I2447" s="1">
        <f t="shared" si="233"/>
        <v>44896</v>
      </c>
      <c r="J2447">
        <v>254687.91999999995</v>
      </c>
      <c r="K2447">
        <v>16236</v>
      </c>
      <c r="L2447">
        <f t="shared" si="229"/>
        <v>15.686617393446658</v>
      </c>
      <c r="M2447">
        <v>1353</v>
      </c>
      <c r="N2447" s="2">
        <f t="shared" si="234"/>
        <v>188.23940872135989</v>
      </c>
      <c r="O2447">
        <v>12</v>
      </c>
    </row>
    <row r="2448" spans="1:15" x14ac:dyDescent="0.25">
      <c r="A2448" t="s">
        <v>46</v>
      </c>
      <c r="B2448" t="s">
        <v>18</v>
      </c>
      <c r="C2448" t="s">
        <v>13</v>
      </c>
      <c r="D2448" t="str">
        <f t="shared" si="230"/>
        <v>FAB6_12/1L Leche Y Pan En Tera</v>
      </c>
      <c r="E2448">
        <v>2022</v>
      </c>
      <c r="F2448">
        <v>49</v>
      </c>
      <c r="G2448">
        <f t="shared" si="231"/>
        <v>12</v>
      </c>
      <c r="H2448" s="1">
        <f t="shared" si="232"/>
        <v>44900</v>
      </c>
      <c r="I2448" s="1">
        <f t="shared" si="233"/>
        <v>44896</v>
      </c>
      <c r="J2448">
        <v>333906.15999999992</v>
      </c>
      <c r="K2448">
        <v>21288</v>
      </c>
      <c r="L2448">
        <f t="shared" si="229"/>
        <v>15.6851822623074</v>
      </c>
      <c r="M2448">
        <v>1774</v>
      </c>
      <c r="N2448" s="2">
        <f t="shared" si="234"/>
        <v>188.2221871476888</v>
      </c>
      <c r="O2448">
        <v>12</v>
      </c>
    </row>
    <row r="2449" spans="1:15" x14ac:dyDescent="0.25">
      <c r="A2449" t="s">
        <v>46</v>
      </c>
      <c r="B2449" t="s">
        <v>18</v>
      </c>
      <c r="C2449" t="s">
        <v>13</v>
      </c>
      <c r="D2449" t="str">
        <f t="shared" si="230"/>
        <v>FAB6_12/1L Leche Y Pan En Tera</v>
      </c>
      <c r="E2449">
        <v>2022</v>
      </c>
      <c r="F2449">
        <v>50</v>
      </c>
      <c r="G2449">
        <f t="shared" si="231"/>
        <v>12</v>
      </c>
      <c r="H2449" s="1">
        <f t="shared" si="232"/>
        <v>44907</v>
      </c>
      <c r="I2449" s="1">
        <f t="shared" si="233"/>
        <v>44896</v>
      </c>
      <c r="J2449">
        <v>342805.96999999986</v>
      </c>
      <c r="K2449">
        <v>21852</v>
      </c>
      <c r="L2449">
        <f t="shared" si="229"/>
        <v>15.687624473732376</v>
      </c>
      <c r="M2449">
        <v>1821</v>
      </c>
      <c r="N2449" s="2">
        <f t="shared" si="234"/>
        <v>188.2514936847885</v>
      </c>
      <c r="O2449">
        <v>12</v>
      </c>
    </row>
    <row r="2450" spans="1:15" x14ac:dyDescent="0.25">
      <c r="A2450" t="s">
        <v>46</v>
      </c>
      <c r="B2450" t="s">
        <v>18</v>
      </c>
      <c r="C2450" t="s">
        <v>13</v>
      </c>
      <c r="D2450" t="str">
        <f t="shared" si="230"/>
        <v>FAB6_12/1L Leche Y Pan En Tera</v>
      </c>
      <c r="E2450">
        <v>2022</v>
      </c>
      <c r="F2450">
        <v>51</v>
      </c>
      <c r="G2450">
        <f t="shared" si="231"/>
        <v>12</v>
      </c>
      <c r="H2450" s="1">
        <f t="shared" si="232"/>
        <v>44914</v>
      </c>
      <c r="I2450" s="1">
        <f t="shared" si="233"/>
        <v>44896</v>
      </c>
      <c r="J2450">
        <v>357302.5299999998</v>
      </c>
      <c r="K2450">
        <v>22776</v>
      </c>
      <c r="L2450">
        <f t="shared" si="229"/>
        <v>15.68767694063926</v>
      </c>
      <c r="M2450">
        <v>1898</v>
      </c>
      <c r="N2450" s="2">
        <f t="shared" si="234"/>
        <v>188.25212328767111</v>
      </c>
      <c r="O2450">
        <v>12</v>
      </c>
    </row>
    <row r="2451" spans="1:15" x14ac:dyDescent="0.25">
      <c r="A2451" t="s">
        <v>46</v>
      </c>
      <c r="B2451" t="s">
        <v>18</v>
      </c>
      <c r="C2451" t="s">
        <v>13</v>
      </c>
      <c r="D2451" t="str">
        <f t="shared" si="230"/>
        <v>FAB6_12/1L Leche Y Pan En Tera</v>
      </c>
      <c r="E2451">
        <v>2022</v>
      </c>
      <c r="F2451">
        <v>52</v>
      </c>
      <c r="G2451">
        <f t="shared" si="231"/>
        <v>12</v>
      </c>
      <c r="H2451" s="1">
        <f t="shared" si="232"/>
        <v>44921</v>
      </c>
      <c r="I2451" s="1">
        <f t="shared" si="233"/>
        <v>44896</v>
      </c>
      <c r="J2451">
        <v>328770.35999999987</v>
      </c>
      <c r="K2451">
        <v>20964</v>
      </c>
      <c r="L2451">
        <f t="shared" si="229"/>
        <v>15.682615912993697</v>
      </c>
      <c r="M2451">
        <v>1747</v>
      </c>
      <c r="N2451" s="2">
        <f t="shared" si="234"/>
        <v>188.19139095592436</v>
      </c>
      <c r="O2451">
        <v>12</v>
      </c>
    </row>
    <row r="2452" spans="1:15" x14ac:dyDescent="0.25">
      <c r="A2452" t="s">
        <v>46</v>
      </c>
      <c r="B2452" t="s">
        <v>18</v>
      </c>
      <c r="C2452" t="s">
        <v>13</v>
      </c>
      <c r="D2452" t="str">
        <f t="shared" si="230"/>
        <v>FAB6_12/1L Leche Y Pan En Tera</v>
      </c>
      <c r="E2452">
        <v>2023</v>
      </c>
      <c r="F2452">
        <v>1</v>
      </c>
      <c r="G2452">
        <f t="shared" si="231"/>
        <v>1</v>
      </c>
      <c r="H2452" s="1">
        <f t="shared" si="232"/>
        <v>44928</v>
      </c>
      <c r="I2452" s="1">
        <f t="shared" si="233"/>
        <v>44927</v>
      </c>
      <c r="J2452">
        <v>406322.67</v>
      </c>
      <c r="K2452">
        <v>25896</v>
      </c>
      <c r="L2452">
        <f t="shared" si="229"/>
        <v>15.690557228915662</v>
      </c>
      <c r="M2452">
        <v>2158</v>
      </c>
      <c r="N2452" s="2">
        <f t="shared" si="234"/>
        <v>188.28668674698795</v>
      </c>
      <c r="O2452">
        <v>12</v>
      </c>
    </row>
    <row r="2453" spans="1:15" x14ac:dyDescent="0.25">
      <c r="A2453" t="s">
        <v>46</v>
      </c>
      <c r="B2453" t="s">
        <v>18</v>
      </c>
      <c r="C2453" t="s">
        <v>13</v>
      </c>
      <c r="D2453" t="str">
        <f t="shared" si="230"/>
        <v>FAB6_12/1L Leche Y Pan En Tera</v>
      </c>
      <c r="E2453">
        <v>2023</v>
      </c>
      <c r="F2453">
        <v>2</v>
      </c>
      <c r="G2453">
        <f t="shared" si="231"/>
        <v>1</v>
      </c>
      <c r="H2453" s="1">
        <f t="shared" si="232"/>
        <v>44935</v>
      </c>
      <c r="I2453" s="1">
        <f t="shared" si="233"/>
        <v>44927</v>
      </c>
      <c r="J2453">
        <v>288767.88999999984</v>
      </c>
      <c r="K2453">
        <v>18408</v>
      </c>
      <c r="L2453">
        <f t="shared" si="229"/>
        <v>15.687086592785736</v>
      </c>
      <c r="M2453">
        <v>1534</v>
      </c>
      <c r="N2453" s="2">
        <f t="shared" si="234"/>
        <v>188.24503911342885</v>
      </c>
      <c r="O2453">
        <v>12</v>
      </c>
    </row>
    <row r="2454" spans="1:15" x14ac:dyDescent="0.25">
      <c r="A2454" t="s">
        <v>46</v>
      </c>
      <c r="B2454" t="s">
        <v>18</v>
      </c>
      <c r="C2454" t="s">
        <v>13</v>
      </c>
      <c r="D2454" t="str">
        <f t="shared" si="230"/>
        <v>FAB6_12/1L Leche Y Pan En Tera</v>
      </c>
      <c r="E2454">
        <v>2023</v>
      </c>
      <c r="F2454">
        <v>3</v>
      </c>
      <c r="G2454">
        <f t="shared" si="231"/>
        <v>1</v>
      </c>
      <c r="H2454" s="1">
        <f t="shared" si="232"/>
        <v>44942</v>
      </c>
      <c r="I2454" s="1">
        <f t="shared" si="233"/>
        <v>44927</v>
      </c>
      <c r="J2454">
        <v>346596.44000000006</v>
      </c>
      <c r="K2454">
        <v>22092</v>
      </c>
      <c r="L2454">
        <f t="shared" si="229"/>
        <v>15.688776027521277</v>
      </c>
      <c r="M2454">
        <v>1841</v>
      </c>
      <c r="N2454" s="2">
        <f t="shared" si="234"/>
        <v>188.26531233025534</v>
      </c>
      <c r="O2454">
        <v>12</v>
      </c>
    </row>
    <row r="2455" spans="1:15" x14ac:dyDescent="0.25">
      <c r="A2455" t="s">
        <v>46</v>
      </c>
      <c r="B2455" t="s">
        <v>18</v>
      </c>
      <c r="C2455" t="s">
        <v>13</v>
      </c>
      <c r="D2455" t="str">
        <f t="shared" si="230"/>
        <v>FAB6_12/1L Leche Y Pan En Tera</v>
      </c>
      <c r="E2455">
        <v>2023</v>
      </c>
      <c r="F2455">
        <v>4</v>
      </c>
      <c r="G2455">
        <f t="shared" si="231"/>
        <v>1</v>
      </c>
      <c r="H2455" s="1">
        <f t="shared" si="232"/>
        <v>44949</v>
      </c>
      <c r="I2455" s="1">
        <f t="shared" si="233"/>
        <v>44927</v>
      </c>
      <c r="J2455">
        <v>313302.34000000008</v>
      </c>
      <c r="K2455">
        <v>19968</v>
      </c>
      <c r="L2455">
        <f t="shared" si="229"/>
        <v>15.69022135416667</v>
      </c>
      <c r="M2455">
        <v>1664</v>
      </c>
      <c r="N2455" s="2">
        <f t="shared" si="234"/>
        <v>188.28265625000006</v>
      </c>
      <c r="O2455">
        <v>12</v>
      </c>
    </row>
    <row r="2456" spans="1:15" x14ac:dyDescent="0.25">
      <c r="A2456" t="s">
        <v>46</v>
      </c>
      <c r="B2456" t="s">
        <v>18</v>
      </c>
      <c r="C2456" t="s">
        <v>13</v>
      </c>
      <c r="D2456" t="str">
        <f t="shared" si="230"/>
        <v>FAB6_12/1L Leche Y Pan En Tera</v>
      </c>
      <c r="E2456">
        <v>2023</v>
      </c>
      <c r="F2456">
        <v>5</v>
      </c>
      <c r="G2456">
        <f t="shared" si="231"/>
        <v>2</v>
      </c>
      <c r="H2456" s="1">
        <f t="shared" si="232"/>
        <v>44956</v>
      </c>
      <c r="I2456" s="1">
        <f t="shared" si="233"/>
        <v>44958</v>
      </c>
      <c r="J2456">
        <v>402504.50000000006</v>
      </c>
      <c r="K2456">
        <v>25656</v>
      </c>
      <c r="L2456">
        <f t="shared" si="229"/>
        <v>15.688513408169632</v>
      </c>
      <c r="M2456">
        <v>2138</v>
      </c>
      <c r="N2456" s="2">
        <f t="shared" si="234"/>
        <v>188.26216089803557</v>
      </c>
      <c r="O2456">
        <v>12</v>
      </c>
    </row>
    <row r="2457" spans="1:15" x14ac:dyDescent="0.25">
      <c r="A2457" t="s">
        <v>46</v>
      </c>
      <c r="B2457" t="s">
        <v>18</v>
      </c>
      <c r="C2457" t="s">
        <v>13</v>
      </c>
      <c r="D2457" t="str">
        <f t="shared" si="230"/>
        <v>FAB6_12/1L Leche Y Pan En Tera</v>
      </c>
      <c r="E2457">
        <v>2023</v>
      </c>
      <c r="F2457">
        <v>6</v>
      </c>
      <c r="G2457">
        <f t="shared" si="231"/>
        <v>2</v>
      </c>
      <c r="H2457" s="1">
        <f t="shared" si="232"/>
        <v>44963</v>
      </c>
      <c r="I2457" s="1">
        <f t="shared" si="233"/>
        <v>44958</v>
      </c>
      <c r="J2457">
        <v>320382.31999999995</v>
      </c>
      <c r="K2457">
        <v>20508</v>
      </c>
      <c r="L2457">
        <f t="shared" si="229"/>
        <v>15.62230934269553</v>
      </c>
      <c r="M2457">
        <v>1709</v>
      </c>
      <c r="N2457" s="2">
        <f t="shared" si="234"/>
        <v>187.46771211234636</v>
      </c>
      <c r="O2457">
        <v>12</v>
      </c>
    </row>
    <row r="2458" spans="1:15" x14ac:dyDescent="0.25">
      <c r="A2458" t="s">
        <v>46</v>
      </c>
      <c r="B2458" t="s">
        <v>18</v>
      </c>
      <c r="C2458" t="s">
        <v>13</v>
      </c>
      <c r="D2458" t="str">
        <f t="shared" si="230"/>
        <v>FAB6_12/1L Leche Y Pan En Tera</v>
      </c>
      <c r="E2458">
        <v>2023</v>
      </c>
      <c r="F2458">
        <v>7</v>
      </c>
      <c r="G2458">
        <f t="shared" si="231"/>
        <v>2</v>
      </c>
      <c r="H2458" s="1">
        <f t="shared" si="232"/>
        <v>44970</v>
      </c>
      <c r="I2458" s="1">
        <f t="shared" si="233"/>
        <v>44958</v>
      </c>
      <c r="J2458">
        <v>369905.84999999986</v>
      </c>
      <c r="K2458">
        <v>23592</v>
      </c>
      <c r="L2458">
        <f t="shared" si="229"/>
        <v>15.67929170905391</v>
      </c>
      <c r="M2458">
        <v>1966</v>
      </c>
      <c r="N2458" s="2">
        <f t="shared" si="234"/>
        <v>188.15150050864693</v>
      </c>
      <c r="O2458">
        <v>12</v>
      </c>
    </row>
    <row r="2459" spans="1:15" x14ac:dyDescent="0.25">
      <c r="A2459" t="s">
        <v>46</v>
      </c>
      <c r="B2459" t="s">
        <v>18</v>
      </c>
      <c r="C2459" t="s">
        <v>13</v>
      </c>
      <c r="D2459" t="str">
        <f t="shared" si="230"/>
        <v>FAB6_12/1L Leche Y Pan En Tera</v>
      </c>
      <c r="E2459">
        <v>2023</v>
      </c>
      <c r="F2459">
        <v>8</v>
      </c>
      <c r="G2459">
        <f t="shared" si="231"/>
        <v>2</v>
      </c>
      <c r="H2459" s="1">
        <f t="shared" si="232"/>
        <v>44977</v>
      </c>
      <c r="I2459" s="1">
        <f t="shared" si="233"/>
        <v>44958</v>
      </c>
      <c r="J2459">
        <v>276170.79999999993</v>
      </c>
      <c r="K2459">
        <v>17604</v>
      </c>
      <c r="L2459">
        <f t="shared" si="229"/>
        <v>15.687957282435805</v>
      </c>
      <c r="M2459">
        <v>1467</v>
      </c>
      <c r="N2459" s="2">
        <f t="shared" si="234"/>
        <v>188.25548738922967</v>
      </c>
      <c r="O2459">
        <v>12</v>
      </c>
    </row>
    <row r="2460" spans="1:15" x14ac:dyDescent="0.25">
      <c r="A2460" t="s">
        <v>46</v>
      </c>
      <c r="B2460" t="s">
        <v>18</v>
      </c>
      <c r="C2460" t="s">
        <v>13</v>
      </c>
      <c r="D2460" t="str">
        <f t="shared" si="230"/>
        <v>FAB6_12/1L Leche Y Pan En Tera</v>
      </c>
      <c r="E2460">
        <v>2023</v>
      </c>
      <c r="F2460">
        <v>9</v>
      </c>
      <c r="G2460">
        <f t="shared" si="231"/>
        <v>3</v>
      </c>
      <c r="H2460" s="1">
        <f t="shared" si="232"/>
        <v>44984</v>
      </c>
      <c r="I2460" s="1">
        <f t="shared" si="233"/>
        <v>44986</v>
      </c>
      <c r="J2460">
        <v>400490.41000000021</v>
      </c>
      <c r="K2460">
        <v>25524</v>
      </c>
      <c r="L2460">
        <f t="shared" si="229"/>
        <v>15.690738520608063</v>
      </c>
      <c r="M2460">
        <v>2127</v>
      </c>
      <c r="N2460" s="2">
        <f t="shared" si="234"/>
        <v>188.28886224729675</v>
      </c>
      <c r="O2460">
        <v>12</v>
      </c>
    </row>
    <row r="2461" spans="1:15" x14ac:dyDescent="0.25">
      <c r="A2461" t="s">
        <v>46</v>
      </c>
      <c r="B2461" t="s">
        <v>18</v>
      </c>
      <c r="C2461" t="s">
        <v>13</v>
      </c>
      <c r="D2461" t="str">
        <f t="shared" si="230"/>
        <v>FAB6_12/1L Leche Y Pan En Tera</v>
      </c>
      <c r="E2461">
        <v>2023</v>
      </c>
      <c r="F2461">
        <v>10</v>
      </c>
      <c r="G2461">
        <f t="shared" si="231"/>
        <v>3</v>
      </c>
      <c r="H2461" s="1">
        <f t="shared" si="232"/>
        <v>44991</v>
      </c>
      <c r="I2461" s="1">
        <f t="shared" si="233"/>
        <v>44986</v>
      </c>
      <c r="J2461">
        <v>317990.22000000009</v>
      </c>
      <c r="K2461">
        <v>20268</v>
      </c>
      <c r="L2461">
        <f t="shared" si="229"/>
        <v>15.689274718768507</v>
      </c>
      <c r="M2461">
        <v>1689</v>
      </c>
      <c r="N2461" s="2">
        <f t="shared" si="234"/>
        <v>188.27129662522208</v>
      </c>
      <c r="O2461">
        <v>12</v>
      </c>
    </row>
    <row r="2462" spans="1:15" x14ac:dyDescent="0.25">
      <c r="A2462" t="s">
        <v>46</v>
      </c>
      <c r="B2462" t="s">
        <v>18</v>
      </c>
      <c r="C2462" t="s">
        <v>13</v>
      </c>
      <c r="D2462" t="str">
        <f t="shared" si="230"/>
        <v>FAB6_12/1L Leche Y Pan En Tera</v>
      </c>
      <c r="E2462">
        <v>2023</v>
      </c>
      <c r="F2462">
        <v>11</v>
      </c>
      <c r="G2462">
        <f t="shared" si="231"/>
        <v>3</v>
      </c>
      <c r="H2462" s="1">
        <f t="shared" si="232"/>
        <v>44998</v>
      </c>
      <c r="I2462" s="1">
        <f t="shared" si="233"/>
        <v>44986</v>
      </c>
      <c r="J2462">
        <v>344158.24000000005</v>
      </c>
      <c r="K2462">
        <v>21948</v>
      </c>
      <c r="L2462">
        <f t="shared" si="229"/>
        <v>15.680619646437036</v>
      </c>
      <c r="M2462">
        <v>1829</v>
      </c>
      <c r="N2462" s="2">
        <f t="shared" si="234"/>
        <v>188.16743575724442</v>
      </c>
      <c r="O2462">
        <v>12</v>
      </c>
    </row>
    <row r="2463" spans="1:15" x14ac:dyDescent="0.25">
      <c r="A2463" t="s">
        <v>46</v>
      </c>
      <c r="B2463" t="s">
        <v>18</v>
      </c>
      <c r="C2463" t="s">
        <v>13</v>
      </c>
      <c r="D2463" t="str">
        <f t="shared" si="230"/>
        <v>FAB6_12/1L Leche Y Pan En Tera</v>
      </c>
      <c r="E2463">
        <v>2023</v>
      </c>
      <c r="F2463">
        <v>12</v>
      </c>
      <c r="G2463">
        <f t="shared" si="231"/>
        <v>3</v>
      </c>
      <c r="H2463" s="1">
        <f t="shared" si="232"/>
        <v>45005</v>
      </c>
      <c r="I2463" s="1">
        <f t="shared" si="233"/>
        <v>44986</v>
      </c>
      <c r="J2463">
        <v>313965.16000000003</v>
      </c>
      <c r="K2463">
        <v>20052</v>
      </c>
      <c r="L2463">
        <f t="shared" si="229"/>
        <v>15.657548374227011</v>
      </c>
      <c r="M2463">
        <v>1671</v>
      </c>
      <c r="N2463" s="2">
        <f t="shared" si="234"/>
        <v>187.89058049072415</v>
      </c>
      <c r="O2463">
        <v>12</v>
      </c>
    </row>
    <row r="2464" spans="1:15" x14ac:dyDescent="0.25">
      <c r="A2464" t="s">
        <v>46</v>
      </c>
      <c r="B2464" t="s">
        <v>18</v>
      </c>
      <c r="C2464" t="s">
        <v>13</v>
      </c>
      <c r="D2464" t="str">
        <f t="shared" si="230"/>
        <v>FAB6_12/1L Leche Y Pan En Tera</v>
      </c>
      <c r="E2464">
        <v>2023</v>
      </c>
      <c r="F2464">
        <v>13</v>
      </c>
      <c r="G2464">
        <f t="shared" si="231"/>
        <v>3</v>
      </c>
      <c r="H2464" s="1">
        <f t="shared" si="232"/>
        <v>45012</v>
      </c>
      <c r="I2464" s="1">
        <f t="shared" si="233"/>
        <v>44986</v>
      </c>
      <c r="J2464">
        <v>292916.35999999993</v>
      </c>
      <c r="K2464">
        <v>18672</v>
      </c>
      <c r="L2464">
        <f t="shared" si="229"/>
        <v>15.68746572407883</v>
      </c>
      <c r="M2464">
        <v>1556</v>
      </c>
      <c r="N2464" s="2">
        <f t="shared" si="234"/>
        <v>188.24958868894598</v>
      </c>
      <c r="O2464">
        <v>12</v>
      </c>
    </row>
    <row r="2465" spans="1:15" x14ac:dyDescent="0.25">
      <c r="A2465" t="s">
        <v>46</v>
      </c>
      <c r="B2465" t="s">
        <v>18</v>
      </c>
      <c r="C2465" t="s">
        <v>13</v>
      </c>
      <c r="D2465" t="str">
        <f t="shared" si="230"/>
        <v>FAB6_12/1L Leche Y Pan En Tera</v>
      </c>
      <c r="E2465">
        <v>2023</v>
      </c>
      <c r="F2465">
        <v>14</v>
      </c>
      <c r="G2465">
        <f t="shared" si="231"/>
        <v>4</v>
      </c>
      <c r="H2465" s="1">
        <f t="shared" si="232"/>
        <v>45019</v>
      </c>
      <c r="I2465" s="1">
        <f t="shared" si="233"/>
        <v>45017</v>
      </c>
      <c r="J2465">
        <v>392132.69</v>
      </c>
      <c r="K2465">
        <v>25116</v>
      </c>
      <c r="L2465">
        <f t="shared" si="229"/>
        <v>15.612863911450868</v>
      </c>
      <c r="M2465">
        <v>2093</v>
      </c>
      <c r="N2465" s="2">
        <f t="shared" si="234"/>
        <v>187.35436693741042</v>
      </c>
      <c r="O2465">
        <v>12</v>
      </c>
    </row>
    <row r="2466" spans="1:15" x14ac:dyDescent="0.25">
      <c r="A2466" t="s">
        <v>46</v>
      </c>
      <c r="B2466" t="s">
        <v>18</v>
      </c>
      <c r="C2466" t="s">
        <v>13</v>
      </c>
      <c r="D2466" t="str">
        <f t="shared" si="230"/>
        <v>FAB6_12/1L Leche Y Pan En Tera</v>
      </c>
      <c r="E2466">
        <v>2023</v>
      </c>
      <c r="F2466">
        <v>15</v>
      </c>
      <c r="G2466">
        <f t="shared" si="231"/>
        <v>4</v>
      </c>
      <c r="H2466" s="1">
        <f t="shared" si="232"/>
        <v>45026</v>
      </c>
      <c r="I2466" s="1">
        <f t="shared" si="233"/>
        <v>45017</v>
      </c>
      <c r="J2466">
        <v>320116.64</v>
      </c>
      <c r="K2466">
        <v>20436</v>
      </c>
      <c r="L2466">
        <f t="shared" si="229"/>
        <v>15.664349187707966</v>
      </c>
      <c r="M2466">
        <v>1703</v>
      </c>
      <c r="N2466" s="2">
        <f t="shared" si="234"/>
        <v>187.97219025249561</v>
      </c>
      <c r="O2466">
        <v>12</v>
      </c>
    </row>
    <row r="2467" spans="1:15" x14ac:dyDescent="0.25">
      <c r="A2467" t="s">
        <v>46</v>
      </c>
      <c r="B2467" t="s">
        <v>18</v>
      </c>
      <c r="C2467" t="s">
        <v>13</v>
      </c>
      <c r="D2467" t="str">
        <f t="shared" si="230"/>
        <v>FAB6_12/1L Leche Y Pan En Tera</v>
      </c>
      <c r="E2467">
        <v>2023</v>
      </c>
      <c r="F2467">
        <v>16</v>
      </c>
      <c r="G2467">
        <f t="shared" si="231"/>
        <v>4</v>
      </c>
      <c r="H2467" s="1">
        <f t="shared" si="232"/>
        <v>45033</v>
      </c>
      <c r="I2467" s="1">
        <f t="shared" si="233"/>
        <v>45017</v>
      </c>
      <c r="J2467">
        <v>360667.13</v>
      </c>
      <c r="K2467">
        <v>23028</v>
      </c>
      <c r="L2467">
        <f t="shared" si="229"/>
        <v>15.662112645475075</v>
      </c>
      <c r="M2467">
        <v>1919</v>
      </c>
      <c r="N2467" s="2">
        <f t="shared" si="234"/>
        <v>187.94535174570089</v>
      </c>
      <c r="O2467">
        <v>12</v>
      </c>
    </row>
    <row r="2468" spans="1:15" x14ac:dyDescent="0.25">
      <c r="A2468" t="s">
        <v>46</v>
      </c>
      <c r="B2468" t="s">
        <v>18</v>
      </c>
      <c r="C2468" t="s">
        <v>13</v>
      </c>
      <c r="D2468" t="str">
        <f t="shared" si="230"/>
        <v>FAB6_12/1L Leche Y Pan En Tera</v>
      </c>
      <c r="E2468">
        <v>2023</v>
      </c>
      <c r="F2468">
        <v>17</v>
      </c>
      <c r="G2468">
        <f t="shared" si="231"/>
        <v>4</v>
      </c>
      <c r="H2468" s="1">
        <f t="shared" si="232"/>
        <v>45040</v>
      </c>
      <c r="I2468" s="1">
        <f t="shared" si="233"/>
        <v>45017</v>
      </c>
      <c r="J2468">
        <v>301870.05999999994</v>
      </c>
      <c r="K2468">
        <v>19152</v>
      </c>
      <c r="L2468">
        <f t="shared" si="229"/>
        <v>15.761803467000833</v>
      </c>
      <c r="M2468">
        <v>1596</v>
      </c>
      <c r="N2468" s="2">
        <f t="shared" si="234"/>
        <v>189.14164160400998</v>
      </c>
      <c r="O2468">
        <v>12</v>
      </c>
    </row>
    <row r="2469" spans="1:15" x14ac:dyDescent="0.25">
      <c r="A2469" t="s">
        <v>46</v>
      </c>
      <c r="B2469" t="s">
        <v>18</v>
      </c>
      <c r="C2469" t="s">
        <v>13</v>
      </c>
      <c r="D2469" t="str">
        <f t="shared" si="230"/>
        <v>FAB6_12/1L Leche Y Pan En Tera</v>
      </c>
      <c r="E2469">
        <v>2023</v>
      </c>
      <c r="F2469">
        <v>18</v>
      </c>
      <c r="G2469">
        <f t="shared" si="231"/>
        <v>5</v>
      </c>
      <c r="H2469" s="1">
        <f t="shared" si="232"/>
        <v>45047</v>
      </c>
      <c r="I2469" s="1">
        <f t="shared" si="233"/>
        <v>45047</v>
      </c>
      <c r="J2469">
        <v>328100.12</v>
      </c>
      <c r="K2469">
        <v>19296</v>
      </c>
      <c r="L2469">
        <f t="shared" si="229"/>
        <v>17.003530265339968</v>
      </c>
      <c r="M2469">
        <v>1608</v>
      </c>
      <c r="N2469" s="2">
        <f t="shared" si="234"/>
        <v>204.04236318407959</v>
      </c>
      <c r="O2469">
        <v>12</v>
      </c>
    </row>
    <row r="2470" spans="1:15" x14ac:dyDescent="0.25">
      <c r="A2470" t="s">
        <v>46</v>
      </c>
      <c r="B2470" t="s">
        <v>18</v>
      </c>
      <c r="C2470" t="s">
        <v>13</v>
      </c>
      <c r="D2470" t="str">
        <f t="shared" si="230"/>
        <v>FAB6_12/1L Leche Y Pan En Tera</v>
      </c>
      <c r="E2470">
        <v>2023</v>
      </c>
      <c r="F2470">
        <v>19</v>
      </c>
      <c r="G2470">
        <f t="shared" si="231"/>
        <v>5</v>
      </c>
      <c r="H2470" s="1">
        <f t="shared" si="232"/>
        <v>45054</v>
      </c>
      <c r="I2470" s="1">
        <f t="shared" si="233"/>
        <v>45047</v>
      </c>
      <c r="J2470">
        <v>288434.91000000003</v>
      </c>
      <c r="K2470">
        <v>16956</v>
      </c>
      <c r="L2470">
        <f t="shared" si="229"/>
        <v>17.010787331917907</v>
      </c>
      <c r="M2470">
        <v>1413</v>
      </c>
      <c r="N2470" s="2">
        <f t="shared" si="234"/>
        <v>204.1294479830149</v>
      </c>
      <c r="O2470">
        <v>12</v>
      </c>
    </row>
    <row r="2471" spans="1:15" x14ac:dyDescent="0.25">
      <c r="A2471" t="s">
        <v>46</v>
      </c>
      <c r="B2471" t="s">
        <v>18</v>
      </c>
      <c r="C2471" t="s">
        <v>13</v>
      </c>
      <c r="D2471" t="str">
        <f t="shared" si="230"/>
        <v>FAB6_12/1L Leche Y Pan En Tera</v>
      </c>
      <c r="E2471">
        <v>2023</v>
      </c>
      <c r="F2471">
        <v>20</v>
      </c>
      <c r="G2471">
        <f t="shared" si="231"/>
        <v>5</v>
      </c>
      <c r="H2471" s="1">
        <f t="shared" si="232"/>
        <v>45061</v>
      </c>
      <c r="I2471" s="1">
        <f t="shared" si="233"/>
        <v>45047</v>
      </c>
      <c r="J2471">
        <v>330913.35000000003</v>
      </c>
      <c r="K2471">
        <v>19464</v>
      </c>
      <c r="L2471">
        <f t="shared" si="229"/>
        <v>17.001302404438967</v>
      </c>
      <c r="M2471">
        <v>1622</v>
      </c>
      <c r="N2471" s="2">
        <f t="shared" si="234"/>
        <v>204.0156288532676</v>
      </c>
      <c r="O2471">
        <v>12</v>
      </c>
    </row>
    <row r="2472" spans="1:15" x14ac:dyDescent="0.25">
      <c r="A2472" t="s">
        <v>46</v>
      </c>
      <c r="B2472" t="s">
        <v>18</v>
      </c>
      <c r="C2472" t="s">
        <v>13</v>
      </c>
      <c r="D2472" t="str">
        <f t="shared" si="230"/>
        <v>FAB6_12/1L Leche Y Pan En Tera</v>
      </c>
      <c r="E2472">
        <v>2023</v>
      </c>
      <c r="F2472">
        <v>21</v>
      </c>
      <c r="G2472">
        <f t="shared" si="231"/>
        <v>5</v>
      </c>
      <c r="H2472" s="1">
        <f t="shared" si="232"/>
        <v>45068</v>
      </c>
      <c r="I2472" s="1">
        <f t="shared" si="233"/>
        <v>45047</v>
      </c>
      <c r="J2472">
        <v>288494.43000000011</v>
      </c>
      <c r="K2472">
        <v>17076</v>
      </c>
      <c r="L2472">
        <f t="shared" si="229"/>
        <v>16.894731201686586</v>
      </c>
      <c r="M2472">
        <v>1423</v>
      </c>
      <c r="N2472" s="2">
        <f t="shared" si="234"/>
        <v>202.73677442023902</v>
      </c>
      <c r="O2472">
        <v>12</v>
      </c>
    </row>
    <row r="2473" spans="1:15" x14ac:dyDescent="0.25">
      <c r="A2473" t="s">
        <v>46</v>
      </c>
      <c r="B2473" t="s">
        <v>18</v>
      </c>
      <c r="C2473" t="s">
        <v>13</v>
      </c>
      <c r="D2473" t="str">
        <f t="shared" si="230"/>
        <v>FAB6_12/1L Leche Y Pan En Tera</v>
      </c>
      <c r="E2473">
        <v>2023</v>
      </c>
      <c r="F2473">
        <v>22</v>
      </c>
      <c r="G2473">
        <f t="shared" si="231"/>
        <v>6</v>
      </c>
      <c r="H2473" s="1">
        <f t="shared" si="232"/>
        <v>45075</v>
      </c>
      <c r="I2473" s="1">
        <f t="shared" si="233"/>
        <v>45078</v>
      </c>
      <c r="J2473">
        <v>330346.35000000003</v>
      </c>
      <c r="K2473">
        <v>19428</v>
      </c>
      <c r="L2473">
        <f t="shared" si="229"/>
        <v>17.003621062384191</v>
      </c>
      <c r="M2473">
        <v>1619</v>
      </c>
      <c r="N2473" s="2">
        <f t="shared" si="234"/>
        <v>204.04345274861026</v>
      </c>
      <c r="O2473">
        <v>12</v>
      </c>
    </row>
    <row r="2474" spans="1:15" x14ac:dyDescent="0.25">
      <c r="A2474" t="s">
        <v>46</v>
      </c>
      <c r="B2474" t="s">
        <v>18</v>
      </c>
      <c r="C2474" t="s">
        <v>13</v>
      </c>
      <c r="D2474" t="str">
        <f t="shared" si="230"/>
        <v>FAB6_12/1L Leche Y Pan En Tera</v>
      </c>
      <c r="E2474">
        <v>2023</v>
      </c>
      <c r="F2474">
        <v>23</v>
      </c>
      <c r="G2474">
        <f t="shared" si="231"/>
        <v>6</v>
      </c>
      <c r="H2474" s="1">
        <f t="shared" si="232"/>
        <v>45082</v>
      </c>
      <c r="I2474" s="1">
        <f t="shared" si="233"/>
        <v>45078</v>
      </c>
      <c r="J2474">
        <v>391408.01000000007</v>
      </c>
      <c r="K2474">
        <v>23016</v>
      </c>
      <c r="L2474">
        <f t="shared" si="229"/>
        <v>17.005909367396598</v>
      </c>
      <c r="M2474">
        <v>1918</v>
      </c>
      <c r="N2474" s="2">
        <f t="shared" si="234"/>
        <v>204.07091240875917</v>
      </c>
      <c r="O2474">
        <v>12</v>
      </c>
    </row>
    <row r="2475" spans="1:15" x14ac:dyDescent="0.25">
      <c r="A2475" t="s">
        <v>46</v>
      </c>
      <c r="B2475" t="s">
        <v>18</v>
      </c>
      <c r="C2475" t="s">
        <v>13</v>
      </c>
      <c r="D2475" t="str">
        <f t="shared" si="230"/>
        <v>FAB6_12/1L Leche Y Pan En Tera</v>
      </c>
      <c r="E2475">
        <v>2023</v>
      </c>
      <c r="F2475">
        <v>24</v>
      </c>
      <c r="G2475">
        <f t="shared" si="231"/>
        <v>6</v>
      </c>
      <c r="H2475" s="1">
        <f t="shared" si="232"/>
        <v>45089</v>
      </c>
      <c r="I2475" s="1">
        <f t="shared" si="233"/>
        <v>45078</v>
      </c>
      <c r="J2475">
        <v>263054.5</v>
      </c>
      <c r="K2475">
        <v>15468</v>
      </c>
      <c r="L2475">
        <f t="shared" si="229"/>
        <v>17.006367985518491</v>
      </c>
      <c r="M2475">
        <v>1289</v>
      </c>
      <c r="N2475" s="2">
        <f t="shared" si="234"/>
        <v>204.07641582622188</v>
      </c>
      <c r="O2475">
        <v>12</v>
      </c>
    </row>
    <row r="2476" spans="1:15" x14ac:dyDescent="0.25">
      <c r="A2476" t="s">
        <v>46</v>
      </c>
      <c r="B2476" t="s">
        <v>18</v>
      </c>
      <c r="C2476" t="s">
        <v>13</v>
      </c>
      <c r="D2476" t="str">
        <f t="shared" si="230"/>
        <v>FAB6_12/1L Leche Y Pan En Tera</v>
      </c>
      <c r="E2476">
        <v>2023</v>
      </c>
      <c r="F2476">
        <v>25</v>
      </c>
      <c r="G2476">
        <f t="shared" si="231"/>
        <v>6</v>
      </c>
      <c r="H2476" s="1">
        <f t="shared" si="232"/>
        <v>45096</v>
      </c>
      <c r="I2476" s="1">
        <f t="shared" si="233"/>
        <v>45078</v>
      </c>
      <c r="J2476">
        <v>279036.85000000009</v>
      </c>
      <c r="K2476">
        <v>16404</v>
      </c>
      <c r="L2476">
        <f t="shared" si="229"/>
        <v>17.010293221165576</v>
      </c>
      <c r="M2476">
        <v>1367</v>
      </c>
      <c r="N2476" s="2">
        <f t="shared" si="234"/>
        <v>204.12351865398691</v>
      </c>
      <c r="O2476">
        <v>12</v>
      </c>
    </row>
    <row r="2477" spans="1:15" x14ac:dyDescent="0.25">
      <c r="A2477" t="s">
        <v>46</v>
      </c>
      <c r="B2477" t="s">
        <v>18</v>
      </c>
      <c r="C2477" t="s">
        <v>13</v>
      </c>
      <c r="D2477" t="str">
        <f t="shared" si="230"/>
        <v>FAB6_12/1L Leche Y Pan En Tera</v>
      </c>
      <c r="E2477">
        <v>2023</v>
      </c>
      <c r="F2477">
        <v>26</v>
      </c>
      <c r="G2477">
        <f t="shared" si="231"/>
        <v>6</v>
      </c>
      <c r="H2477" s="1">
        <f t="shared" si="232"/>
        <v>45103</v>
      </c>
      <c r="I2477" s="1">
        <f t="shared" si="233"/>
        <v>45078</v>
      </c>
      <c r="J2477">
        <v>229768.34000000003</v>
      </c>
      <c r="K2477">
        <v>13512</v>
      </c>
      <c r="L2477">
        <f t="shared" si="229"/>
        <v>17.004761693309653</v>
      </c>
      <c r="M2477">
        <v>1126</v>
      </c>
      <c r="N2477" s="2">
        <f t="shared" si="234"/>
        <v>204.05714031971584</v>
      </c>
      <c r="O2477">
        <v>12</v>
      </c>
    </row>
    <row r="2478" spans="1:15" x14ac:dyDescent="0.25">
      <c r="A2478" t="s">
        <v>46</v>
      </c>
      <c r="B2478" t="s">
        <v>18</v>
      </c>
      <c r="C2478" t="s">
        <v>13</v>
      </c>
      <c r="D2478" t="str">
        <f t="shared" si="230"/>
        <v>FAB6_12/1L Leche Y Pan En Tera</v>
      </c>
      <c r="E2478">
        <v>2023</v>
      </c>
      <c r="F2478">
        <v>27</v>
      </c>
      <c r="G2478">
        <f t="shared" si="231"/>
        <v>7</v>
      </c>
      <c r="H2478" s="1">
        <f t="shared" si="232"/>
        <v>45110</v>
      </c>
      <c r="I2478" s="1">
        <f t="shared" si="233"/>
        <v>45108</v>
      </c>
      <c r="J2478">
        <v>290674.22000000003</v>
      </c>
      <c r="K2478">
        <v>17088</v>
      </c>
      <c r="L2478">
        <f t="shared" si="229"/>
        <v>17.010429541198505</v>
      </c>
      <c r="M2478">
        <v>1424</v>
      </c>
      <c r="N2478" s="2">
        <f t="shared" si="234"/>
        <v>204.12515449438203</v>
      </c>
      <c r="O2478">
        <v>12</v>
      </c>
    </row>
    <row r="2479" spans="1:15" x14ac:dyDescent="0.25">
      <c r="A2479" t="s">
        <v>46</v>
      </c>
      <c r="B2479" t="s">
        <v>18</v>
      </c>
      <c r="C2479" t="s">
        <v>13</v>
      </c>
      <c r="D2479" t="str">
        <f t="shared" si="230"/>
        <v>FAB6_12/1L Leche Y Pan En Tera</v>
      </c>
      <c r="E2479">
        <v>2023</v>
      </c>
      <c r="F2479">
        <v>28</v>
      </c>
      <c r="G2479">
        <f t="shared" si="231"/>
        <v>7</v>
      </c>
      <c r="H2479" s="1">
        <f t="shared" si="232"/>
        <v>45117</v>
      </c>
      <c r="I2479" s="1">
        <f t="shared" si="233"/>
        <v>45108</v>
      </c>
      <c r="J2479">
        <v>292055.7900000001</v>
      </c>
      <c r="K2479">
        <v>17232</v>
      </c>
      <c r="L2479">
        <f t="shared" si="229"/>
        <v>16.948455779944297</v>
      </c>
      <c r="M2479">
        <v>1436</v>
      </c>
      <c r="N2479" s="2">
        <f t="shared" si="234"/>
        <v>203.38146935933153</v>
      </c>
      <c r="O2479">
        <v>12</v>
      </c>
    </row>
    <row r="2480" spans="1:15" x14ac:dyDescent="0.25">
      <c r="A2480" t="s">
        <v>46</v>
      </c>
      <c r="B2480" t="s">
        <v>18</v>
      </c>
      <c r="C2480" t="s">
        <v>13</v>
      </c>
      <c r="D2480" t="str">
        <f t="shared" si="230"/>
        <v>FAB6_12/1L Leche Y Pan En Tera</v>
      </c>
      <c r="E2480">
        <v>2023</v>
      </c>
      <c r="F2480">
        <v>29</v>
      </c>
      <c r="G2480">
        <f t="shared" si="231"/>
        <v>7</v>
      </c>
      <c r="H2480" s="1">
        <f t="shared" si="232"/>
        <v>45124</v>
      </c>
      <c r="I2480" s="1">
        <f t="shared" si="233"/>
        <v>45108</v>
      </c>
      <c r="J2480">
        <v>320353.08000000007</v>
      </c>
      <c r="K2480">
        <v>18840</v>
      </c>
      <c r="L2480">
        <f t="shared" si="229"/>
        <v>17.003878980891724</v>
      </c>
      <c r="M2480">
        <v>1570</v>
      </c>
      <c r="N2480" s="2">
        <f t="shared" si="234"/>
        <v>204.0465477707007</v>
      </c>
      <c r="O2480">
        <v>12</v>
      </c>
    </row>
    <row r="2481" spans="1:15" x14ac:dyDescent="0.25">
      <c r="A2481" t="s">
        <v>46</v>
      </c>
      <c r="B2481" t="s">
        <v>18</v>
      </c>
      <c r="C2481" t="s">
        <v>13</v>
      </c>
      <c r="D2481" t="str">
        <f t="shared" si="230"/>
        <v>FAB6_12/1L Leche Y Pan En Tera</v>
      </c>
      <c r="E2481">
        <v>2023</v>
      </c>
      <c r="F2481">
        <v>30</v>
      </c>
      <c r="G2481">
        <f t="shared" si="231"/>
        <v>7</v>
      </c>
      <c r="H2481" s="1">
        <f t="shared" si="232"/>
        <v>45131</v>
      </c>
      <c r="I2481" s="1">
        <f t="shared" si="233"/>
        <v>45108</v>
      </c>
      <c r="J2481">
        <v>262869.25000000006</v>
      </c>
      <c r="K2481">
        <v>15456</v>
      </c>
      <c r="L2481">
        <f t="shared" si="229"/>
        <v>17.00758605072464</v>
      </c>
      <c r="M2481">
        <v>1288</v>
      </c>
      <c r="N2481" s="2">
        <f t="shared" si="234"/>
        <v>204.09103260869568</v>
      </c>
      <c r="O2481">
        <v>12</v>
      </c>
    </row>
    <row r="2482" spans="1:15" x14ac:dyDescent="0.25">
      <c r="A2482" t="s">
        <v>46</v>
      </c>
      <c r="B2482" t="s">
        <v>18</v>
      </c>
      <c r="C2482" t="s">
        <v>13</v>
      </c>
      <c r="D2482" t="str">
        <f t="shared" si="230"/>
        <v>FAB6_12/1L Leche Y Pan En Tera</v>
      </c>
      <c r="E2482">
        <v>2023</v>
      </c>
      <c r="F2482">
        <v>31</v>
      </c>
      <c r="G2482">
        <f t="shared" si="231"/>
        <v>8</v>
      </c>
      <c r="H2482" s="1">
        <f t="shared" si="232"/>
        <v>45138</v>
      </c>
      <c r="I2482" s="1">
        <f t="shared" si="233"/>
        <v>45139</v>
      </c>
      <c r="J2482">
        <v>337309.02000000008</v>
      </c>
      <c r="K2482">
        <v>19836</v>
      </c>
      <c r="L2482">
        <f t="shared" si="229"/>
        <v>17.004891107078045</v>
      </c>
      <c r="M2482">
        <v>1653</v>
      </c>
      <c r="N2482" s="2">
        <f t="shared" si="234"/>
        <v>204.05869328493654</v>
      </c>
      <c r="O2482">
        <v>12</v>
      </c>
    </row>
    <row r="2483" spans="1:15" x14ac:dyDescent="0.25">
      <c r="A2483" t="s">
        <v>46</v>
      </c>
      <c r="B2483" t="s">
        <v>18</v>
      </c>
      <c r="C2483" t="s">
        <v>13</v>
      </c>
      <c r="D2483" t="str">
        <f t="shared" si="230"/>
        <v>FAB6_12/1L Leche Y Pan En Tera</v>
      </c>
      <c r="E2483">
        <v>2023</v>
      </c>
      <c r="F2483">
        <v>32</v>
      </c>
      <c r="G2483">
        <f t="shared" si="231"/>
        <v>8</v>
      </c>
      <c r="H2483" s="1">
        <f t="shared" si="232"/>
        <v>45145</v>
      </c>
      <c r="I2483" s="1">
        <f t="shared" si="233"/>
        <v>45139</v>
      </c>
      <c r="J2483">
        <v>328563.83</v>
      </c>
      <c r="K2483">
        <v>19320</v>
      </c>
      <c r="L2483">
        <f t="shared" si="229"/>
        <v>17.006409420289856</v>
      </c>
      <c r="M2483">
        <v>1610</v>
      </c>
      <c r="N2483" s="2">
        <f t="shared" si="234"/>
        <v>204.07691304347827</v>
      </c>
      <c r="O2483">
        <v>12</v>
      </c>
    </row>
    <row r="2484" spans="1:15" x14ac:dyDescent="0.25">
      <c r="A2484" t="s">
        <v>46</v>
      </c>
      <c r="B2484" t="s">
        <v>18</v>
      </c>
      <c r="C2484" t="s">
        <v>13</v>
      </c>
      <c r="D2484" t="str">
        <f t="shared" si="230"/>
        <v>FAB6_12/1L Leche Y Pan En Tera</v>
      </c>
      <c r="E2484">
        <v>2023</v>
      </c>
      <c r="F2484">
        <v>33</v>
      </c>
      <c r="G2484">
        <f t="shared" si="231"/>
        <v>8</v>
      </c>
      <c r="H2484" s="1">
        <f t="shared" si="232"/>
        <v>45152</v>
      </c>
      <c r="I2484" s="1">
        <f t="shared" si="233"/>
        <v>45139</v>
      </c>
      <c r="J2484">
        <v>341083.97000000003</v>
      </c>
      <c r="K2484">
        <v>20136</v>
      </c>
      <c r="L2484">
        <f t="shared" si="229"/>
        <v>16.939013210170838</v>
      </c>
      <c r="M2484">
        <v>1678</v>
      </c>
      <c r="N2484" s="2">
        <f t="shared" si="234"/>
        <v>203.26815852205007</v>
      </c>
      <c r="O2484">
        <v>12</v>
      </c>
    </row>
    <row r="2485" spans="1:15" x14ac:dyDescent="0.25">
      <c r="A2485" t="s">
        <v>46</v>
      </c>
      <c r="B2485" t="s">
        <v>18</v>
      </c>
      <c r="C2485" t="s">
        <v>13</v>
      </c>
      <c r="D2485" t="str">
        <f t="shared" si="230"/>
        <v>FAB6_12/1L Leche Y Pan En Tera</v>
      </c>
      <c r="E2485">
        <v>2023</v>
      </c>
      <c r="F2485">
        <v>34</v>
      </c>
      <c r="G2485">
        <f t="shared" si="231"/>
        <v>8</v>
      </c>
      <c r="H2485" s="1">
        <f t="shared" si="232"/>
        <v>45159</v>
      </c>
      <c r="I2485" s="1">
        <f t="shared" si="233"/>
        <v>45139</v>
      </c>
      <c r="J2485">
        <v>349205.41000000003</v>
      </c>
      <c r="K2485">
        <v>21072</v>
      </c>
      <c r="L2485">
        <f t="shared" si="229"/>
        <v>16.572010725132881</v>
      </c>
      <c r="M2485">
        <v>1756</v>
      </c>
      <c r="N2485" s="2">
        <f t="shared" si="234"/>
        <v>198.86412870159455</v>
      </c>
      <c r="O2485">
        <v>12</v>
      </c>
    </row>
    <row r="2486" spans="1:15" x14ac:dyDescent="0.25">
      <c r="A2486" t="s">
        <v>46</v>
      </c>
      <c r="B2486" t="s">
        <v>18</v>
      </c>
      <c r="C2486" t="s">
        <v>13</v>
      </c>
      <c r="D2486" t="str">
        <f t="shared" si="230"/>
        <v>FAB6_12/1L Leche Y Pan En Tera</v>
      </c>
      <c r="E2486">
        <v>2023</v>
      </c>
      <c r="F2486">
        <v>35</v>
      </c>
      <c r="G2486">
        <f t="shared" si="231"/>
        <v>8</v>
      </c>
      <c r="H2486" s="1">
        <f t="shared" si="232"/>
        <v>45166</v>
      </c>
      <c r="I2486" s="1">
        <f t="shared" si="233"/>
        <v>45139</v>
      </c>
      <c r="J2486">
        <v>327782.06000000006</v>
      </c>
      <c r="K2486">
        <v>20604</v>
      </c>
      <c r="L2486">
        <f t="shared" si="229"/>
        <v>15.908661424966029</v>
      </c>
      <c r="M2486">
        <v>1717</v>
      </c>
      <c r="N2486" s="2">
        <f t="shared" si="234"/>
        <v>190.90393709959235</v>
      </c>
      <c r="O2486">
        <v>12</v>
      </c>
    </row>
    <row r="2487" spans="1:15" x14ac:dyDescent="0.25">
      <c r="A2487" t="s">
        <v>46</v>
      </c>
      <c r="B2487" t="s">
        <v>18</v>
      </c>
      <c r="C2487" t="s">
        <v>13</v>
      </c>
      <c r="D2487" t="str">
        <f t="shared" si="230"/>
        <v>FAB6_12/1L Leche Y Pan En Tera</v>
      </c>
      <c r="E2487">
        <v>2023</v>
      </c>
      <c r="F2487">
        <v>36</v>
      </c>
      <c r="G2487">
        <f t="shared" si="231"/>
        <v>9</v>
      </c>
      <c r="H2487" s="1">
        <f t="shared" si="232"/>
        <v>45173</v>
      </c>
      <c r="I2487" s="1">
        <f t="shared" si="233"/>
        <v>45170</v>
      </c>
      <c r="J2487">
        <v>290867.34999999998</v>
      </c>
      <c r="K2487">
        <v>18648</v>
      </c>
      <c r="L2487">
        <f t="shared" si="229"/>
        <v>15.59777724152724</v>
      </c>
      <c r="M2487">
        <v>1554</v>
      </c>
      <c r="N2487" s="2">
        <f t="shared" si="234"/>
        <v>187.17332689832688</v>
      </c>
      <c r="O2487">
        <v>12</v>
      </c>
    </row>
    <row r="2488" spans="1:15" x14ac:dyDescent="0.25">
      <c r="A2488" t="s">
        <v>46</v>
      </c>
      <c r="B2488" t="s">
        <v>18</v>
      </c>
      <c r="C2488" t="s">
        <v>13</v>
      </c>
      <c r="D2488" t="str">
        <f t="shared" si="230"/>
        <v>FAB6_12/1L Leche Y Pan En Tera</v>
      </c>
      <c r="E2488">
        <v>2023</v>
      </c>
      <c r="F2488">
        <v>37</v>
      </c>
      <c r="G2488">
        <f t="shared" si="231"/>
        <v>9</v>
      </c>
      <c r="H2488" s="1">
        <f t="shared" si="232"/>
        <v>45180</v>
      </c>
      <c r="I2488" s="1">
        <f t="shared" si="233"/>
        <v>45170</v>
      </c>
      <c r="J2488">
        <v>278579.57</v>
      </c>
      <c r="K2488">
        <v>18792</v>
      </c>
      <c r="L2488">
        <f t="shared" si="229"/>
        <v>14.824370476798638</v>
      </c>
      <c r="M2488">
        <v>1566</v>
      </c>
      <c r="N2488" s="2">
        <f t="shared" si="234"/>
        <v>177.89244572158367</v>
      </c>
      <c r="O2488">
        <v>12</v>
      </c>
    </row>
    <row r="2489" spans="1:15" x14ac:dyDescent="0.25">
      <c r="A2489" t="s">
        <v>46</v>
      </c>
      <c r="B2489" t="s">
        <v>18</v>
      </c>
      <c r="C2489" t="s">
        <v>13</v>
      </c>
      <c r="D2489" t="str">
        <f t="shared" si="230"/>
        <v>FAB6_12/1L Leche Y Pan En Tera</v>
      </c>
      <c r="E2489">
        <v>2023</v>
      </c>
      <c r="F2489">
        <v>38</v>
      </c>
      <c r="G2489">
        <f t="shared" si="231"/>
        <v>9</v>
      </c>
      <c r="H2489" s="1">
        <f t="shared" si="232"/>
        <v>45187</v>
      </c>
      <c r="I2489" s="1">
        <f t="shared" si="233"/>
        <v>45170</v>
      </c>
      <c r="J2489">
        <v>228415.03999999995</v>
      </c>
      <c r="K2489">
        <v>15300</v>
      </c>
      <c r="L2489">
        <f t="shared" si="229"/>
        <v>14.929087581699344</v>
      </c>
      <c r="M2489">
        <v>1275</v>
      </c>
      <c r="N2489" s="2">
        <f t="shared" si="234"/>
        <v>179.1490509803921</v>
      </c>
      <c r="O2489">
        <v>12</v>
      </c>
    </row>
    <row r="2490" spans="1:15" x14ac:dyDescent="0.25">
      <c r="A2490" t="s">
        <v>46</v>
      </c>
      <c r="B2490" t="s">
        <v>18</v>
      </c>
      <c r="C2490" t="s">
        <v>13</v>
      </c>
      <c r="D2490" t="str">
        <f t="shared" si="230"/>
        <v>FAB6_12/1L Leche Y Pan En Tera</v>
      </c>
      <c r="E2490">
        <v>2023</v>
      </c>
      <c r="F2490">
        <v>39</v>
      </c>
      <c r="G2490">
        <f t="shared" si="231"/>
        <v>9</v>
      </c>
      <c r="H2490" s="1">
        <f t="shared" si="232"/>
        <v>45194</v>
      </c>
      <c r="I2490" s="1">
        <f t="shared" si="233"/>
        <v>45170</v>
      </c>
      <c r="J2490">
        <v>23628</v>
      </c>
      <c r="K2490">
        <v>1584</v>
      </c>
      <c r="L2490">
        <f t="shared" si="229"/>
        <v>14.916666666666666</v>
      </c>
      <c r="M2490">
        <v>132</v>
      </c>
      <c r="N2490" s="2">
        <f t="shared" si="234"/>
        <v>179</v>
      </c>
      <c r="O2490">
        <v>12</v>
      </c>
    </row>
    <row r="2491" spans="1:15" x14ac:dyDescent="0.25">
      <c r="A2491" t="s">
        <v>46</v>
      </c>
      <c r="B2491" t="s">
        <v>18</v>
      </c>
      <c r="C2491" t="s">
        <v>13</v>
      </c>
      <c r="D2491" t="str">
        <f t="shared" si="230"/>
        <v>FAB6_12/1L Leche Y Pan En Tera</v>
      </c>
      <c r="E2491">
        <v>2023</v>
      </c>
      <c r="F2491">
        <v>40</v>
      </c>
      <c r="G2491">
        <f t="shared" si="231"/>
        <v>10</v>
      </c>
      <c r="H2491" s="1">
        <f t="shared" si="232"/>
        <v>45201</v>
      </c>
      <c r="I2491" s="1">
        <f t="shared" si="233"/>
        <v>45200</v>
      </c>
      <c r="J2491">
        <v>2660</v>
      </c>
      <c r="K2491">
        <v>180</v>
      </c>
      <c r="L2491">
        <f t="shared" si="229"/>
        <v>14.777777777777779</v>
      </c>
      <c r="M2491">
        <v>15</v>
      </c>
      <c r="N2491" s="2">
        <f t="shared" si="234"/>
        <v>177.33333333333334</v>
      </c>
      <c r="O2491">
        <v>12</v>
      </c>
    </row>
    <row r="2492" spans="1:15" x14ac:dyDescent="0.25">
      <c r="A2492" t="s">
        <v>46</v>
      </c>
      <c r="B2492" t="s">
        <v>18</v>
      </c>
      <c r="C2492" t="s">
        <v>13</v>
      </c>
      <c r="D2492" t="str">
        <f t="shared" si="230"/>
        <v>FAB6_12/1L Leche Y Pan En Tera</v>
      </c>
      <c r="E2492">
        <v>2023</v>
      </c>
      <c r="F2492">
        <v>41</v>
      </c>
      <c r="G2492">
        <f t="shared" si="231"/>
        <v>10</v>
      </c>
      <c r="H2492" s="1">
        <f t="shared" si="232"/>
        <v>45208</v>
      </c>
      <c r="I2492" s="1">
        <f t="shared" si="233"/>
        <v>45200</v>
      </c>
      <c r="J2492">
        <v>179</v>
      </c>
      <c r="K2492">
        <v>12</v>
      </c>
      <c r="L2492">
        <f t="shared" si="229"/>
        <v>14.916666666666666</v>
      </c>
      <c r="M2492">
        <v>1</v>
      </c>
      <c r="N2492" s="2">
        <f t="shared" si="234"/>
        <v>179</v>
      </c>
      <c r="O2492">
        <v>12</v>
      </c>
    </row>
    <row r="2493" spans="1:15" x14ac:dyDescent="0.25">
      <c r="A2493" t="s">
        <v>46</v>
      </c>
      <c r="B2493" t="s">
        <v>18</v>
      </c>
      <c r="C2493" t="s">
        <v>13</v>
      </c>
      <c r="D2493" t="str">
        <f t="shared" si="230"/>
        <v>FAB6_12/1L Leche Y Pan En Tera</v>
      </c>
      <c r="E2493">
        <v>2023</v>
      </c>
      <c r="F2493">
        <v>48</v>
      </c>
      <c r="G2493">
        <f t="shared" si="231"/>
        <v>11</v>
      </c>
      <c r="H2493" s="1">
        <f t="shared" si="232"/>
        <v>45257</v>
      </c>
      <c r="I2493" s="1">
        <f t="shared" si="233"/>
        <v>45231</v>
      </c>
      <c r="J2493">
        <v>-1020</v>
      </c>
      <c r="K2493">
        <v>-60</v>
      </c>
      <c r="L2493">
        <f t="shared" si="229"/>
        <v>17</v>
      </c>
      <c r="M2493">
        <v>-5</v>
      </c>
      <c r="N2493" s="2">
        <f t="shared" si="234"/>
        <v>204</v>
      </c>
      <c r="O2493">
        <v>12</v>
      </c>
    </row>
    <row r="2494" spans="1:15" x14ac:dyDescent="0.25">
      <c r="A2494" t="s">
        <v>46</v>
      </c>
      <c r="B2494" t="s">
        <v>18</v>
      </c>
      <c r="C2494" t="s">
        <v>13</v>
      </c>
      <c r="D2494" t="str">
        <f t="shared" si="230"/>
        <v>FAB6_12/1L Leche Y Pan En Tera</v>
      </c>
      <c r="E2494">
        <v>2024</v>
      </c>
      <c r="F2494">
        <v>30</v>
      </c>
      <c r="G2494">
        <f t="shared" si="231"/>
        <v>7</v>
      </c>
      <c r="H2494" s="1">
        <f t="shared" si="232"/>
        <v>45495</v>
      </c>
      <c r="I2494" s="1">
        <f t="shared" si="233"/>
        <v>45474</v>
      </c>
      <c r="J2494">
        <v>204</v>
      </c>
      <c r="K2494">
        <v>12</v>
      </c>
      <c r="L2494">
        <f t="shared" ref="L2494:L2557" si="235">J2494/(M2494*O2494)</f>
        <v>17</v>
      </c>
      <c r="M2494">
        <v>1</v>
      </c>
      <c r="N2494" s="2">
        <f t="shared" si="234"/>
        <v>204</v>
      </c>
      <c r="O2494">
        <v>12</v>
      </c>
    </row>
    <row r="2495" spans="1:15" x14ac:dyDescent="0.25">
      <c r="A2495" t="s">
        <v>46</v>
      </c>
      <c r="B2495" t="s">
        <v>16</v>
      </c>
      <c r="C2495" t="s">
        <v>39</v>
      </c>
      <c r="D2495" t="str">
        <f t="shared" si="230"/>
        <v>FAB3_1L  D Li Deslactosada Light</v>
      </c>
      <c r="E2495">
        <v>2022</v>
      </c>
      <c r="F2495">
        <v>1</v>
      </c>
      <c r="G2495">
        <f t="shared" si="231"/>
        <v>1</v>
      </c>
      <c r="H2495" s="1">
        <f t="shared" si="232"/>
        <v>44564</v>
      </c>
      <c r="I2495" s="1">
        <f t="shared" si="233"/>
        <v>44562</v>
      </c>
      <c r="J2495">
        <v>331087.03999999998</v>
      </c>
      <c r="K2495">
        <v>18480</v>
      </c>
      <c r="L2495">
        <f t="shared" si="235"/>
        <v>17.915965367965367</v>
      </c>
      <c r="M2495">
        <v>1540</v>
      </c>
      <c r="N2495" s="2">
        <f t="shared" si="234"/>
        <v>214.99158441558441</v>
      </c>
      <c r="O2495">
        <v>12</v>
      </c>
    </row>
    <row r="2496" spans="1:15" x14ac:dyDescent="0.25">
      <c r="A2496" t="s">
        <v>46</v>
      </c>
      <c r="B2496" t="s">
        <v>16</v>
      </c>
      <c r="C2496" t="s">
        <v>39</v>
      </c>
      <c r="D2496" t="str">
        <f t="shared" si="230"/>
        <v>FAB3_1L  D Li Deslactosada Light</v>
      </c>
      <c r="E2496">
        <v>2022</v>
      </c>
      <c r="F2496">
        <v>2</v>
      </c>
      <c r="G2496">
        <f t="shared" si="231"/>
        <v>1</v>
      </c>
      <c r="H2496" s="1">
        <f t="shared" si="232"/>
        <v>44571</v>
      </c>
      <c r="I2496" s="1">
        <f t="shared" si="233"/>
        <v>44562</v>
      </c>
      <c r="J2496">
        <v>291894.90000000002</v>
      </c>
      <c r="K2496">
        <v>16296</v>
      </c>
      <c r="L2496">
        <f t="shared" si="235"/>
        <v>17.912058173784981</v>
      </c>
      <c r="M2496">
        <v>1358</v>
      </c>
      <c r="N2496" s="2">
        <f t="shared" si="234"/>
        <v>214.94469808541976</v>
      </c>
      <c r="O2496">
        <v>12</v>
      </c>
    </row>
    <row r="2497" spans="1:15" x14ac:dyDescent="0.25">
      <c r="A2497" t="s">
        <v>46</v>
      </c>
      <c r="B2497" t="s">
        <v>16</v>
      </c>
      <c r="C2497" t="s">
        <v>39</v>
      </c>
      <c r="D2497" t="str">
        <f t="shared" si="230"/>
        <v>FAB3_1L  D Li Deslactosada Light</v>
      </c>
      <c r="E2497">
        <v>2022</v>
      </c>
      <c r="F2497">
        <v>3</v>
      </c>
      <c r="G2497">
        <f t="shared" si="231"/>
        <v>1</v>
      </c>
      <c r="H2497" s="1">
        <f t="shared" si="232"/>
        <v>44578</v>
      </c>
      <c r="I2497" s="1">
        <f t="shared" si="233"/>
        <v>44562</v>
      </c>
      <c r="J2497">
        <v>192478</v>
      </c>
      <c r="K2497">
        <v>9684</v>
      </c>
      <c r="L2497">
        <f t="shared" si="235"/>
        <v>19.875877736472532</v>
      </c>
      <c r="M2497">
        <v>807</v>
      </c>
      <c r="N2497" s="2">
        <f t="shared" si="234"/>
        <v>238.51053283767038</v>
      </c>
      <c r="O2497">
        <v>12</v>
      </c>
    </row>
    <row r="2498" spans="1:15" x14ac:dyDescent="0.25">
      <c r="A2498" t="s">
        <v>46</v>
      </c>
      <c r="B2498" t="s">
        <v>16</v>
      </c>
      <c r="C2498" t="s">
        <v>39</v>
      </c>
      <c r="D2498" t="str">
        <f t="shared" si="230"/>
        <v>FAB3_1L  D Li Deslactosada Light</v>
      </c>
      <c r="E2498">
        <v>2022</v>
      </c>
      <c r="F2498">
        <v>4</v>
      </c>
      <c r="G2498">
        <f t="shared" si="231"/>
        <v>1</v>
      </c>
      <c r="H2498" s="1">
        <f t="shared" si="232"/>
        <v>44585</v>
      </c>
      <c r="I2498" s="1">
        <f t="shared" si="233"/>
        <v>44562</v>
      </c>
      <c r="J2498">
        <v>219359.03999999998</v>
      </c>
      <c r="K2498">
        <v>10980</v>
      </c>
      <c r="L2498">
        <f t="shared" si="235"/>
        <v>19.97805464480874</v>
      </c>
      <c r="M2498">
        <v>915</v>
      </c>
      <c r="N2498" s="2">
        <f t="shared" si="234"/>
        <v>239.73665573770489</v>
      </c>
      <c r="O2498">
        <v>12</v>
      </c>
    </row>
    <row r="2499" spans="1:15" x14ac:dyDescent="0.25">
      <c r="A2499" t="s">
        <v>46</v>
      </c>
      <c r="B2499" t="s">
        <v>16</v>
      </c>
      <c r="C2499" t="s">
        <v>39</v>
      </c>
      <c r="D2499" t="str">
        <f t="shared" ref="D2499:D2562" si="236">B2499&amp;"_"&amp;C2499</f>
        <v>FAB3_1L  D Li Deslactosada Light</v>
      </c>
      <c r="E2499">
        <v>2022</v>
      </c>
      <c r="F2499">
        <v>5</v>
      </c>
      <c r="G2499">
        <f t="shared" ref="G2499:G2562" si="237">MONTH(DATE(E2499,1,4)+(F2499-1)*7-WEEKDAY(DATE(E2499,1,4),2)+4)</f>
        <v>2</v>
      </c>
      <c r="H2499" s="1">
        <f t="shared" ref="H2499:H2562" si="238">DATE(E2499,1,-2)-WEEKDAY(DATE(E2499,1,3))+F2499*7</f>
        <v>44592</v>
      </c>
      <c r="I2499" s="1">
        <f t="shared" ref="I2499:I2562" si="239">DATE(E2499,G2499,1)</f>
        <v>44593</v>
      </c>
      <c r="J2499">
        <v>293045.52</v>
      </c>
      <c r="K2499">
        <v>14652</v>
      </c>
      <c r="L2499">
        <f t="shared" si="235"/>
        <v>20.000376740376741</v>
      </c>
      <c r="M2499">
        <v>1221</v>
      </c>
      <c r="N2499" s="2">
        <f t="shared" ref="N2499:N2562" si="240">J2499/M2499</f>
        <v>240.0045208845209</v>
      </c>
      <c r="O2499">
        <v>12</v>
      </c>
    </row>
    <row r="2500" spans="1:15" x14ac:dyDescent="0.25">
      <c r="A2500" t="s">
        <v>46</v>
      </c>
      <c r="B2500" t="s">
        <v>16</v>
      </c>
      <c r="C2500" t="s">
        <v>39</v>
      </c>
      <c r="D2500" t="str">
        <f t="shared" si="236"/>
        <v>FAB3_1L  D Li Deslactosada Light</v>
      </c>
      <c r="E2500">
        <v>2022</v>
      </c>
      <c r="F2500">
        <v>6</v>
      </c>
      <c r="G2500">
        <f t="shared" si="237"/>
        <v>2</v>
      </c>
      <c r="H2500" s="1">
        <f t="shared" si="238"/>
        <v>44599</v>
      </c>
      <c r="I2500" s="1">
        <f t="shared" si="239"/>
        <v>44593</v>
      </c>
      <c r="J2500">
        <v>332655.01</v>
      </c>
      <c r="K2500">
        <v>16632</v>
      </c>
      <c r="L2500">
        <f t="shared" si="235"/>
        <v>20.000902477152479</v>
      </c>
      <c r="M2500">
        <v>1386</v>
      </c>
      <c r="N2500" s="2">
        <f t="shared" si="240"/>
        <v>240.01082972582972</v>
      </c>
      <c r="O2500">
        <v>12</v>
      </c>
    </row>
    <row r="2501" spans="1:15" x14ac:dyDescent="0.25">
      <c r="A2501" t="s">
        <v>46</v>
      </c>
      <c r="B2501" t="s">
        <v>16</v>
      </c>
      <c r="C2501" t="s">
        <v>39</v>
      </c>
      <c r="D2501" t="str">
        <f t="shared" si="236"/>
        <v>FAB3_1L  D Li Deslactosada Light</v>
      </c>
      <c r="E2501">
        <v>2022</v>
      </c>
      <c r="F2501">
        <v>7</v>
      </c>
      <c r="G2501">
        <f t="shared" si="237"/>
        <v>2</v>
      </c>
      <c r="H2501" s="1">
        <f t="shared" si="238"/>
        <v>44606</v>
      </c>
      <c r="I2501" s="1">
        <f t="shared" si="239"/>
        <v>44593</v>
      </c>
      <c r="J2501">
        <v>648785.52000000014</v>
      </c>
      <c r="K2501">
        <v>32436</v>
      </c>
      <c r="L2501">
        <f t="shared" si="235"/>
        <v>20.002019977802448</v>
      </c>
      <c r="M2501">
        <v>2703</v>
      </c>
      <c r="N2501" s="2">
        <f t="shared" si="240"/>
        <v>240.02423973362934</v>
      </c>
      <c r="O2501">
        <v>12</v>
      </c>
    </row>
    <row r="2502" spans="1:15" x14ac:dyDescent="0.25">
      <c r="A2502" t="s">
        <v>46</v>
      </c>
      <c r="B2502" t="s">
        <v>16</v>
      </c>
      <c r="C2502" t="s">
        <v>39</v>
      </c>
      <c r="D2502" t="str">
        <f t="shared" si="236"/>
        <v>FAB3_1L  D Li Deslactosada Light</v>
      </c>
      <c r="E2502">
        <v>2022</v>
      </c>
      <c r="F2502">
        <v>8</v>
      </c>
      <c r="G2502">
        <f t="shared" si="237"/>
        <v>2</v>
      </c>
      <c r="H2502" s="1">
        <f t="shared" si="238"/>
        <v>44613</v>
      </c>
      <c r="I2502" s="1">
        <f t="shared" si="239"/>
        <v>44593</v>
      </c>
      <c r="J2502">
        <v>78609.95</v>
      </c>
      <c r="K2502">
        <v>4044</v>
      </c>
      <c r="L2502">
        <f t="shared" si="235"/>
        <v>19.438662215628089</v>
      </c>
      <c r="M2502">
        <v>337</v>
      </c>
      <c r="N2502" s="2">
        <f t="shared" si="240"/>
        <v>233.26394658753708</v>
      </c>
      <c r="O2502">
        <v>12</v>
      </c>
    </row>
    <row r="2503" spans="1:15" x14ac:dyDescent="0.25">
      <c r="A2503" t="s">
        <v>46</v>
      </c>
      <c r="B2503" t="s">
        <v>16</v>
      </c>
      <c r="C2503" t="s">
        <v>39</v>
      </c>
      <c r="D2503" t="str">
        <f t="shared" si="236"/>
        <v>FAB3_1L  D Li Deslactosada Light</v>
      </c>
      <c r="E2503">
        <v>2022</v>
      </c>
      <c r="F2503">
        <v>9</v>
      </c>
      <c r="G2503">
        <f t="shared" si="237"/>
        <v>3</v>
      </c>
      <c r="H2503" s="1">
        <f t="shared" si="238"/>
        <v>44620</v>
      </c>
      <c r="I2503" s="1">
        <f t="shared" si="239"/>
        <v>44621</v>
      </c>
      <c r="J2503">
        <v>275776.46999999997</v>
      </c>
      <c r="K2503">
        <v>15384</v>
      </c>
      <c r="L2503">
        <f t="shared" si="235"/>
        <v>17.926187597503898</v>
      </c>
      <c r="M2503">
        <v>1282</v>
      </c>
      <c r="N2503" s="2">
        <f t="shared" si="240"/>
        <v>215.11425117004677</v>
      </c>
      <c r="O2503">
        <v>12</v>
      </c>
    </row>
    <row r="2504" spans="1:15" x14ac:dyDescent="0.25">
      <c r="A2504" t="s">
        <v>46</v>
      </c>
      <c r="B2504" t="s">
        <v>16</v>
      </c>
      <c r="C2504" t="s">
        <v>39</v>
      </c>
      <c r="D2504" t="str">
        <f t="shared" si="236"/>
        <v>FAB3_1L  D Li Deslactosada Light</v>
      </c>
      <c r="E2504">
        <v>2022</v>
      </c>
      <c r="F2504">
        <v>10</v>
      </c>
      <c r="G2504">
        <f t="shared" si="237"/>
        <v>3</v>
      </c>
      <c r="H2504" s="1">
        <f t="shared" si="238"/>
        <v>44627</v>
      </c>
      <c r="I2504" s="1">
        <f t="shared" si="239"/>
        <v>44621</v>
      </c>
      <c r="J2504">
        <v>299140.80000000016</v>
      </c>
      <c r="K2504">
        <v>16680</v>
      </c>
      <c r="L2504">
        <f t="shared" si="235"/>
        <v>17.934100719424471</v>
      </c>
      <c r="M2504">
        <v>1390</v>
      </c>
      <c r="N2504" s="2">
        <f t="shared" si="240"/>
        <v>215.20920863309365</v>
      </c>
      <c r="O2504">
        <v>12</v>
      </c>
    </row>
    <row r="2505" spans="1:15" x14ac:dyDescent="0.25">
      <c r="A2505" t="s">
        <v>46</v>
      </c>
      <c r="B2505" t="s">
        <v>16</v>
      </c>
      <c r="C2505" t="s">
        <v>39</v>
      </c>
      <c r="D2505" t="str">
        <f t="shared" si="236"/>
        <v>FAB3_1L  D Li Deslactosada Light</v>
      </c>
      <c r="E2505">
        <v>2022</v>
      </c>
      <c r="F2505">
        <v>11</v>
      </c>
      <c r="G2505">
        <f t="shared" si="237"/>
        <v>3</v>
      </c>
      <c r="H2505" s="1">
        <f t="shared" si="238"/>
        <v>44634</v>
      </c>
      <c r="I2505" s="1">
        <f t="shared" si="239"/>
        <v>44621</v>
      </c>
      <c r="J2505">
        <v>324346.61000000004</v>
      </c>
      <c r="K2505">
        <v>17280</v>
      </c>
      <c r="L2505">
        <f t="shared" si="235"/>
        <v>18.770058449074078</v>
      </c>
      <c r="M2505">
        <v>1440</v>
      </c>
      <c r="N2505" s="2">
        <f t="shared" si="240"/>
        <v>225.24070138888891</v>
      </c>
      <c r="O2505">
        <v>12</v>
      </c>
    </row>
    <row r="2506" spans="1:15" x14ac:dyDescent="0.25">
      <c r="A2506" t="s">
        <v>46</v>
      </c>
      <c r="B2506" t="s">
        <v>16</v>
      </c>
      <c r="C2506" t="s">
        <v>39</v>
      </c>
      <c r="D2506" t="str">
        <f t="shared" si="236"/>
        <v>FAB3_1L  D Li Deslactosada Light</v>
      </c>
      <c r="E2506">
        <v>2022</v>
      </c>
      <c r="F2506">
        <v>12</v>
      </c>
      <c r="G2506">
        <f t="shared" si="237"/>
        <v>3</v>
      </c>
      <c r="H2506" s="1">
        <f t="shared" si="238"/>
        <v>44641</v>
      </c>
      <c r="I2506" s="1">
        <f t="shared" si="239"/>
        <v>44621</v>
      </c>
      <c r="J2506">
        <v>296854.63999999996</v>
      </c>
      <c r="K2506">
        <v>14832</v>
      </c>
      <c r="L2506">
        <f t="shared" si="235"/>
        <v>20.014471413160731</v>
      </c>
      <c r="M2506">
        <v>1236</v>
      </c>
      <c r="N2506" s="2">
        <f t="shared" si="240"/>
        <v>240.17365695792876</v>
      </c>
      <c r="O2506">
        <v>12</v>
      </c>
    </row>
    <row r="2507" spans="1:15" x14ac:dyDescent="0.25">
      <c r="A2507" t="s">
        <v>46</v>
      </c>
      <c r="B2507" t="s">
        <v>16</v>
      </c>
      <c r="C2507" t="s">
        <v>39</v>
      </c>
      <c r="D2507" t="str">
        <f t="shared" si="236"/>
        <v>FAB3_1L  D Li Deslactosada Light</v>
      </c>
      <c r="E2507">
        <v>2022</v>
      </c>
      <c r="F2507">
        <v>13</v>
      </c>
      <c r="G2507">
        <f t="shared" si="237"/>
        <v>3</v>
      </c>
      <c r="H2507" s="1">
        <f t="shared" si="238"/>
        <v>44648</v>
      </c>
      <c r="I2507" s="1">
        <f t="shared" si="239"/>
        <v>44621</v>
      </c>
      <c r="J2507">
        <v>309655.67999999988</v>
      </c>
      <c r="K2507">
        <v>15468</v>
      </c>
      <c r="L2507">
        <f t="shared" si="235"/>
        <v>20.019115593483313</v>
      </c>
      <c r="M2507">
        <v>1289</v>
      </c>
      <c r="N2507" s="2">
        <f t="shared" si="240"/>
        <v>240.22938712179976</v>
      </c>
      <c r="O2507">
        <v>12</v>
      </c>
    </row>
    <row r="2508" spans="1:15" x14ac:dyDescent="0.25">
      <c r="A2508" t="s">
        <v>46</v>
      </c>
      <c r="B2508" t="s">
        <v>16</v>
      </c>
      <c r="C2508" t="s">
        <v>39</v>
      </c>
      <c r="D2508" t="str">
        <f t="shared" si="236"/>
        <v>FAB3_1L  D Li Deslactosada Light</v>
      </c>
      <c r="E2508">
        <v>2022</v>
      </c>
      <c r="F2508">
        <v>14</v>
      </c>
      <c r="G2508">
        <f t="shared" si="237"/>
        <v>4</v>
      </c>
      <c r="H2508" s="1">
        <f t="shared" si="238"/>
        <v>44655</v>
      </c>
      <c r="I2508" s="1">
        <f t="shared" si="239"/>
        <v>44652</v>
      </c>
      <c r="J2508">
        <v>306642.95999999996</v>
      </c>
      <c r="K2508">
        <v>15324</v>
      </c>
      <c r="L2508">
        <f t="shared" si="235"/>
        <v>20.010634299138605</v>
      </c>
      <c r="M2508">
        <v>1277</v>
      </c>
      <c r="N2508" s="2">
        <f t="shared" si="240"/>
        <v>240.12761158966325</v>
      </c>
      <c r="O2508">
        <v>12</v>
      </c>
    </row>
    <row r="2509" spans="1:15" x14ac:dyDescent="0.25">
      <c r="A2509" t="s">
        <v>46</v>
      </c>
      <c r="B2509" t="s">
        <v>16</v>
      </c>
      <c r="C2509" t="s">
        <v>39</v>
      </c>
      <c r="D2509" t="str">
        <f t="shared" si="236"/>
        <v>FAB3_1L  D Li Deslactosada Light</v>
      </c>
      <c r="E2509">
        <v>2022</v>
      </c>
      <c r="F2509">
        <v>15</v>
      </c>
      <c r="G2509">
        <f t="shared" si="237"/>
        <v>4</v>
      </c>
      <c r="H2509" s="1">
        <f t="shared" si="238"/>
        <v>44662</v>
      </c>
      <c r="I2509" s="1">
        <f t="shared" si="239"/>
        <v>44652</v>
      </c>
      <c r="J2509">
        <v>273193.39999999991</v>
      </c>
      <c r="K2509">
        <v>13680</v>
      </c>
      <c r="L2509">
        <f t="shared" si="235"/>
        <v>19.97027777777777</v>
      </c>
      <c r="M2509">
        <v>1140</v>
      </c>
      <c r="N2509" s="2">
        <f t="shared" si="240"/>
        <v>239.64333333333326</v>
      </c>
      <c r="O2509">
        <v>12</v>
      </c>
    </row>
    <row r="2510" spans="1:15" x14ac:dyDescent="0.25">
      <c r="A2510" t="s">
        <v>46</v>
      </c>
      <c r="B2510" t="s">
        <v>16</v>
      </c>
      <c r="C2510" t="s">
        <v>39</v>
      </c>
      <c r="D2510" t="str">
        <f t="shared" si="236"/>
        <v>FAB3_1L  D Li Deslactosada Light</v>
      </c>
      <c r="E2510">
        <v>2022</v>
      </c>
      <c r="F2510">
        <v>16</v>
      </c>
      <c r="G2510">
        <f t="shared" si="237"/>
        <v>4</v>
      </c>
      <c r="H2510" s="1">
        <f t="shared" si="238"/>
        <v>44669</v>
      </c>
      <c r="I2510" s="1">
        <f t="shared" si="239"/>
        <v>44652</v>
      </c>
      <c r="J2510">
        <v>311889.67</v>
      </c>
      <c r="K2510">
        <v>15588</v>
      </c>
      <c r="L2510">
        <f t="shared" si="235"/>
        <v>20.008318578393634</v>
      </c>
      <c r="M2510">
        <v>1299</v>
      </c>
      <c r="N2510" s="2">
        <f t="shared" si="240"/>
        <v>240.09982294072361</v>
      </c>
      <c r="O2510">
        <v>12</v>
      </c>
    </row>
    <row r="2511" spans="1:15" x14ac:dyDescent="0.25">
      <c r="A2511" t="s">
        <v>46</v>
      </c>
      <c r="B2511" t="s">
        <v>16</v>
      </c>
      <c r="C2511" t="s">
        <v>39</v>
      </c>
      <c r="D2511" t="str">
        <f t="shared" si="236"/>
        <v>FAB3_1L  D Li Deslactosada Light</v>
      </c>
      <c r="E2511">
        <v>2022</v>
      </c>
      <c r="F2511">
        <v>17</v>
      </c>
      <c r="G2511">
        <f t="shared" si="237"/>
        <v>4</v>
      </c>
      <c r="H2511" s="1">
        <f t="shared" si="238"/>
        <v>44676</v>
      </c>
      <c r="I2511" s="1">
        <f t="shared" si="239"/>
        <v>44652</v>
      </c>
      <c r="J2511">
        <v>268262.47999999992</v>
      </c>
      <c r="K2511">
        <v>13404</v>
      </c>
      <c r="L2511">
        <f t="shared" si="235"/>
        <v>20.013613846612945</v>
      </c>
      <c r="M2511">
        <v>1117</v>
      </c>
      <c r="N2511" s="2">
        <f t="shared" si="240"/>
        <v>240.16336615935535</v>
      </c>
      <c r="O2511">
        <v>12</v>
      </c>
    </row>
    <row r="2512" spans="1:15" x14ac:dyDescent="0.25">
      <c r="A2512" t="s">
        <v>46</v>
      </c>
      <c r="B2512" t="s">
        <v>16</v>
      </c>
      <c r="C2512" t="s">
        <v>39</v>
      </c>
      <c r="D2512" t="str">
        <f t="shared" si="236"/>
        <v>FAB3_1L  D Li Deslactosada Light</v>
      </c>
      <c r="E2512">
        <v>2022</v>
      </c>
      <c r="F2512">
        <v>18</v>
      </c>
      <c r="G2512">
        <f t="shared" si="237"/>
        <v>5</v>
      </c>
      <c r="H2512" s="1">
        <f t="shared" si="238"/>
        <v>44683</v>
      </c>
      <c r="I2512" s="1">
        <f t="shared" si="239"/>
        <v>44682</v>
      </c>
      <c r="J2512">
        <v>323971.20000000007</v>
      </c>
      <c r="K2512">
        <v>16188</v>
      </c>
      <c r="L2512">
        <f t="shared" si="235"/>
        <v>20.013046701260198</v>
      </c>
      <c r="M2512">
        <v>1349</v>
      </c>
      <c r="N2512" s="2">
        <f t="shared" si="240"/>
        <v>240.15656041512236</v>
      </c>
      <c r="O2512">
        <v>12</v>
      </c>
    </row>
    <row r="2513" spans="1:15" x14ac:dyDescent="0.25">
      <c r="A2513" t="s">
        <v>46</v>
      </c>
      <c r="B2513" t="s">
        <v>16</v>
      </c>
      <c r="C2513" t="s">
        <v>39</v>
      </c>
      <c r="D2513" t="str">
        <f t="shared" si="236"/>
        <v>FAB3_1L  D Li Deslactosada Light</v>
      </c>
      <c r="E2513">
        <v>2022</v>
      </c>
      <c r="F2513">
        <v>19</v>
      </c>
      <c r="G2513">
        <f t="shared" si="237"/>
        <v>5</v>
      </c>
      <c r="H2513" s="1">
        <f t="shared" si="238"/>
        <v>44690</v>
      </c>
      <c r="I2513" s="1">
        <f t="shared" si="239"/>
        <v>44682</v>
      </c>
      <c r="J2513">
        <v>292515.59999999992</v>
      </c>
      <c r="K2513">
        <v>14616</v>
      </c>
      <c r="L2513">
        <f t="shared" si="235"/>
        <v>20.01338259441707</v>
      </c>
      <c r="M2513">
        <v>1218</v>
      </c>
      <c r="N2513" s="2">
        <f t="shared" si="240"/>
        <v>240.16059113300486</v>
      </c>
      <c r="O2513">
        <v>12</v>
      </c>
    </row>
    <row r="2514" spans="1:15" x14ac:dyDescent="0.25">
      <c r="A2514" t="s">
        <v>46</v>
      </c>
      <c r="B2514" t="s">
        <v>16</v>
      </c>
      <c r="C2514" t="s">
        <v>39</v>
      </c>
      <c r="D2514" t="str">
        <f t="shared" si="236"/>
        <v>FAB3_1L  D Li Deslactosada Light</v>
      </c>
      <c r="E2514">
        <v>2022</v>
      </c>
      <c r="F2514">
        <v>20</v>
      </c>
      <c r="G2514">
        <f t="shared" si="237"/>
        <v>5</v>
      </c>
      <c r="H2514" s="1">
        <f t="shared" si="238"/>
        <v>44697</v>
      </c>
      <c r="I2514" s="1">
        <f t="shared" si="239"/>
        <v>44682</v>
      </c>
      <c r="J2514">
        <v>314746.55999999988</v>
      </c>
      <c r="K2514">
        <v>15732</v>
      </c>
      <c r="L2514">
        <f t="shared" si="235"/>
        <v>20.006773455377566</v>
      </c>
      <c r="M2514">
        <v>1311</v>
      </c>
      <c r="N2514" s="2">
        <f t="shared" si="240"/>
        <v>240.0812814645308</v>
      </c>
      <c r="O2514">
        <v>12</v>
      </c>
    </row>
    <row r="2515" spans="1:15" x14ac:dyDescent="0.25">
      <c r="A2515" t="s">
        <v>46</v>
      </c>
      <c r="B2515" t="s">
        <v>16</v>
      </c>
      <c r="C2515" t="s">
        <v>39</v>
      </c>
      <c r="D2515" t="str">
        <f t="shared" si="236"/>
        <v>FAB3_1L  D Li Deslactosada Light</v>
      </c>
      <c r="E2515">
        <v>2022</v>
      </c>
      <c r="F2515">
        <v>21</v>
      </c>
      <c r="G2515">
        <f t="shared" si="237"/>
        <v>5</v>
      </c>
      <c r="H2515" s="1">
        <f t="shared" si="238"/>
        <v>44704</v>
      </c>
      <c r="I2515" s="1">
        <f t="shared" si="239"/>
        <v>44682</v>
      </c>
      <c r="J2515">
        <v>270236.6399999999</v>
      </c>
      <c r="K2515">
        <v>13500</v>
      </c>
      <c r="L2515">
        <f t="shared" si="235"/>
        <v>20.017528888888883</v>
      </c>
      <c r="M2515">
        <v>1125</v>
      </c>
      <c r="N2515" s="2">
        <f t="shared" si="240"/>
        <v>240.21034666666657</v>
      </c>
      <c r="O2515">
        <v>12</v>
      </c>
    </row>
    <row r="2516" spans="1:15" x14ac:dyDescent="0.25">
      <c r="A2516" t="s">
        <v>46</v>
      </c>
      <c r="B2516" t="s">
        <v>16</v>
      </c>
      <c r="C2516" t="s">
        <v>39</v>
      </c>
      <c r="D2516" t="str">
        <f t="shared" si="236"/>
        <v>FAB3_1L  D Li Deslactosada Light</v>
      </c>
      <c r="E2516">
        <v>2022</v>
      </c>
      <c r="F2516">
        <v>22</v>
      </c>
      <c r="G2516">
        <f t="shared" si="237"/>
        <v>6</v>
      </c>
      <c r="H2516" s="1">
        <f t="shared" si="238"/>
        <v>44711</v>
      </c>
      <c r="I2516" s="1">
        <f t="shared" si="239"/>
        <v>44713</v>
      </c>
      <c r="J2516">
        <v>324701.29000000004</v>
      </c>
      <c r="K2516">
        <v>16692</v>
      </c>
      <c r="L2516">
        <f t="shared" si="235"/>
        <v>19.45250958543015</v>
      </c>
      <c r="M2516">
        <v>1391</v>
      </c>
      <c r="N2516" s="2">
        <f t="shared" si="240"/>
        <v>233.43011502516177</v>
      </c>
      <c r="O2516">
        <v>12</v>
      </c>
    </row>
    <row r="2517" spans="1:15" x14ac:dyDescent="0.25">
      <c r="A2517" t="s">
        <v>46</v>
      </c>
      <c r="B2517" t="s">
        <v>16</v>
      </c>
      <c r="C2517" t="s">
        <v>39</v>
      </c>
      <c r="D2517" t="str">
        <f t="shared" si="236"/>
        <v>FAB3_1L  D Li Deslactosada Light</v>
      </c>
      <c r="E2517">
        <v>2022</v>
      </c>
      <c r="F2517">
        <v>23</v>
      </c>
      <c r="G2517">
        <f t="shared" si="237"/>
        <v>6</v>
      </c>
      <c r="H2517" s="1">
        <f t="shared" si="238"/>
        <v>44718</v>
      </c>
      <c r="I2517" s="1">
        <f t="shared" si="239"/>
        <v>44713</v>
      </c>
      <c r="J2517">
        <v>299666.38</v>
      </c>
      <c r="K2517">
        <v>15420</v>
      </c>
      <c r="L2517">
        <f t="shared" si="235"/>
        <v>19.43361738002594</v>
      </c>
      <c r="M2517">
        <v>1285</v>
      </c>
      <c r="N2517" s="2">
        <f t="shared" si="240"/>
        <v>233.20340856031129</v>
      </c>
      <c r="O2517">
        <v>12</v>
      </c>
    </row>
    <row r="2518" spans="1:15" x14ac:dyDescent="0.25">
      <c r="A2518" t="s">
        <v>46</v>
      </c>
      <c r="B2518" t="s">
        <v>16</v>
      </c>
      <c r="C2518" t="s">
        <v>39</v>
      </c>
      <c r="D2518" t="str">
        <f t="shared" si="236"/>
        <v>FAB3_1L  D Li Deslactosada Light</v>
      </c>
      <c r="E2518">
        <v>2022</v>
      </c>
      <c r="F2518">
        <v>24</v>
      </c>
      <c r="G2518">
        <f t="shared" si="237"/>
        <v>6</v>
      </c>
      <c r="H2518" s="1">
        <f t="shared" si="238"/>
        <v>44725</v>
      </c>
      <c r="I2518" s="1">
        <f t="shared" si="239"/>
        <v>44713</v>
      </c>
      <c r="J2518">
        <v>283186.57999999996</v>
      </c>
      <c r="K2518">
        <v>14160</v>
      </c>
      <c r="L2518">
        <f t="shared" si="235"/>
        <v>19.999052259887002</v>
      </c>
      <c r="M2518">
        <v>1180</v>
      </c>
      <c r="N2518" s="2">
        <f t="shared" si="240"/>
        <v>239.98862711864402</v>
      </c>
      <c r="O2518">
        <v>12</v>
      </c>
    </row>
    <row r="2519" spans="1:15" x14ac:dyDescent="0.25">
      <c r="A2519" t="s">
        <v>46</v>
      </c>
      <c r="B2519" t="s">
        <v>16</v>
      </c>
      <c r="C2519" t="s">
        <v>39</v>
      </c>
      <c r="D2519" t="str">
        <f t="shared" si="236"/>
        <v>FAB3_1L  D Li Deslactosada Light</v>
      </c>
      <c r="E2519">
        <v>2022</v>
      </c>
      <c r="F2519">
        <v>25</v>
      </c>
      <c r="G2519">
        <f t="shared" si="237"/>
        <v>6</v>
      </c>
      <c r="H2519" s="1">
        <f t="shared" si="238"/>
        <v>44732</v>
      </c>
      <c r="I2519" s="1">
        <f t="shared" si="239"/>
        <v>44713</v>
      </c>
      <c r="J2519">
        <v>262708.62999999989</v>
      </c>
      <c r="K2519">
        <v>13128</v>
      </c>
      <c r="L2519">
        <f t="shared" si="235"/>
        <v>20.011321602681285</v>
      </c>
      <c r="M2519">
        <v>1094</v>
      </c>
      <c r="N2519" s="2">
        <f t="shared" si="240"/>
        <v>240.13585923217539</v>
      </c>
      <c r="O2519">
        <v>12</v>
      </c>
    </row>
    <row r="2520" spans="1:15" x14ac:dyDescent="0.25">
      <c r="A2520" t="s">
        <v>46</v>
      </c>
      <c r="B2520" t="s">
        <v>16</v>
      </c>
      <c r="C2520" t="s">
        <v>39</v>
      </c>
      <c r="D2520" t="str">
        <f t="shared" si="236"/>
        <v>FAB3_1L  D Li Deslactosada Light</v>
      </c>
      <c r="E2520">
        <v>2022</v>
      </c>
      <c r="F2520">
        <v>26</v>
      </c>
      <c r="G2520">
        <f t="shared" si="237"/>
        <v>6</v>
      </c>
      <c r="H2520" s="1">
        <f t="shared" si="238"/>
        <v>44739</v>
      </c>
      <c r="I2520" s="1">
        <f t="shared" si="239"/>
        <v>44713</v>
      </c>
      <c r="J2520">
        <v>289560.55</v>
      </c>
      <c r="K2520">
        <v>14472</v>
      </c>
      <c r="L2520">
        <f t="shared" si="235"/>
        <v>20.008329878385847</v>
      </c>
      <c r="M2520">
        <v>1206</v>
      </c>
      <c r="N2520" s="2">
        <f t="shared" si="240"/>
        <v>240.09995854063018</v>
      </c>
      <c r="O2520">
        <v>12</v>
      </c>
    </row>
    <row r="2521" spans="1:15" x14ac:dyDescent="0.25">
      <c r="A2521" t="s">
        <v>46</v>
      </c>
      <c r="B2521" t="s">
        <v>16</v>
      </c>
      <c r="C2521" t="s">
        <v>39</v>
      </c>
      <c r="D2521" t="str">
        <f t="shared" si="236"/>
        <v>FAB3_1L  D Li Deslactosada Light</v>
      </c>
      <c r="E2521">
        <v>2022</v>
      </c>
      <c r="F2521">
        <v>27</v>
      </c>
      <c r="G2521">
        <f t="shared" si="237"/>
        <v>7</v>
      </c>
      <c r="H2521" s="1">
        <f t="shared" si="238"/>
        <v>44746</v>
      </c>
      <c r="I2521" s="1">
        <f t="shared" si="239"/>
        <v>44743</v>
      </c>
      <c r="J2521">
        <v>315963.98</v>
      </c>
      <c r="K2521">
        <v>15792</v>
      </c>
      <c r="L2521">
        <f t="shared" si="235"/>
        <v>20.007850810536979</v>
      </c>
      <c r="M2521">
        <v>1316</v>
      </c>
      <c r="N2521" s="2">
        <f t="shared" si="240"/>
        <v>240.09420972644375</v>
      </c>
      <c r="O2521">
        <v>12</v>
      </c>
    </row>
    <row r="2522" spans="1:15" x14ac:dyDescent="0.25">
      <c r="A2522" t="s">
        <v>46</v>
      </c>
      <c r="B2522" t="s">
        <v>16</v>
      </c>
      <c r="C2522" t="s">
        <v>39</v>
      </c>
      <c r="D2522" t="str">
        <f t="shared" si="236"/>
        <v>FAB3_1L  D Li Deslactosada Light</v>
      </c>
      <c r="E2522">
        <v>2022</v>
      </c>
      <c r="F2522">
        <v>28</v>
      </c>
      <c r="G2522">
        <f t="shared" si="237"/>
        <v>7</v>
      </c>
      <c r="H2522" s="1">
        <f t="shared" si="238"/>
        <v>44753</v>
      </c>
      <c r="I2522" s="1">
        <f t="shared" si="239"/>
        <v>44743</v>
      </c>
      <c r="J2522">
        <v>258495.62999999995</v>
      </c>
      <c r="K2522">
        <v>12708</v>
      </c>
      <c r="L2522">
        <f t="shared" si="235"/>
        <v>20.341173276676106</v>
      </c>
      <c r="M2522">
        <v>1059</v>
      </c>
      <c r="N2522" s="2">
        <f t="shared" si="240"/>
        <v>244.09407932011325</v>
      </c>
      <c r="O2522">
        <v>12</v>
      </c>
    </row>
    <row r="2523" spans="1:15" x14ac:dyDescent="0.25">
      <c r="A2523" t="s">
        <v>46</v>
      </c>
      <c r="B2523" t="s">
        <v>16</v>
      </c>
      <c r="C2523" t="s">
        <v>39</v>
      </c>
      <c r="D2523" t="str">
        <f t="shared" si="236"/>
        <v>FAB3_1L  D Li Deslactosada Light</v>
      </c>
      <c r="E2523">
        <v>2022</v>
      </c>
      <c r="F2523">
        <v>29</v>
      </c>
      <c r="G2523">
        <f t="shared" si="237"/>
        <v>7</v>
      </c>
      <c r="H2523" s="1">
        <f t="shared" si="238"/>
        <v>44760</v>
      </c>
      <c r="I2523" s="1">
        <f t="shared" si="239"/>
        <v>44743</v>
      </c>
      <c r="J2523">
        <v>299544.87999999989</v>
      </c>
      <c r="K2523">
        <v>14316</v>
      </c>
      <c r="L2523">
        <f t="shared" si="235"/>
        <v>20.923783179659114</v>
      </c>
      <c r="M2523">
        <v>1193</v>
      </c>
      <c r="N2523" s="2">
        <f t="shared" si="240"/>
        <v>251.08539815590939</v>
      </c>
      <c r="O2523">
        <v>12</v>
      </c>
    </row>
    <row r="2524" spans="1:15" x14ac:dyDescent="0.25">
      <c r="A2524" t="s">
        <v>46</v>
      </c>
      <c r="B2524" t="s">
        <v>16</v>
      </c>
      <c r="C2524" t="s">
        <v>39</v>
      </c>
      <c r="D2524" t="str">
        <f t="shared" si="236"/>
        <v>FAB3_1L  D Li Deslactosada Light</v>
      </c>
      <c r="E2524">
        <v>2022</v>
      </c>
      <c r="F2524">
        <v>30</v>
      </c>
      <c r="G2524">
        <f t="shared" si="237"/>
        <v>7</v>
      </c>
      <c r="H2524" s="1">
        <f t="shared" si="238"/>
        <v>44767</v>
      </c>
      <c r="I2524" s="1">
        <f t="shared" si="239"/>
        <v>44743</v>
      </c>
      <c r="J2524">
        <v>257478.3899999999</v>
      </c>
      <c r="K2524">
        <v>12300</v>
      </c>
      <c r="L2524">
        <f t="shared" si="235"/>
        <v>20.933202439024381</v>
      </c>
      <c r="M2524">
        <v>1025</v>
      </c>
      <c r="N2524" s="2">
        <f t="shared" si="240"/>
        <v>251.19842926829259</v>
      </c>
      <c r="O2524">
        <v>12</v>
      </c>
    </row>
    <row r="2525" spans="1:15" x14ac:dyDescent="0.25">
      <c r="A2525" t="s">
        <v>46</v>
      </c>
      <c r="B2525" t="s">
        <v>16</v>
      </c>
      <c r="C2525" t="s">
        <v>39</v>
      </c>
      <c r="D2525" t="str">
        <f t="shared" si="236"/>
        <v>FAB3_1L  D Li Deslactosada Light</v>
      </c>
      <c r="E2525">
        <v>2022</v>
      </c>
      <c r="F2525">
        <v>31</v>
      </c>
      <c r="G2525">
        <f t="shared" si="237"/>
        <v>8</v>
      </c>
      <c r="H2525" s="1">
        <f t="shared" si="238"/>
        <v>44774</v>
      </c>
      <c r="I2525" s="1">
        <f t="shared" si="239"/>
        <v>44774</v>
      </c>
      <c r="J2525">
        <v>301561.98</v>
      </c>
      <c r="K2525">
        <v>14676</v>
      </c>
      <c r="L2525">
        <f t="shared" si="235"/>
        <v>20.547968111201961</v>
      </c>
      <c r="M2525">
        <v>1223</v>
      </c>
      <c r="N2525" s="2">
        <f t="shared" si="240"/>
        <v>246.57561733442353</v>
      </c>
      <c r="O2525">
        <v>12</v>
      </c>
    </row>
    <row r="2526" spans="1:15" x14ac:dyDescent="0.25">
      <c r="A2526" t="s">
        <v>46</v>
      </c>
      <c r="B2526" t="s">
        <v>16</v>
      </c>
      <c r="C2526" t="s">
        <v>39</v>
      </c>
      <c r="D2526" t="str">
        <f t="shared" si="236"/>
        <v>FAB3_1L  D Li Deslactosada Light</v>
      </c>
      <c r="E2526">
        <v>2022</v>
      </c>
      <c r="F2526">
        <v>32</v>
      </c>
      <c r="G2526">
        <f t="shared" si="237"/>
        <v>8</v>
      </c>
      <c r="H2526" s="1">
        <f t="shared" si="238"/>
        <v>44781</v>
      </c>
      <c r="I2526" s="1">
        <f t="shared" si="239"/>
        <v>44774</v>
      </c>
      <c r="J2526">
        <v>376791.21999999991</v>
      </c>
      <c r="K2526">
        <v>20076</v>
      </c>
      <c r="L2526">
        <f t="shared" si="235"/>
        <v>18.768241681609879</v>
      </c>
      <c r="M2526">
        <v>1673</v>
      </c>
      <c r="N2526" s="2">
        <f t="shared" si="240"/>
        <v>225.21890017931852</v>
      </c>
      <c r="O2526">
        <v>12</v>
      </c>
    </row>
    <row r="2527" spans="1:15" x14ac:dyDescent="0.25">
      <c r="A2527" t="s">
        <v>46</v>
      </c>
      <c r="B2527" t="s">
        <v>16</v>
      </c>
      <c r="C2527" t="s">
        <v>39</v>
      </c>
      <c r="D2527" t="str">
        <f t="shared" si="236"/>
        <v>FAB3_1L  D Li Deslactosada Light</v>
      </c>
      <c r="E2527">
        <v>2022</v>
      </c>
      <c r="F2527">
        <v>33</v>
      </c>
      <c r="G2527">
        <f t="shared" si="237"/>
        <v>8</v>
      </c>
      <c r="H2527" s="1">
        <f t="shared" si="238"/>
        <v>44788</v>
      </c>
      <c r="I2527" s="1">
        <f t="shared" si="239"/>
        <v>44774</v>
      </c>
      <c r="J2527">
        <v>266688.23999999993</v>
      </c>
      <c r="K2527">
        <v>14208</v>
      </c>
      <c r="L2527">
        <f t="shared" si="235"/>
        <v>18.770287162162159</v>
      </c>
      <c r="M2527">
        <v>1184</v>
      </c>
      <c r="N2527" s="2">
        <f t="shared" si="240"/>
        <v>225.24344594594589</v>
      </c>
      <c r="O2527">
        <v>12</v>
      </c>
    </row>
    <row r="2528" spans="1:15" x14ac:dyDescent="0.25">
      <c r="A2528" t="s">
        <v>46</v>
      </c>
      <c r="B2528" t="s">
        <v>16</v>
      </c>
      <c r="C2528" t="s">
        <v>39</v>
      </c>
      <c r="D2528" t="str">
        <f t="shared" si="236"/>
        <v>FAB3_1L  D Li Deslactosada Light</v>
      </c>
      <c r="E2528">
        <v>2022</v>
      </c>
      <c r="F2528">
        <v>34</v>
      </c>
      <c r="G2528">
        <f t="shared" si="237"/>
        <v>8</v>
      </c>
      <c r="H2528" s="1">
        <f t="shared" si="238"/>
        <v>44795</v>
      </c>
      <c r="I2528" s="1">
        <f t="shared" si="239"/>
        <v>44774</v>
      </c>
      <c r="J2528">
        <v>344360.8299999999</v>
      </c>
      <c r="K2528">
        <v>18144</v>
      </c>
      <c r="L2528">
        <f t="shared" si="235"/>
        <v>18.979322641093468</v>
      </c>
      <c r="M2528">
        <v>1512</v>
      </c>
      <c r="N2528" s="2">
        <f t="shared" si="240"/>
        <v>227.75187169312161</v>
      </c>
      <c r="O2528">
        <v>12</v>
      </c>
    </row>
    <row r="2529" spans="1:15" x14ac:dyDescent="0.25">
      <c r="A2529" t="s">
        <v>46</v>
      </c>
      <c r="B2529" t="s">
        <v>16</v>
      </c>
      <c r="C2529" t="s">
        <v>39</v>
      </c>
      <c r="D2529" t="str">
        <f t="shared" si="236"/>
        <v>FAB3_1L  D Li Deslactosada Light</v>
      </c>
      <c r="E2529">
        <v>2022</v>
      </c>
      <c r="F2529">
        <v>35</v>
      </c>
      <c r="G2529">
        <f t="shared" si="237"/>
        <v>9</v>
      </c>
      <c r="H2529" s="1">
        <f t="shared" si="238"/>
        <v>44802</v>
      </c>
      <c r="I2529" s="1">
        <f t="shared" si="239"/>
        <v>44805</v>
      </c>
      <c r="J2529">
        <v>315287.74</v>
      </c>
      <c r="K2529">
        <v>15060</v>
      </c>
      <c r="L2529">
        <f t="shared" si="235"/>
        <v>20.935440903054449</v>
      </c>
      <c r="M2529">
        <v>1255</v>
      </c>
      <c r="N2529" s="2">
        <f t="shared" si="240"/>
        <v>251.22529083665339</v>
      </c>
      <c r="O2529">
        <v>12</v>
      </c>
    </row>
    <row r="2530" spans="1:15" x14ac:dyDescent="0.25">
      <c r="A2530" t="s">
        <v>46</v>
      </c>
      <c r="B2530" t="s">
        <v>16</v>
      </c>
      <c r="C2530" t="s">
        <v>39</v>
      </c>
      <c r="D2530" t="str">
        <f t="shared" si="236"/>
        <v>FAB3_1L  D Li Deslactosada Light</v>
      </c>
      <c r="E2530">
        <v>2022</v>
      </c>
      <c r="F2530">
        <v>36</v>
      </c>
      <c r="G2530">
        <f t="shared" si="237"/>
        <v>9</v>
      </c>
      <c r="H2530" s="1">
        <f t="shared" si="238"/>
        <v>44809</v>
      </c>
      <c r="I2530" s="1">
        <f t="shared" si="239"/>
        <v>44805</v>
      </c>
      <c r="J2530">
        <v>330867.05999999994</v>
      </c>
      <c r="K2530">
        <v>15804</v>
      </c>
      <c r="L2530">
        <f t="shared" si="235"/>
        <v>20.935652999240695</v>
      </c>
      <c r="M2530">
        <v>1317</v>
      </c>
      <c r="N2530" s="2">
        <f t="shared" si="240"/>
        <v>251.22783599088834</v>
      </c>
      <c r="O2530">
        <v>12</v>
      </c>
    </row>
    <row r="2531" spans="1:15" x14ac:dyDescent="0.25">
      <c r="A2531" t="s">
        <v>46</v>
      </c>
      <c r="B2531" t="s">
        <v>16</v>
      </c>
      <c r="C2531" t="s">
        <v>39</v>
      </c>
      <c r="D2531" t="str">
        <f t="shared" si="236"/>
        <v>FAB3_1L  D Li Deslactosada Light</v>
      </c>
      <c r="E2531">
        <v>2022</v>
      </c>
      <c r="F2531">
        <v>37</v>
      </c>
      <c r="G2531">
        <f t="shared" si="237"/>
        <v>9</v>
      </c>
      <c r="H2531" s="1">
        <f t="shared" si="238"/>
        <v>44816</v>
      </c>
      <c r="I2531" s="1">
        <f t="shared" si="239"/>
        <v>44805</v>
      </c>
      <c r="J2531">
        <v>321439.3</v>
      </c>
      <c r="K2531">
        <v>15408</v>
      </c>
      <c r="L2531">
        <f t="shared" si="235"/>
        <v>20.861844496365524</v>
      </c>
      <c r="M2531">
        <v>1284</v>
      </c>
      <c r="N2531" s="2">
        <f t="shared" si="240"/>
        <v>250.34213395638628</v>
      </c>
      <c r="O2531">
        <v>12</v>
      </c>
    </row>
    <row r="2532" spans="1:15" x14ac:dyDescent="0.25">
      <c r="A2532" t="s">
        <v>46</v>
      </c>
      <c r="B2532" t="s">
        <v>16</v>
      </c>
      <c r="C2532" t="s">
        <v>39</v>
      </c>
      <c r="D2532" t="str">
        <f t="shared" si="236"/>
        <v>FAB3_1L  D Li Deslactosada Light</v>
      </c>
      <c r="E2532">
        <v>2022</v>
      </c>
      <c r="F2532">
        <v>38</v>
      </c>
      <c r="G2532">
        <f t="shared" si="237"/>
        <v>9</v>
      </c>
      <c r="H2532" s="1">
        <f t="shared" si="238"/>
        <v>44823</v>
      </c>
      <c r="I2532" s="1">
        <f t="shared" si="239"/>
        <v>44805</v>
      </c>
      <c r="J2532">
        <v>297642.74</v>
      </c>
      <c r="K2532">
        <v>14220</v>
      </c>
      <c r="L2532">
        <f t="shared" si="235"/>
        <v>20.931275668073134</v>
      </c>
      <c r="M2532">
        <v>1185</v>
      </c>
      <c r="N2532" s="2">
        <f t="shared" si="240"/>
        <v>251.17530801687764</v>
      </c>
      <c r="O2532">
        <v>12</v>
      </c>
    </row>
    <row r="2533" spans="1:15" x14ac:dyDescent="0.25">
      <c r="A2533" t="s">
        <v>46</v>
      </c>
      <c r="B2533" t="s">
        <v>16</v>
      </c>
      <c r="C2533" t="s">
        <v>39</v>
      </c>
      <c r="D2533" t="str">
        <f t="shared" si="236"/>
        <v>FAB3_1L  D Li Deslactosada Light</v>
      </c>
      <c r="E2533">
        <v>2022</v>
      </c>
      <c r="F2533">
        <v>39</v>
      </c>
      <c r="G2533">
        <f t="shared" si="237"/>
        <v>9</v>
      </c>
      <c r="H2533" s="1">
        <f t="shared" si="238"/>
        <v>44830</v>
      </c>
      <c r="I2533" s="1">
        <f t="shared" si="239"/>
        <v>44805</v>
      </c>
      <c r="J2533">
        <v>315201.18999999994</v>
      </c>
      <c r="K2533">
        <v>15060</v>
      </c>
      <c r="L2533">
        <f t="shared" si="235"/>
        <v>20.929693891102254</v>
      </c>
      <c r="M2533">
        <v>1255</v>
      </c>
      <c r="N2533" s="2">
        <f t="shared" si="240"/>
        <v>251.15632669322704</v>
      </c>
      <c r="O2533">
        <v>12</v>
      </c>
    </row>
    <row r="2534" spans="1:15" x14ac:dyDescent="0.25">
      <c r="A2534" t="s">
        <v>46</v>
      </c>
      <c r="B2534" t="s">
        <v>16</v>
      </c>
      <c r="C2534" t="s">
        <v>39</v>
      </c>
      <c r="D2534" t="str">
        <f t="shared" si="236"/>
        <v>FAB3_1L  D Li Deslactosada Light</v>
      </c>
      <c r="E2534">
        <v>2022</v>
      </c>
      <c r="F2534">
        <v>40</v>
      </c>
      <c r="G2534">
        <f t="shared" si="237"/>
        <v>10</v>
      </c>
      <c r="H2534" s="1">
        <f t="shared" si="238"/>
        <v>44837</v>
      </c>
      <c r="I2534" s="1">
        <f t="shared" si="239"/>
        <v>44835</v>
      </c>
      <c r="J2534">
        <v>381285.13</v>
      </c>
      <c r="K2534">
        <v>18600</v>
      </c>
      <c r="L2534">
        <f t="shared" si="235"/>
        <v>20.499200537634408</v>
      </c>
      <c r="M2534">
        <v>1550</v>
      </c>
      <c r="N2534" s="2">
        <f t="shared" si="240"/>
        <v>245.9904064516129</v>
      </c>
      <c r="O2534">
        <v>12</v>
      </c>
    </row>
    <row r="2535" spans="1:15" x14ac:dyDescent="0.25">
      <c r="A2535" t="s">
        <v>46</v>
      </c>
      <c r="B2535" t="s">
        <v>16</v>
      </c>
      <c r="C2535" t="s">
        <v>39</v>
      </c>
      <c r="D2535" t="str">
        <f t="shared" si="236"/>
        <v>FAB3_1L  D Li Deslactosada Light</v>
      </c>
      <c r="E2535">
        <v>2022</v>
      </c>
      <c r="F2535">
        <v>41</v>
      </c>
      <c r="G2535">
        <f t="shared" si="237"/>
        <v>10</v>
      </c>
      <c r="H2535" s="1">
        <f t="shared" si="238"/>
        <v>44844</v>
      </c>
      <c r="I2535" s="1">
        <f t="shared" si="239"/>
        <v>44835</v>
      </c>
      <c r="J2535">
        <v>352075.20999999996</v>
      </c>
      <c r="K2535">
        <v>17964</v>
      </c>
      <c r="L2535">
        <f t="shared" si="235"/>
        <v>19.598931752393675</v>
      </c>
      <c r="M2535">
        <v>1497</v>
      </c>
      <c r="N2535" s="2">
        <f t="shared" si="240"/>
        <v>235.1871810287241</v>
      </c>
      <c r="O2535">
        <v>12</v>
      </c>
    </row>
    <row r="2536" spans="1:15" x14ac:dyDescent="0.25">
      <c r="A2536" t="s">
        <v>46</v>
      </c>
      <c r="B2536" t="s">
        <v>16</v>
      </c>
      <c r="C2536" t="s">
        <v>39</v>
      </c>
      <c r="D2536" t="str">
        <f t="shared" si="236"/>
        <v>FAB3_1L  D Li Deslactosada Light</v>
      </c>
      <c r="E2536">
        <v>2022</v>
      </c>
      <c r="F2536">
        <v>42</v>
      </c>
      <c r="G2536">
        <f t="shared" si="237"/>
        <v>10</v>
      </c>
      <c r="H2536" s="1">
        <f t="shared" si="238"/>
        <v>44851</v>
      </c>
      <c r="I2536" s="1">
        <f t="shared" si="239"/>
        <v>44835</v>
      </c>
      <c r="J2536">
        <v>396582.73000000004</v>
      </c>
      <c r="K2536">
        <v>19572</v>
      </c>
      <c r="L2536">
        <f t="shared" si="235"/>
        <v>20.262759554465564</v>
      </c>
      <c r="M2536">
        <v>1631</v>
      </c>
      <c r="N2536" s="2">
        <f t="shared" si="240"/>
        <v>243.15311465358678</v>
      </c>
      <c r="O2536">
        <v>12</v>
      </c>
    </row>
    <row r="2537" spans="1:15" x14ac:dyDescent="0.25">
      <c r="A2537" t="s">
        <v>46</v>
      </c>
      <c r="B2537" t="s">
        <v>16</v>
      </c>
      <c r="C2537" t="s">
        <v>39</v>
      </c>
      <c r="D2537" t="str">
        <f t="shared" si="236"/>
        <v>FAB3_1L  D Li Deslactosada Light</v>
      </c>
      <c r="E2537">
        <v>2022</v>
      </c>
      <c r="F2537">
        <v>43</v>
      </c>
      <c r="G2537">
        <f t="shared" si="237"/>
        <v>10</v>
      </c>
      <c r="H2537" s="1">
        <f t="shared" si="238"/>
        <v>44858</v>
      </c>
      <c r="I2537" s="1">
        <f t="shared" si="239"/>
        <v>44835</v>
      </c>
      <c r="J2537">
        <v>281823.93</v>
      </c>
      <c r="K2537">
        <v>13464</v>
      </c>
      <c r="L2537">
        <f t="shared" si="235"/>
        <v>20.931664438502672</v>
      </c>
      <c r="M2537">
        <v>1122</v>
      </c>
      <c r="N2537" s="2">
        <f t="shared" si="240"/>
        <v>251.17997326203209</v>
      </c>
      <c r="O2537">
        <v>12</v>
      </c>
    </row>
    <row r="2538" spans="1:15" x14ac:dyDescent="0.25">
      <c r="A2538" t="s">
        <v>46</v>
      </c>
      <c r="B2538" t="s">
        <v>16</v>
      </c>
      <c r="C2538" t="s">
        <v>39</v>
      </c>
      <c r="D2538" t="str">
        <f t="shared" si="236"/>
        <v>FAB3_1L  D Li Deslactosada Light</v>
      </c>
      <c r="E2538">
        <v>2022</v>
      </c>
      <c r="F2538">
        <v>44</v>
      </c>
      <c r="G2538">
        <f t="shared" si="237"/>
        <v>11</v>
      </c>
      <c r="H2538" s="1">
        <f t="shared" si="238"/>
        <v>44865</v>
      </c>
      <c r="I2538" s="1">
        <f t="shared" si="239"/>
        <v>44866</v>
      </c>
      <c r="J2538">
        <v>377330.87999999995</v>
      </c>
      <c r="K2538">
        <v>18024</v>
      </c>
      <c r="L2538">
        <f t="shared" si="235"/>
        <v>20.934913448735017</v>
      </c>
      <c r="M2538">
        <v>1502</v>
      </c>
      <c r="N2538" s="2">
        <f t="shared" si="240"/>
        <v>251.2189613848202</v>
      </c>
      <c r="O2538">
        <v>12</v>
      </c>
    </row>
    <row r="2539" spans="1:15" x14ac:dyDescent="0.25">
      <c r="A2539" t="s">
        <v>46</v>
      </c>
      <c r="B2539" t="s">
        <v>16</v>
      </c>
      <c r="C2539" t="s">
        <v>39</v>
      </c>
      <c r="D2539" t="str">
        <f t="shared" si="236"/>
        <v>FAB3_1L  D Li Deslactosada Light</v>
      </c>
      <c r="E2539">
        <v>2022</v>
      </c>
      <c r="F2539">
        <v>45</v>
      </c>
      <c r="G2539">
        <f t="shared" si="237"/>
        <v>11</v>
      </c>
      <c r="H2539" s="1">
        <f t="shared" si="238"/>
        <v>44872</v>
      </c>
      <c r="I2539" s="1">
        <f t="shared" si="239"/>
        <v>44866</v>
      </c>
      <c r="J2539">
        <v>348918.22000000009</v>
      </c>
      <c r="K2539">
        <v>16668</v>
      </c>
      <c r="L2539">
        <f t="shared" si="235"/>
        <v>20.933418526517883</v>
      </c>
      <c r="M2539">
        <v>1389</v>
      </c>
      <c r="N2539" s="2">
        <f t="shared" si="240"/>
        <v>251.2010223182146</v>
      </c>
      <c r="O2539">
        <v>12</v>
      </c>
    </row>
    <row r="2540" spans="1:15" x14ac:dyDescent="0.25">
      <c r="A2540" t="s">
        <v>46</v>
      </c>
      <c r="B2540" t="s">
        <v>16</v>
      </c>
      <c r="C2540" t="s">
        <v>39</v>
      </c>
      <c r="D2540" t="str">
        <f t="shared" si="236"/>
        <v>FAB3_1L  D Li Deslactosada Light</v>
      </c>
      <c r="E2540">
        <v>2022</v>
      </c>
      <c r="F2540">
        <v>46</v>
      </c>
      <c r="G2540">
        <f t="shared" si="237"/>
        <v>11</v>
      </c>
      <c r="H2540" s="1">
        <f t="shared" si="238"/>
        <v>44879</v>
      </c>
      <c r="I2540" s="1">
        <f t="shared" si="239"/>
        <v>44866</v>
      </c>
      <c r="J2540">
        <v>426292.30000000005</v>
      </c>
      <c r="K2540">
        <v>20376</v>
      </c>
      <c r="L2540">
        <f t="shared" si="235"/>
        <v>20.921294660384767</v>
      </c>
      <c r="M2540">
        <v>1698</v>
      </c>
      <c r="N2540" s="2">
        <f t="shared" si="240"/>
        <v>251.05553592461723</v>
      </c>
      <c r="O2540">
        <v>12</v>
      </c>
    </row>
    <row r="2541" spans="1:15" x14ac:dyDescent="0.25">
      <c r="A2541" t="s">
        <v>46</v>
      </c>
      <c r="B2541" t="s">
        <v>16</v>
      </c>
      <c r="C2541" t="s">
        <v>39</v>
      </c>
      <c r="D2541" t="str">
        <f t="shared" si="236"/>
        <v>FAB3_1L  D Li Deslactosada Light</v>
      </c>
      <c r="E2541">
        <v>2022</v>
      </c>
      <c r="F2541">
        <v>47</v>
      </c>
      <c r="G2541">
        <f t="shared" si="237"/>
        <v>11</v>
      </c>
      <c r="H2541" s="1">
        <f t="shared" si="238"/>
        <v>44886</v>
      </c>
      <c r="I2541" s="1">
        <f t="shared" si="239"/>
        <v>44866</v>
      </c>
      <c r="J2541">
        <v>374861.59</v>
      </c>
      <c r="K2541">
        <v>17940</v>
      </c>
      <c r="L2541">
        <f t="shared" si="235"/>
        <v>20.895294871794874</v>
      </c>
      <c r="M2541">
        <v>1495</v>
      </c>
      <c r="N2541" s="2">
        <f t="shared" si="240"/>
        <v>250.74353846153849</v>
      </c>
      <c r="O2541">
        <v>12</v>
      </c>
    </row>
    <row r="2542" spans="1:15" x14ac:dyDescent="0.25">
      <c r="A2542" t="s">
        <v>46</v>
      </c>
      <c r="B2542" t="s">
        <v>16</v>
      </c>
      <c r="C2542" t="s">
        <v>39</v>
      </c>
      <c r="D2542" t="str">
        <f t="shared" si="236"/>
        <v>FAB3_1L  D Li Deslactosada Light</v>
      </c>
      <c r="E2542">
        <v>2022</v>
      </c>
      <c r="F2542">
        <v>48</v>
      </c>
      <c r="G2542">
        <f t="shared" si="237"/>
        <v>12</v>
      </c>
      <c r="H2542" s="1">
        <f t="shared" si="238"/>
        <v>44893</v>
      </c>
      <c r="I2542" s="1">
        <f t="shared" si="239"/>
        <v>44896</v>
      </c>
      <c r="J2542">
        <v>271380.12999999989</v>
      </c>
      <c r="K2542">
        <v>13032</v>
      </c>
      <c r="L2542">
        <f t="shared" si="235"/>
        <v>20.824135205647629</v>
      </c>
      <c r="M2542">
        <v>1086</v>
      </c>
      <c r="N2542" s="2">
        <f t="shared" si="240"/>
        <v>249.88962246777155</v>
      </c>
      <c r="O2542">
        <v>12</v>
      </c>
    </row>
    <row r="2543" spans="1:15" x14ac:dyDescent="0.25">
      <c r="A2543" t="s">
        <v>46</v>
      </c>
      <c r="B2543" t="s">
        <v>16</v>
      </c>
      <c r="C2543" t="s">
        <v>39</v>
      </c>
      <c r="D2543" t="str">
        <f t="shared" si="236"/>
        <v>FAB3_1L  D Li Deslactosada Light</v>
      </c>
      <c r="E2543">
        <v>2022</v>
      </c>
      <c r="F2543">
        <v>49</v>
      </c>
      <c r="G2543">
        <f t="shared" si="237"/>
        <v>12</v>
      </c>
      <c r="H2543" s="1">
        <f t="shared" si="238"/>
        <v>44900</v>
      </c>
      <c r="I2543" s="1">
        <f t="shared" si="239"/>
        <v>44896</v>
      </c>
      <c r="J2543">
        <v>336985.67999999993</v>
      </c>
      <c r="K2543">
        <v>16224</v>
      </c>
      <c r="L2543">
        <f t="shared" si="235"/>
        <v>20.770813609467453</v>
      </c>
      <c r="M2543">
        <v>1352</v>
      </c>
      <c r="N2543" s="2">
        <f t="shared" si="240"/>
        <v>249.24976331360941</v>
      </c>
      <c r="O2543">
        <v>12</v>
      </c>
    </row>
    <row r="2544" spans="1:15" x14ac:dyDescent="0.25">
      <c r="A2544" t="s">
        <v>46</v>
      </c>
      <c r="B2544" t="s">
        <v>16</v>
      </c>
      <c r="C2544" t="s">
        <v>39</v>
      </c>
      <c r="D2544" t="str">
        <f t="shared" si="236"/>
        <v>FAB3_1L  D Li Deslactosada Light</v>
      </c>
      <c r="E2544">
        <v>2022</v>
      </c>
      <c r="F2544">
        <v>50</v>
      </c>
      <c r="G2544">
        <f t="shared" si="237"/>
        <v>12</v>
      </c>
      <c r="H2544" s="1">
        <f t="shared" si="238"/>
        <v>44907</v>
      </c>
      <c r="I2544" s="1">
        <f t="shared" si="239"/>
        <v>44896</v>
      </c>
      <c r="J2544">
        <v>383166.69</v>
      </c>
      <c r="K2544">
        <v>18468</v>
      </c>
      <c r="L2544">
        <f t="shared" si="235"/>
        <v>20.747600714749836</v>
      </c>
      <c r="M2544">
        <v>1539</v>
      </c>
      <c r="N2544" s="2">
        <f t="shared" si="240"/>
        <v>248.97120857699807</v>
      </c>
      <c r="O2544">
        <v>12</v>
      </c>
    </row>
    <row r="2545" spans="1:15" x14ac:dyDescent="0.25">
      <c r="A2545" t="s">
        <v>46</v>
      </c>
      <c r="B2545" t="s">
        <v>16</v>
      </c>
      <c r="C2545" t="s">
        <v>39</v>
      </c>
      <c r="D2545" t="str">
        <f t="shared" si="236"/>
        <v>FAB3_1L  D Li Deslactosada Light</v>
      </c>
      <c r="E2545">
        <v>2022</v>
      </c>
      <c r="F2545">
        <v>51</v>
      </c>
      <c r="G2545">
        <f t="shared" si="237"/>
        <v>12</v>
      </c>
      <c r="H2545" s="1">
        <f t="shared" si="238"/>
        <v>44914</v>
      </c>
      <c r="I2545" s="1">
        <f t="shared" si="239"/>
        <v>44896</v>
      </c>
      <c r="J2545">
        <v>364550.18999999994</v>
      </c>
      <c r="K2545">
        <v>17592</v>
      </c>
      <c r="L2545">
        <f t="shared" si="235"/>
        <v>20.722498294679397</v>
      </c>
      <c r="M2545">
        <v>1466</v>
      </c>
      <c r="N2545" s="2">
        <f t="shared" si="240"/>
        <v>248.66997953615277</v>
      </c>
      <c r="O2545">
        <v>12</v>
      </c>
    </row>
    <row r="2546" spans="1:15" x14ac:dyDescent="0.25">
      <c r="A2546" t="s">
        <v>46</v>
      </c>
      <c r="B2546" t="s">
        <v>16</v>
      </c>
      <c r="C2546" t="s">
        <v>39</v>
      </c>
      <c r="D2546" t="str">
        <f t="shared" si="236"/>
        <v>FAB3_1L  D Li Deslactosada Light</v>
      </c>
      <c r="E2546">
        <v>2022</v>
      </c>
      <c r="F2546">
        <v>52</v>
      </c>
      <c r="G2546">
        <f t="shared" si="237"/>
        <v>12</v>
      </c>
      <c r="H2546" s="1">
        <f t="shared" si="238"/>
        <v>44921</v>
      </c>
      <c r="I2546" s="1">
        <f t="shared" si="239"/>
        <v>44896</v>
      </c>
      <c r="J2546">
        <v>347154.92999999993</v>
      </c>
      <c r="K2546">
        <v>17016</v>
      </c>
      <c r="L2546">
        <f t="shared" si="235"/>
        <v>20.401676657263749</v>
      </c>
      <c r="M2546">
        <v>1418</v>
      </c>
      <c r="N2546" s="2">
        <f t="shared" si="240"/>
        <v>244.82011988716496</v>
      </c>
      <c r="O2546">
        <v>12</v>
      </c>
    </row>
    <row r="2547" spans="1:15" x14ac:dyDescent="0.25">
      <c r="A2547" t="s">
        <v>46</v>
      </c>
      <c r="B2547" t="s">
        <v>16</v>
      </c>
      <c r="C2547" t="s">
        <v>39</v>
      </c>
      <c r="D2547" t="str">
        <f t="shared" si="236"/>
        <v>FAB3_1L  D Li Deslactosada Light</v>
      </c>
      <c r="E2547">
        <v>2023</v>
      </c>
      <c r="F2547">
        <v>1</v>
      </c>
      <c r="G2547">
        <f t="shared" si="237"/>
        <v>1</v>
      </c>
      <c r="H2547" s="1">
        <f t="shared" si="238"/>
        <v>44928</v>
      </c>
      <c r="I2547" s="1">
        <f t="shared" si="239"/>
        <v>44927</v>
      </c>
      <c r="J2547">
        <v>380537.20999999985</v>
      </c>
      <c r="K2547">
        <v>19332</v>
      </c>
      <c r="L2547">
        <f t="shared" si="235"/>
        <v>19.684316677012198</v>
      </c>
      <c r="M2547">
        <v>1611</v>
      </c>
      <c r="N2547" s="2">
        <f t="shared" si="240"/>
        <v>236.21180012414641</v>
      </c>
      <c r="O2547">
        <v>12</v>
      </c>
    </row>
    <row r="2548" spans="1:15" x14ac:dyDescent="0.25">
      <c r="A2548" t="s">
        <v>46</v>
      </c>
      <c r="B2548" t="s">
        <v>16</v>
      </c>
      <c r="C2548" t="s">
        <v>39</v>
      </c>
      <c r="D2548" t="str">
        <f t="shared" si="236"/>
        <v>FAB3_1L  D Li Deslactosada Light</v>
      </c>
      <c r="E2548">
        <v>2023</v>
      </c>
      <c r="F2548">
        <v>2</v>
      </c>
      <c r="G2548">
        <f t="shared" si="237"/>
        <v>1</v>
      </c>
      <c r="H2548" s="1">
        <f t="shared" si="238"/>
        <v>44935</v>
      </c>
      <c r="I2548" s="1">
        <f t="shared" si="239"/>
        <v>44927</v>
      </c>
      <c r="J2548">
        <v>335803.96</v>
      </c>
      <c r="K2548">
        <v>16992</v>
      </c>
      <c r="L2548">
        <f t="shared" si="235"/>
        <v>19.762474105461393</v>
      </c>
      <c r="M2548">
        <v>1416</v>
      </c>
      <c r="N2548" s="2">
        <f t="shared" si="240"/>
        <v>237.14968926553675</v>
      </c>
      <c r="O2548">
        <v>12</v>
      </c>
    </row>
    <row r="2549" spans="1:15" x14ac:dyDescent="0.25">
      <c r="A2549" t="s">
        <v>46</v>
      </c>
      <c r="B2549" t="s">
        <v>16</v>
      </c>
      <c r="C2549" t="s">
        <v>39</v>
      </c>
      <c r="D2549" t="str">
        <f t="shared" si="236"/>
        <v>FAB3_1L  D Li Deslactosada Light</v>
      </c>
      <c r="E2549">
        <v>2023</v>
      </c>
      <c r="F2549">
        <v>3</v>
      </c>
      <c r="G2549">
        <f t="shared" si="237"/>
        <v>1</v>
      </c>
      <c r="H2549" s="1">
        <f t="shared" si="238"/>
        <v>44942</v>
      </c>
      <c r="I2549" s="1">
        <f t="shared" si="239"/>
        <v>44927</v>
      </c>
      <c r="J2549">
        <v>369535.66999999993</v>
      </c>
      <c r="K2549">
        <v>18636</v>
      </c>
      <c r="L2549">
        <f t="shared" si="235"/>
        <v>19.829130178149814</v>
      </c>
      <c r="M2549">
        <v>1553</v>
      </c>
      <c r="N2549" s="2">
        <f t="shared" si="240"/>
        <v>237.94956213779776</v>
      </c>
      <c r="O2549">
        <v>12</v>
      </c>
    </row>
    <row r="2550" spans="1:15" x14ac:dyDescent="0.25">
      <c r="A2550" t="s">
        <v>46</v>
      </c>
      <c r="B2550" t="s">
        <v>16</v>
      </c>
      <c r="C2550" t="s">
        <v>39</v>
      </c>
      <c r="D2550" t="str">
        <f t="shared" si="236"/>
        <v>FAB3_1L  D Li Deslactosada Light</v>
      </c>
      <c r="E2550">
        <v>2023</v>
      </c>
      <c r="F2550">
        <v>4</v>
      </c>
      <c r="G2550">
        <f t="shared" si="237"/>
        <v>1</v>
      </c>
      <c r="H2550" s="1">
        <f t="shared" si="238"/>
        <v>44949</v>
      </c>
      <c r="I2550" s="1">
        <f t="shared" si="239"/>
        <v>44927</v>
      </c>
      <c r="J2550">
        <v>296731.02999999997</v>
      </c>
      <c r="K2550">
        <v>14208</v>
      </c>
      <c r="L2550">
        <f t="shared" si="235"/>
        <v>20.884785332207205</v>
      </c>
      <c r="M2550">
        <v>1184</v>
      </c>
      <c r="N2550" s="2">
        <f t="shared" si="240"/>
        <v>250.61742398648647</v>
      </c>
      <c r="O2550">
        <v>12</v>
      </c>
    </row>
    <row r="2551" spans="1:15" x14ac:dyDescent="0.25">
      <c r="A2551" t="s">
        <v>46</v>
      </c>
      <c r="B2551" t="s">
        <v>16</v>
      </c>
      <c r="C2551" t="s">
        <v>39</v>
      </c>
      <c r="D2551" t="str">
        <f t="shared" si="236"/>
        <v>FAB3_1L  D Li Deslactosada Light</v>
      </c>
      <c r="E2551">
        <v>2023</v>
      </c>
      <c r="F2551">
        <v>5</v>
      </c>
      <c r="G2551">
        <f t="shared" si="237"/>
        <v>2</v>
      </c>
      <c r="H2551" s="1">
        <f t="shared" si="238"/>
        <v>44956</v>
      </c>
      <c r="I2551" s="1">
        <f t="shared" si="239"/>
        <v>44958</v>
      </c>
      <c r="J2551">
        <v>347995.20000000007</v>
      </c>
      <c r="K2551">
        <v>16704</v>
      </c>
      <c r="L2551">
        <f t="shared" si="235"/>
        <v>20.833045977011498</v>
      </c>
      <c r="M2551">
        <v>1392</v>
      </c>
      <c r="N2551" s="2">
        <f t="shared" si="240"/>
        <v>249.99655172413799</v>
      </c>
      <c r="O2551">
        <v>12</v>
      </c>
    </row>
    <row r="2552" spans="1:15" x14ac:dyDescent="0.25">
      <c r="A2552" t="s">
        <v>46</v>
      </c>
      <c r="B2552" t="s">
        <v>16</v>
      </c>
      <c r="C2552" t="s">
        <v>39</v>
      </c>
      <c r="D2552" t="str">
        <f t="shared" si="236"/>
        <v>FAB3_1L  D Li Deslactosada Light</v>
      </c>
      <c r="E2552">
        <v>2023</v>
      </c>
      <c r="F2552">
        <v>6</v>
      </c>
      <c r="G2552">
        <f t="shared" si="237"/>
        <v>2</v>
      </c>
      <c r="H2552" s="1">
        <f t="shared" si="238"/>
        <v>44963</v>
      </c>
      <c r="I2552" s="1">
        <f t="shared" si="239"/>
        <v>44958</v>
      </c>
      <c r="J2552">
        <v>316669.32000000007</v>
      </c>
      <c r="K2552">
        <v>15348</v>
      </c>
      <c r="L2552">
        <f t="shared" si="235"/>
        <v>20.632611415168103</v>
      </c>
      <c r="M2552">
        <v>1279</v>
      </c>
      <c r="N2552" s="2">
        <f t="shared" si="240"/>
        <v>247.59133698201725</v>
      </c>
      <c r="O2552">
        <v>12</v>
      </c>
    </row>
    <row r="2553" spans="1:15" x14ac:dyDescent="0.25">
      <c r="A2553" t="s">
        <v>46</v>
      </c>
      <c r="B2553" t="s">
        <v>16</v>
      </c>
      <c r="C2553" t="s">
        <v>39</v>
      </c>
      <c r="D2553" t="str">
        <f t="shared" si="236"/>
        <v>FAB3_1L  D Li Deslactosada Light</v>
      </c>
      <c r="E2553">
        <v>2023</v>
      </c>
      <c r="F2553">
        <v>7</v>
      </c>
      <c r="G2553">
        <f t="shared" si="237"/>
        <v>2</v>
      </c>
      <c r="H2553" s="1">
        <f t="shared" si="238"/>
        <v>44970</v>
      </c>
      <c r="I2553" s="1">
        <f t="shared" si="239"/>
        <v>44958</v>
      </c>
      <c r="J2553">
        <v>371004.4600000002</v>
      </c>
      <c r="K2553">
        <v>18312</v>
      </c>
      <c r="L2553">
        <f t="shared" si="235"/>
        <v>20.260182394058553</v>
      </c>
      <c r="M2553">
        <v>1526</v>
      </c>
      <c r="N2553" s="2">
        <f t="shared" si="240"/>
        <v>243.12218872870261</v>
      </c>
      <c r="O2553">
        <v>12</v>
      </c>
    </row>
    <row r="2554" spans="1:15" x14ac:dyDescent="0.25">
      <c r="A2554" t="s">
        <v>46</v>
      </c>
      <c r="B2554" t="s">
        <v>16</v>
      </c>
      <c r="C2554" t="s">
        <v>39</v>
      </c>
      <c r="D2554" t="str">
        <f t="shared" si="236"/>
        <v>FAB3_1L  D Li Deslactosada Light</v>
      </c>
      <c r="E2554">
        <v>2023</v>
      </c>
      <c r="F2554">
        <v>8</v>
      </c>
      <c r="G2554">
        <f t="shared" si="237"/>
        <v>2</v>
      </c>
      <c r="H2554" s="1">
        <f t="shared" si="238"/>
        <v>44977</v>
      </c>
      <c r="I2554" s="1">
        <f t="shared" si="239"/>
        <v>44958</v>
      </c>
      <c r="J2554">
        <v>269496.53000000003</v>
      </c>
      <c r="K2554">
        <v>12972</v>
      </c>
      <c r="L2554">
        <f t="shared" si="235"/>
        <v>20.775248997841508</v>
      </c>
      <c r="M2554">
        <v>1081</v>
      </c>
      <c r="N2554" s="2">
        <f t="shared" si="240"/>
        <v>249.30298797409807</v>
      </c>
      <c r="O2554">
        <v>12</v>
      </c>
    </row>
    <row r="2555" spans="1:15" x14ac:dyDescent="0.25">
      <c r="A2555" t="s">
        <v>46</v>
      </c>
      <c r="B2555" t="s">
        <v>16</v>
      </c>
      <c r="C2555" t="s">
        <v>39</v>
      </c>
      <c r="D2555" t="str">
        <f t="shared" si="236"/>
        <v>FAB3_1L  D Li Deslactosada Light</v>
      </c>
      <c r="E2555">
        <v>2023</v>
      </c>
      <c r="F2555">
        <v>9</v>
      </c>
      <c r="G2555">
        <f t="shared" si="237"/>
        <v>3</v>
      </c>
      <c r="H2555" s="1">
        <f t="shared" si="238"/>
        <v>44984</v>
      </c>
      <c r="I2555" s="1">
        <f t="shared" si="239"/>
        <v>44986</v>
      </c>
      <c r="J2555">
        <v>342127.2699999999</v>
      </c>
      <c r="K2555">
        <v>16632</v>
      </c>
      <c r="L2555">
        <f t="shared" si="235"/>
        <v>20.570422679172673</v>
      </c>
      <c r="M2555">
        <v>1386</v>
      </c>
      <c r="N2555" s="2">
        <f t="shared" si="240"/>
        <v>246.84507215007207</v>
      </c>
      <c r="O2555">
        <v>12</v>
      </c>
    </row>
    <row r="2556" spans="1:15" x14ac:dyDescent="0.25">
      <c r="A2556" t="s">
        <v>46</v>
      </c>
      <c r="B2556" t="s">
        <v>16</v>
      </c>
      <c r="C2556" t="s">
        <v>39</v>
      </c>
      <c r="D2556" t="str">
        <f t="shared" si="236"/>
        <v>FAB3_1L  D Li Deslactosada Light</v>
      </c>
      <c r="E2556">
        <v>2023</v>
      </c>
      <c r="F2556">
        <v>10</v>
      </c>
      <c r="G2556">
        <f t="shared" si="237"/>
        <v>3</v>
      </c>
      <c r="H2556" s="1">
        <f t="shared" si="238"/>
        <v>44991</v>
      </c>
      <c r="I2556" s="1">
        <f t="shared" si="239"/>
        <v>44986</v>
      </c>
      <c r="J2556">
        <v>261482.48</v>
      </c>
      <c r="K2556">
        <v>13092</v>
      </c>
      <c r="L2556">
        <f t="shared" si="235"/>
        <v>19.972691720134435</v>
      </c>
      <c r="M2556">
        <v>1091</v>
      </c>
      <c r="N2556" s="2">
        <f t="shared" si="240"/>
        <v>239.67230064161322</v>
      </c>
      <c r="O2556">
        <v>12</v>
      </c>
    </row>
    <row r="2557" spans="1:15" x14ac:dyDescent="0.25">
      <c r="A2557" t="s">
        <v>46</v>
      </c>
      <c r="B2557" t="s">
        <v>16</v>
      </c>
      <c r="C2557" t="s">
        <v>39</v>
      </c>
      <c r="D2557" t="str">
        <f t="shared" si="236"/>
        <v>FAB3_1L  D Li Deslactosada Light</v>
      </c>
      <c r="E2557">
        <v>2023</v>
      </c>
      <c r="F2557">
        <v>11</v>
      </c>
      <c r="G2557">
        <f t="shared" si="237"/>
        <v>3</v>
      </c>
      <c r="H2557" s="1">
        <f t="shared" si="238"/>
        <v>44998</v>
      </c>
      <c r="I2557" s="1">
        <f t="shared" si="239"/>
        <v>44986</v>
      </c>
      <c r="J2557">
        <v>289587.3299999999</v>
      </c>
      <c r="K2557">
        <v>14532</v>
      </c>
      <c r="L2557">
        <f t="shared" si="235"/>
        <v>19.927561932287357</v>
      </c>
      <c r="M2557">
        <v>1211</v>
      </c>
      <c r="N2557" s="2">
        <f t="shared" si="240"/>
        <v>239.1307431874483</v>
      </c>
      <c r="O2557">
        <v>12</v>
      </c>
    </row>
    <row r="2558" spans="1:15" x14ac:dyDescent="0.25">
      <c r="A2558" t="s">
        <v>46</v>
      </c>
      <c r="B2558" t="s">
        <v>16</v>
      </c>
      <c r="C2558" t="s">
        <v>39</v>
      </c>
      <c r="D2558" t="str">
        <f t="shared" si="236"/>
        <v>FAB3_1L  D Li Deslactosada Light</v>
      </c>
      <c r="E2558">
        <v>2023</v>
      </c>
      <c r="F2558">
        <v>12</v>
      </c>
      <c r="G2558">
        <f t="shared" si="237"/>
        <v>3</v>
      </c>
      <c r="H2558" s="1">
        <f t="shared" si="238"/>
        <v>45005</v>
      </c>
      <c r="I2558" s="1">
        <f t="shared" si="239"/>
        <v>44986</v>
      </c>
      <c r="J2558">
        <v>299542.73999999993</v>
      </c>
      <c r="K2558">
        <v>14748</v>
      </c>
      <c r="L2558">
        <f t="shared" ref="L2558:L2621" si="241">J2558/(M2558*O2558)</f>
        <v>20.310736371033357</v>
      </c>
      <c r="M2558">
        <v>1229</v>
      </c>
      <c r="N2558" s="2">
        <f t="shared" si="240"/>
        <v>243.72883645240026</v>
      </c>
      <c r="O2558">
        <v>12</v>
      </c>
    </row>
    <row r="2559" spans="1:15" x14ac:dyDescent="0.25">
      <c r="A2559" t="s">
        <v>46</v>
      </c>
      <c r="B2559" t="s">
        <v>16</v>
      </c>
      <c r="C2559" t="s">
        <v>39</v>
      </c>
      <c r="D2559" t="str">
        <f t="shared" si="236"/>
        <v>FAB3_1L  D Li Deslactosada Light</v>
      </c>
      <c r="E2559">
        <v>2023</v>
      </c>
      <c r="F2559">
        <v>13</v>
      </c>
      <c r="G2559">
        <f t="shared" si="237"/>
        <v>3</v>
      </c>
      <c r="H2559" s="1">
        <f t="shared" si="238"/>
        <v>45012</v>
      </c>
      <c r="I2559" s="1">
        <f t="shared" si="239"/>
        <v>44986</v>
      </c>
      <c r="J2559">
        <v>293174.30000000005</v>
      </c>
      <c r="K2559">
        <v>14208</v>
      </c>
      <c r="L2559">
        <f t="shared" si="241"/>
        <v>20.634452421171176</v>
      </c>
      <c r="M2559">
        <v>1184</v>
      </c>
      <c r="N2559" s="2">
        <f t="shared" si="240"/>
        <v>247.61342905405408</v>
      </c>
      <c r="O2559">
        <v>12</v>
      </c>
    </row>
    <row r="2560" spans="1:15" x14ac:dyDescent="0.25">
      <c r="A2560" t="s">
        <v>46</v>
      </c>
      <c r="B2560" t="s">
        <v>16</v>
      </c>
      <c r="C2560" t="s">
        <v>39</v>
      </c>
      <c r="D2560" t="str">
        <f t="shared" si="236"/>
        <v>FAB3_1L  D Li Deslactosada Light</v>
      </c>
      <c r="E2560">
        <v>2023</v>
      </c>
      <c r="F2560">
        <v>14</v>
      </c>
      <c r="G2560">
        <f t="shared" si="237"/>
        <v>4</v>
      </c>
      <c r="H2560" s="1">
        <f t="shared" si="238"/>
        <v>45019</v>
      </c>
      <c r="I2560" s="1">
        <f t="shared" si="239"/>
        <v>45017</v>
      </c>
      <c r="J2560">
        <v>349773.17000000016</v>
      </c>
      <c r="K2560">
        <v>17232</v>
      </c>
      <c r="L2560">
        <f t="shared" si="241"/>
        <v>20.297885909935015</v>
      </c>
      <c r="M2560">
        <v>1436</v>
      </c>
      <c r="N2560" s="2">
        <f t="shared" si="240"/>
        <v>243.57463091922017</v>
      </c>
      <c r="O2560">
        <v>12</v>
      </c>
    </row>
    <row r="2561" spans="1:15" x14ac:dyDescent="0.25">
      <c r="A2561" t="s">
        <v>46</v>
      </c>
      <c r="B2561" t="s">
        <v>16</v>
      </c>
      <c r="C2561" t="s">
        <v>39</v>
      </c>
      <c r="D2561" t="str">
        <f t="shared" si="236"/>
        <v>FAB3_1L  D Li Deslactosada Light</v>
      </c>
      <c r="E2561">
        <v>2023</v>
      </c>
      <c r="F2561">
        <v>15</v>
      </c>
      <c r="G2561">
        <f t="shared" si="237"/>
        <v>4</v>
      </c>
      <c r="H2561" s="1">
        <f t="shared" si="238"/>
        <v>45026</v>
      </c>
      <c r="I2561" s="1">
        <f t="shared" si="239"/>
        <v>45017</v>
      </c>
      <c r="J2561">
        <v>285309.96999999997</v>
      </c>
      <c r="K2561">
        <v>14028</v>
      </c>
      <c r="L2561">
        <f t="shared" si="241"/>
        <v>20.338606358711147</v>
      </c>
      <c r="M2561">
        <v>1169</v>
      </c>
      <c r="N2561" s="2">
        <f t="shared" si="240"/>
        <v>244.06327630453376</v>
      </c>
      <c r="O2561">
        <v>12</v>
      </c>
    </row>
    <row r="2562" spans="1:15" x14ac:dyDescent="0.25">
      <c r="A2562" t="s">
        <v>46</v>
      </c>
      <c r="B2562" t="s">
        <v>16</v>
      </c>
      <c r="C2562" t="s">
        <v>39</v>
      </c>
      <c r="D2562" t="str">
        <f t="shared" si="236"/>
        <v>FAB3_1L  D Li Deslactosada Light</v>
      </c>
      <c r="E2562">
        <v>2023</v>
      </c>
      <c r="F2562">
        <v>16</v>
      </c>
      <c r="G2562">
        <f t="shared" si="237"/>
        <v>4</v>
      </c>
      <c r="H2562" s="1">
        <f t="shared" si="238"/>
        <v>45033</v>
      </c>
      <c r="I2562" s="1">
        <f t="shared" si="239"/>
        <v>45017</v>
      </c>
      <c r="J2562">
        <v>336530.25999999983</v>
      </c>
      <c r="K2562">
        <v>16272</v>
      </c>
      <c r="L2562">
        <f t="shared" si="241"/>
        <v>20.681554818092419</v>
      </c>
      <c r="M2562">
        <v>1356</v>
      </c>
      <c r="N2562" s="2">
        <f t="shared" si="240"/>
        <v>248.17865781710901</v>
      </c>
      <c r="O2562">
        <v>12</v>
      </c>
    </row>
    <row r="2563" spans="1:15" x14ac:dyDescent="0.25">
      <c r="A2563" t="s">
        <v>46</v>
      </c>
      <c r="B2563" t="s">
        <v>16</v>
      </c>
      <c r="C2563" t="s">
        <v>39</v>
      </c>
      <c r="D2563" t="str">
        <f t="shared" ref="D2563:D2626" si="242">B2563&amp;"_"&amp;C2563</f>
        <v>FAB3_1L  D Li Deslactosada Light</v>
      </c>
      <c r="E2563">
        <v>2023</v>
      </c>
      <c r="F2563">
        <v>17</v>
      </c>
      <c r="G2563">
        <f t="shared" ref="G2563:G2626" si="243">MONTH(DATE(E2563,1,4)+(F2563-1)*7-WEEKDAY(DATE(E2563,1,4),2)+4)</f>
        <v>4</v>
      </c>
      <c r="H2563" s="1">
        <f t="shared" ref="H2563:H2626" si="244">DATE(E2563,1,-2)-WEEKDAY(DATE(E2563,1,3))+F2563*7</f>
        <v>45040</v>
      </c>
      <c r="I2563" s="1">
        <f t="shared" ref="I2563:I2626" si="245">DATE(E2563,G2563,1)</f>
        <v>45017</v>
      </c>
      <c r="J2563">
        <v>285655.02999999991</v>
      </c>
      <c r="K2563">
        <v>14100</v>
      </c>
      <c r="L2563">
        <f t="shared" si="241"/>
        <v>20.259221985815596</v>
      </c>
      <c r="M2563">
        <v>1175</v>
      </c>
      <c r="N2563" s="2">
        <f t="shared" ref="N2563:N2626" si="246">J2563/M2563</f>
        <v>243.11066382978717</v>
      </c>
      <c r="O2563">
        <v>12</v>
      </c>
    </row>
    <row r="2564" spans="1:15" x14ac:dyDescent="0.25">
      <c r="A2564" t="s">
        <v>46</v>
      </c>
      <c r="B2564" t="s">
        <v>16</v>
      </c>
      <c r="C2564" t="s">
        <v>39</v>
      </c>
      <c r="D2564" t="str">
        <f t="shared" si="242"/>
        <v>FAB3_1L  D Li Deslactosada Light</v>
      </c>
      <c r="E2564">
        <v>2023</v>
      </c>
      <c r="F2564">
        <v>18</v>
      </c>
      <c r="G2564">
        <f t="shared" si="243"/>
        <v>5</v>
      </c>
      <c r="H2564" s="1">
        <f t="shared" si="244"/>
        <v>45047</v>
      </c>
      <c r="I2564" s="1">
        <f t="shared" si="245"/>
        <v>45047</v>
      </c>
      <c r="J2564">
        <v>309693.63</v>
      </c>
      <c r="K2564">
        <v>15168</v>
      </c>
      <c r="L2564">
        <f t="shared" si="241"/>
        <v>20.417565268987342</v>
      </c>
      <c r="M2564">
        <v>1264</v>
      </c>
      <c r="N2564" s="2">
        <f t="shared" si="246"/>
        <v>245.01078322784809</v>
      </c>
      <c r="O2564">
        <v>12</v>
      </c>
    </row>
    <row r="2565" spans="1:15" x14ac:dyDescent="0.25">
      <c r="A2565" t="s">
        <v>46</v>
      </c>
      <c r="B2565" t="s">
        <v>16</v>
      </c>
      <c r="C2565" t="s">
        <v>39</v>
      </c>
      <c r="D2565" t="str">
        <f t="shared" si="242"/>
        <v>FAB3_1L  D Li Deslactosada Light</v>
      </c>
      <c r="E2565">
        <v>2023</v>
      </c>
      <c r="F2565">
        <v>19</v>
      </c>
      <c r="G2565">
        <f t="shared" si="243"/>
        <v>5</v>
      </c>
      <c r="H2565" s="1">
        <f t="shared" si="244"/>
        <v>45054</v>
      </c>
      <c r="I2565" s="1">
        <f t="shared" si="245"/>
        <v>45047</v>
      </c>
      <c r="J2565">
        <v>295811.18000000005</v>
      </c>
      <c r="K2565">
        <v>14484</v>
      </c>
      <c r="L2565">
        <f t="shared" si="241"/>
        <v>20.423307097486887</v>
      </c>
      <c r="M2565">
        <v>1207</v>
      </c>
      <c r="N2565" s="2">
        <f t="shared" si="246"/>
        <v>245.07968516984263</v>
      </c>
      <c r="O2565">
        <v>12</v>
      </c>
    </row>
    <row r="2566" spans="1:15" x14ac:dyDescent="0.25">
      <c r="A2566" t="s">
        <v>46</v>
      </c>
      <c r="B2566" t="s">
        <v>16</v>
      </c>
      <c r="C2566" t="s">
        <v>39</v>
      </c>
      <c r="D2566" t="str">
        <f t="shared" si="242"/>
        <v>FAB3_1L  D Li Deslactosada Light</v>
      </c>
      <c r="E2566">
        <v>2023</v>
      </c>
      <c r="F2566">
        <v>20</v>
      </c>
      <c r="G2566">
        <f t="shared" si="243"/>
        <v>5</v>
      </c>
      <c r="H2566" s="1">
        <f t="shared" si="244"/>
        <v>45061</v>
      </c>
      <c r="I2566" s="1">
        <f t="shared" si="245"/>
        <v>45047</v>
      </c>
      <c r="J2566">
        <v>337928.45</v>
      </c>
      <c r="K2566">
        <v>17004</v>
      </c>
      <c r="L2566">
        <f t="shared" si="241"/>
        <v>19.873468007527642</v>
      </c>
      <c r="M2566">
        <v>1417</v>
      </c>
      <c r="N2566" s="2">
        <f t="shared" si="246"/>
        <v>238.4816160903317</v>
      </c>
      <c r="O2566">
        <v>12</v>
      </c>
    </row>
    <row r="2567" spans="1:15" x14ac:dyDescent="0.25">
      <c r="A2567" t="s">
        <v>46</v>
      </c>
      <c r="B2567" t="s">
        <v>16</v>
      </c>
      <c r="C2567" t="s">
        <v>39</v>
      </c>
      <c r="D2567" t="str">
        <f t="shared" si="242"/>
        <v>FAB3_1L  D Li Deslactosada Light</v>
      </c>
      <c r="E2567">
        <v>2023</v>
      </c>
      <c r="F2567">
        <v>21</v>
      </c>
      <c r="G2567">
        <f t="shared" si="243"/>
        <v>5</v>
      </c>
      <c r="H2567" s="1">
        <f t="shared" si="244"/>
        <v>45068</v>
      </c>
      <c r="I2567" s="1">
        <f t="shared" si="245"/>
        <v>45047</v>
      </c>
      <c r="J2567">
        <v>275844.95999999996</v>
      </c>
      <c r="K2567">
        <v>13800</v>
      </c>
      <c r="L2567">
        <f t="shared" si="241"/>
        <v>19.9887652173913</v>
      </c>
      <c r="M2567">
        <v>1150</v>
      </c>
      <c r="N2567" s="2">
        <f t="shared" si="246"/>
        <v>239.86518260869562</v>
      </c>
      <c r="O2567">
        <v>12</v>
      </c>
    </row>
    <row r="2568" spans="1:15" x14ac:dyDescent="0.25">
      <c r="A2568" t="s">
        <v>46</v>
      </c>
      <c r="B2568" t="s">
        <v>16</v>
      </c>
      <c r="C2568" t="s">
        <v>39</v>
      </c>
      <c r="D2568" t="str">
        <f t="shared" si="242"/>
        <v>FAB3_1L  D Li Deslactosada Light</v>
      </c>
      <c r="E2568">
        <v>2023</v>
      </c>
      <c r="F2568">
        <v>22</v>
      </c>
      <c r="G2568">
        <f t="shared" si="243"/>
        <v>6</v>
      </c>
      <c r="H2568" s="1">
        <f t="shared" si="244"/>
        <v>45075</v>
      </c>
      <c r="I2568" s="1">
        <f t="shared" si="245"/>
        <v>45078</v>
      </c>
      <c r="J2568">
        <v>295334.67</v>
      </c>
      <c r="K2568">
        <v>14220</v>
      </c>
      <c r="L2568">
        <f t="shared" si="241"/>
        <v>20.768964135021097</v>
      </c>
      <c r="M2568">
        <v>1185</v>
      </c>
      <c r="N2568" s="2">
        <f t="shared" si="246"/>
        <v>249.22756962025315</v>
      </c>
      <c r="O2568">
        <v>12</v>
      </c>
    </row>
    <row r="2569" spans="1:15" x14ac:dyDescent="0.25">
      <c r="A2569" t="s">
        <v>46</v>
      </c>
      <c r="B2569" t="s">
        <v>16</v>
      </c>
      <c r="C2569" t="s">
        <v>39</v>
      </c>
      <c r="D2569" t="str">
        <f t="shared" si="242"/>
        <v>FAB3_1L  D Li Deslactosada Light</v>
      </c>
      <c r="E2569">
        <v>2023</v>
      </c>
      <c r="F2569">
        <v>23</v>
      </c>
      <c r="G2569">
        <f t="shared" si="243"/>
        <v>6</v>
      </c>
      <c r="H2569" s="1">
        <f t="shared" si="244"/>
        <v>45082</v>
      </c>
      <c r="I2569" s="1">
        <f t="shared" si="245"/>
        <v>45078</v>
      </c>
      <c r="J2569">
        <v>311517.95999999996</v>
      </c>
      <c r="K2569">
        <v>14988</v>
      </c>
      <c r="L2569">
        <f t="shared" si="241"/>
        <v>20.784491593274616</v>
      </c>
      <c r="M2569">
        <v>1249</v>
      </c>
      <c r="N2569" s="2">
        <f t="shared" si="246"/>
        <v>249.41389911929539</v>
      </c>
      <c r="O2569">
        <v>12</v>
      </c>
    </row>
    <row r="2570" spans="1:15" x14ac:dyDescent="0.25">
      <c r="A2570" t="s">
        <v>46</v>
      </c>
      <c r="B2570" t="s">
        <v>16</v>
      </c>
      <c r="C2570" t="s">
        <v>39</v>
      </c>
      <c r="D2570" t="str">
        <f t="shared" si="242"/>
        <v>FAB3_1L  D Li Deslactosada Light</v>
      </c>
      <c r="E2570">
        <v>2023</v>
      </c>
      <c r="F2570">
        <v>24</v>
      </c>
      <c r="G2570">
        <f t="shared" si="243"/>
        <v>6</v>
      </c>
      <c r="H2570" s="1">
        <f t="shared" si="244"/>
        <v>45089</v>
      </c>
      <c r="I2570" s="1">
        <f t="shared" si="245"/>
        <v>45078</v>
      </c>
      <c r="J2570">
        <v>299205.89999999997</v>
      </c>
      <c r="K2570">
        <v>14412</v>
      </c>
      <c r="L2570">
        <f t="shared" si="241"/>
        <v>20.76088676103247</v>
      </c>
      <c r="M2570">
        <v>1201</v>
      </c>
      <c r="N2570" s="2">
        <f t="shared" si="246"/>
        <v>249.13064113238966</v>
      </c>
      <c r="O2570">
        <v>12</v>
      </c>
    </row>
    <row r="2571" spans="1:15" x14ac:dyDescent="0.25">
      <c r="A2571" t="s">
        <v>46</v>
      </c>
      <c r="B2571" t="s">
        <v>16</v>
      </c>
      <c r="C2571" t="s">
        <v>39</v>
      </c>
      <c r="D2571" t="str">
        <f t="shared" si="242"/>
        <v>FAB3_1L  D Li Deslactosada Light</v>
      </c>
      <c r="E2571">
        <v>2023</v>
      </c>
      <c r="F2571">
        <v>25</v>
      </c>
      <c r="G2571">
        <f t="shared" si="243"/>
        <v>6</v>
      </c>
      <c r="H2571" s="1">
        <f t="shared" si="244"/>
        <v>45096</v>
      </c>
      <c r="I2571" s="1">
        <f t="shared" si="245"/>
        <v>45078</v>
      </c>
      <c r="J2571">
        <v>292497.83999999997</v>
      </c>
      <c r="K2571">
        <v>14100</v>
      </c>
      <c r="L2571">
        <f t="shared" si="241"/>
        <v>20.744527659574466</v>
      </c>
      <c r="M2571">
        <v>1175</v>
      </c>
      <c r="N2571" s="2">
        <f t="shared" si="246"/>
        <v>248.93433191489359</v>
      </c>
      <c r="O2571">
        <v>12</v>
      </c>
    </row>
    <row r="2572" spans="1:15" x14ac:dyDescent="0.25">
      <c r="A2572" t="s">
        <v>46</v>
      </c>
      <c r="B2572" t="s">
        <v>16</v>
      </c>
      <c r="C2572" t="s">
        <v>39</v>
      </c>
      <c r="D2572" t="str">
        <f t="shared" si="242"/>
        <v>FAB3_1L  D Li Deslactosada Light</v>
      </c>
      <c r="E2572">
        <v>2023</v>
      </c>
      <c r="F2572">
        <v>26</v>
      </c>
      <c r="G2572">
        <f t="shared" si="243"/>
        <v>6</v>
      </c>
      <c r="H2572" s="1">
        <f t="shared" si="244"/>
        <v>45103</v>
      </c>
      <c r="I2572" s="1">
        <f t="shared" si="245"/>
        <v>45078</v>
      </c>
      <c r="J2572">
        <v>273090.22999999986</v>
      </c>
      <c r="K2572">
        <v>13176</v>
      </c>
      <c r="L2572">
        <f t="shared" si="241"/>
        <v>20.726338038858522</v>
      </c>
      <c r="M2572">
        <v>1098</v>
      </c>
      <c r="N2572" s="2">
        <f t="shared" si="246"/>
        <v>248.71605646630223</v>
      </c>
      <c r="O2572">
        <v>12</v>
      </c>
    </row>
    <row r="2573" spans="1:15" x14ac:dyDescent="0.25">
      <c r="A2573" t="s">
        <v>46</v>
      </c>
      <c r="B2573" t="s">
        <v>16</v>
      </c>
      <c r="C2573" t="s">
        <v>39</v>
      </c>
      <c r="D2573" t="str">
        <f t="shared" si="242"/>
        <v>FAB3_1L  D Li Deslactosada Light</v>
      </c>
      <c r="E2573">
        <v>2023</v>
      </c>
      <c r="F2573">
        <v>27</v>
      </c>
      <c r="G2573">
        <f t="shared" si="243"/>
        <v>7</v>
      </c>
      <c r="H2573" s="1">
        <f t="shared" si="244"/>
        <v>45110</v>
      </c>
      <c r="I2573" s="1">
        <f t="shared" si="245"/>
        <v>45108</v>
      </c>
      <c r="J2573">
        <v>364140.69999999995</v>
      </c>
      <c r="K2573">
        <v>17376</v>
      </c>
      <c r="L2573">
        <f t="shared" si="241"/>
        <v>20.956531998158376</v>
      </c>
      <c r="M2573">
        <v>1448</v>
      </c>
      <c r="N2573" s="2">
        <f t="shared" si="246"/>
        <v>251.47838397790051</v>
      </c>
      <c r="O2573">
        <v>12</v>
      </c>
    </row>
    <row r="2574" spans="1:15" x14ac:dyDescent="0.25">
      <c r="A2574" t="s">
        <v>46</v>
      </c>
      <c r="B2574" t="s">
        <v>16</v>
      </c>
      <c r="C2574" t="s">
        <v>39</v>
      </c>
      <c r="D2574" t="str">
        <f t="shared" si="242"/>
        <v>FAB3_1L  D Li Deslactosada Light</v>
      </c>
      <c r="E2574">
        <v>2023</v>
      </c>
      <c r="F2574">
        <v>28</v>
      </c>
      <c r="G2574">
        <f t="shared" si="243"/>
        <v>7</v>
      </c>
      <c r="H2574" s="1">
        <f t="shared" si="244"/>
        <v>45117</v>
      </c>
      <c r="I2574" s="1">
        <f t="shared" si="245"/>
        <v>45108</v>
      </c>
      <c r="J2574">
        <v>312671.04999999993</v>
      </c>
      <c r="K2574">
        <v>14508</v>
      </c>
      <c r="L2574">
        <f t="shared" si="241"/>
        <v>21.551630135097874</v>
      </c>
      <c r="M2574">
        <v>1209</v>
      </c>
      <c r="N2574" s="2">
        <f t="shared" si="246"/>
        <v>258.61956162117446</v>
      </c>
      <c r="O2574">
        <v>12</v>
      </c>
    </row>
    <row r="2575" spans="1:15" x14ac:dyDescent="0.25">
      <c r="A2575" t="s">
        <v>46</v>
      </c>
      <c r="B2575" t="s">
        <v>16</v>
      </c>
      <c r="C2575" t="s">
        <v>39</v>
      </c>
      <c r="D2575" t="str">
        <f t="shared" si="242"/>
        <v>FAB3_1L  D Li Deslactosada Light</v>
      </c>
      <c r="E2575">
        <v>2023</v>
      </c>
      <c r="F2575">
        <v>29</v>
      </c>
      <c r="G2575">
        <f t="shared" si="243"/>
        <v>7</v>
      </c>
      <c r="H2575" s="1">
        <f t="shared" si="244"/>
        <v>45124</v>
      </c>
      <c r="I2575" s="1">
        <f t="shared" si="245"/>
        <v>45108</v>
      </c>
      <c r="J2575">
        <v>362170.92999999988</v>
      </c>
      <c r="K2575">
        <v>16764</v>
      </c>
      <c r="L2575">
        <f t="shared" si="241"/>
        <v>21.60408792650918</v>
      </c>
      <c r="M2575">
        <v>1397</v>
      </c>
      <c r="N2575" s="2">
        <f t="shared" si="246"/>
        <v>259.24905511811016</v>
      </c>
      <c r="O2575">
        <v>12</v>
      </c>
    </row>
    <row r="2576" spans="1:15" x14ac:dyDescent="0.25">
      <c r="A2576" t="s">
        <v>46</v>
      </c>
      <c r="B2576" t="s">
        <v>16</v>
      </c>
      <c r="C2576" t="s">
        <v>39</v>
      </c>
      <c r="D2576" t="str">
        <f t="shared" si="242"/>
        <v>FAB3_1L  D Li Deslactosada Light</v>
      </c>
      <c r="E2576">
        <v>2023</v>
      </c>
      <c r="F2576">
        <v>30</v>
      </c>
      <c r="G2576">
        <f t="shared" si="243"/>
        <v>7</v>
      </c>
      <c r="H2576" s="1">
        <f t="shared" si="244"/>
        <v>45131</v>
      </c>
      <c r="I2576" s="1">
        <f t="shared" si="245"/>
        <v>45108</v>
      </c>
      <c r="J2576">
        <v>274988.56999999989</v>
      </c>
      <c r="K2576">
        <v>12660</v>
      </c>
      <c r="L2576">
        <f t="shared" si="241"/>
        <v>21.72105608214849</v>
      </c>
      <c r="M2576">
        <v>1055</v>
      </c>
      <c r="N2576" s="2">
        <f t="shared" si="246"/>
        <v>260.65267298578186</v>
      </c>
      <c r="O2576">
        <v>12</v>
      </c>
    </row>
    <row r="2577" spans="1:15" x14ac:dyDescent="0.25">
      <c r="A2577" t="s">
        <v>46</v>
      </c>
      <c r="B2577" t="s">
        <v>16</v>
      </c>
      <c r="C2577" t="s">
        <v>39</v>
      </c>
      <c r="D2577" t="str">
        <f t="shared" si="242"/>
        <v>FAB3_1L  D Li Deslactosada Light</v>
      </c>
      <c r="E2577">
        <v>2023</v>
      </c>
      <c r="F2577">
        <v>31</v>
      </c>
      <c r="G2577">
        <f t="shared" si="243"/>
        <v>8</v>
      </c>
      <c r="H2577" s="1">
        <f t="shared" si="244"/>
        <v>45138</v>
      </c>
      <c r="I2577" s="1">
        <f t="shared" si="245"/>
        <v>45139</v>
      </c>
      <c r="J2577">
        <v>416530.22999999992</v>
      </c>
      <c r="K2577">
        <v>19800</v>
      </c>
      <c r="L2577">
        <f t="shared" si="241"/>
        <v>21.036880303030298</v>
      </c>
      <c r="M2577">
        <v>1650</v>
      </c>
      <c r="N2577" s="2">
        <f t="shared" si="246"/>
        <v>252.44256363636359</v>
      </c>
      <c r="O2577">
        <v>12</v>
      </c>
    </row>
    <row r="2578" spans="1:15" x14ac:dyDescent="0.25">
      <c r="A2578" t="s">
        <v>46</v>
      </c>
      <c r="B2578" t="s">
        <v>16</v>
      </c>
      <c r="C2578" t="s">
        <v>39</v>
      </c>
      <c r="D2578" t="str">
        <f t="shared" si="242"/>
        <v>FAB3_1L  D Li Deslactosada Light</v>
      </c>
      <c r="E2578">
        <v>2023</v>
      </c>
      <c r="F2578">
        <v>32</v>
      </c>
      <c r="G2578">
        <f t="shared" si="243"/>
        <v>8</v>
      </c>
      <c r="H2578" s="1">
        <f t="shared" si="244"/>
        <v>45145</v>
      </c>
      <c r="I2578" s="1">
        <f t="shared" si="245"/>
        <v>45139</v>
      </c>
      <c r="J2578">
        <v>506922.62000000017</v>
      </c>
      <c r="K2578">
        <v>25032</v>
      </c>
      <c r="L2578">
        <f t="shared" si="241"/>
        <v>20.250983541067441</v>
      </c>
      <c r="M2578">
        <v>2086</v>
      </c>
      <c r="N2578" s="2">
        <f t="shared" si="246"/>
        <v>243.0118024928093</v>
      </c>
      <c r="O2578">
        <v>12</v>
      </c>
    </row>
    <row r="2579" spans="1:15" x14ac:dyDescent="0.25">
      <c r="A2579" t="s">
        <v>46</v>
      </c>
      <c r="B2579" t="s">
        <v>16</v>
      </c>
      <c r="C2579" t="s">
        <v>39</v>
      </c>
      <c r="D2579" t="str">
        <f t="shared" si="242"/>
        <v>FAB3_1L  D Li Deslactosada Light</v>
      </c>
      <c r="E2579">
        <v>2023</v>
      </c>
      <c r="F2579">
        <v>33</v>
      </c>
      <c r="G2579">
        <f t="shared" si="243"/>
        <v>8</v>
      </c>
      <c r="H2579" s="1">
        <f t="shared" si="244"/>
        <v>45152</v>
      </c>
      <c r="I2579" s="1">
        <f t="shared" si="245"/>
        <v>45139</v>
      </c>
      <c r="J2579">
        <v>485639.06000000006</v>
      </c>
      <c r="K2579">
        <v>23784</v>
      </c>
      <c r="L2579">
        <f t="shared" si="241"/>
        <v>20.418729397914568</v>
      </c>
      <c r="M2579">
        <v>1982</v>
      </c>
      <c r="N2579" s="2">
        <f t="shared" si="246"/>
        <v>245.02475277497481</v>
      </c>
      <c r="O2579">
        <v>12</v>
      </c>
    </row>
    <row r="2580" spans="1:15" x14ac:dyDescent="0.25">
      <c r="A2580" t="s">
        <v>46</v>
      </c>
      <c r="B2580" t="s">
        <v>16</v>
      </c>
      <c r="C2580" t="s">
        <v>39</v>
      </c>
      <c r="D2580" t="str">
        <f t="shared" si="242"/>
        <v>FAB3_1L  D Li Deslactosada Light</v>
      </c>
      <c r="E2580">
        <v>2023</v>
      </c>
      <c r="F2580">
        <v>34</v>
      </c>
      <c r="G2580">
        <f t="shared" si="243"/>
        <v>8</v>
      </c>
      <c r="H2580" s="1">
        <f t="shared" si="244"/>
        <v>45159</v>
      </c>
      <c r="I2580" s="1">
        <f t="shared" si="245"/>
        <v>45139</v>
      </c>
      <c r="J2580">
        <v>381135.47999999992</v>
      </c>
      <c r="K2580">
        <v>18132</v>
      </c>
      <c r="L2580">
        <f t="shared" si="241"/>
        <v>21.020046326935798</v>
      </c>
      <c r="M2580">
        <v>1511</v>
      </c>
      <c r="N2580" s="2">
        <f t="shared" si="246"/>
        <v>252.24055592322961</v>
      </c>
      <c r="O2580">
        <v>12</v>
      </c>
    </row>
    <row r="2581" spans="1:15" x14ac:dyDescent="0.25">
      <c r="A2581" t="s">
        <v>46</v>
      </c>
      <c r="B2581" t="s">
        <v>16</v>
      </c>
      <c r="C2581" t="s">
        <v>39</v>
      </c>
      <c r="D2581" t="str">
        <f t="shared" si="242"/>
        <v>FAB3_1L  D Li Deslactosada Light</v>
      </c>
      <c r="E2581">
        <v>2023</v>
      </c>
      <c r="F2581">
        <v>35</v>
      </c>
      <c r="G2581">
        <f t="shared" si="243"/>
        <v>8</v>
      </c>
      <c r="H2581" s="1">
        <f t="shared" si="244"/>
        <v>45166</v>
      </c>
      <c r="I2581" s="1">
        <f t="shared" si="245"/>
        <v>45139</v>
      </c>
      <c r="J2581">
        <v>383788.78999999986</v>
      </c>
      <c r="K2581">
        <v>17688</v>
      </c>
      <c r="L2581">
        <f t="shared" si="241"/>
        <v>21.697692786069645</v>
      </c>
      <c r="M2581">
        <v>1474</v>
      </c>
      <c r="N2581" s="2">
        <f t="shared" si="246"/>
        <v>260.37231343283571</v>
      </c>
      <c r="O2581">
        <v>12</v>
      </c>
    </row>
    <row r="2582" spans="1:15" x14ac:dyDescent="0.25">
      <c r="A2582" t="s">
        <v>46</v>
      </c>
      <c r="B2582" t="s">
        <v>16</v>
      </c>
      <c r="C2582" t="s">
        <v>39</v>
      </c>
      <c r="D2582" t="str">
        <f t="shared" si="242"/>
        <v>FAB3_1L  D Li Deslactosada Light</v>
      </c>
      <c r="E2582">
        <v>2023</v>
      </c>
      <c r="F2582">
        <v>36</v>
      </c>
      <c r="G2582">
        <f t="shared" si="243"/>
        <v>9</v>
      </c>
      <c r="H2582" s="1">
        <f t="shared" si="244"/>
        <v>45173</v>
      </c>
      <c r="I2582" s="1">
        <f t="shared" si="245"/>
        <v>45170</v>
      </c>
      <c r="J2582">
        <v>429558.89999999991</v>
      </c>
      <c r="K2582">
        <v>19788</v>
      </c>
      <c r="L2582">
        <f t="shared" si="241"/>
        <v>21.708050333535471</v>
      </c>
      <c r="M2582">
        <v>1649</v>
      </c>
      <c r="N2582" s="2">
        <f t="shared" si="246"/>
        <v>260.49660400242567</v>
      </c>
      <c r="O2582">
        <v>12</v>
      </c>
    </row>
    <row r="2583" spans="1:15" x14ac:dyDescent="0.25">
      <c r="A2583" t="s">
        <v>46</v>
      </c>
      <c r="B2583" t="s">
        <v>16</v>
      </c>
      <c r="C2583" t="s">
        <v>39</v>
      </c>
      <c r="D2583" t="str">
        <f t="shared" si="242"/>
        <v>FAB3_1L  D Li Deslactosada Light</v>
      </c>
      <c r="E2583">
        <v>2023</v>
      </c>
      <c r="F2583">
        <v>37</v>
      </c>
      <c r="G2583">
        <f t="shared" si="243"/>
        <v>9</v>
      </c>
      <c r="H2583" s="1">
        <f t="shared" si="244"/>
        <v>45180</v>
      </c>
      <c r="I2583" s="1">
        <f t="shared" si="245"/>
        <v>45170</v>
      </c>
      <c r="J2583">
        <v>412145.68999999989</v>
      </c>
      <c r="K2583">
        <v>19152</v>
      </c>
      <c r="L2583">
        <f t="shared" si="241"/>
        <v>21.519720655806175</v>
      </c>
      <c r="M2583">
        <v>1596</v>
      </c>
      <c r="N2583" s="2">
        <f t="shared" si="246"/>
        <v>258.23664786967413</v>
      </c>
      <c r="O2583">
        <v>12</v>
      </c>
    </row>
    <row r="2584" spans="1:15" x14ac:dyDescent="0.25">
      <c r="A2584" t="s">
        <v>46</v>
      </c>
      <c r="B2584" t="s">
        <v>16</v>
      </c>
      <c r="C2584" t="s">
        <v>39</v>
      </c>
      <c r="D2584" t="str">
        <f t="shared" si="242"/>
        <v>FAB3_1L  D Li Deslactosada Light</v>
      </c>
      <c r="E2584">
        <v>2023</v>
      </c>
      <c r="F2584">
        <v>38</v>
      </c>
      <c r="G2584">
        <f t="shared" si="243"/>
        <v>9</v>
      </c>
      <c r="H2584" s="1">
        <f t="shared" si="244"/>
        <v>45187</v>
      </c>
      <c r="I2584" s="1">
        <f t="shared" si="245"/>
        <v>45170</v>
      </c>
      <c r="J2584">
        <v>449266.37999999995</v>
      </c>
      <c r="K2584">
        <v>20940</v>
      </c>
      <c r="L2584">
        <f t="shared" si="241"/>
        <v>21.454936962750715</v>
      </c>
      <c r="M2584">
        <v>1745</v>
      </c>
      <c r="N2584" s="2">
        <f t="shared" si="246"/>
        <v>257.45924355300855</v>
      </c>
      <c r="O2584">
        <v>12</v>
      </c>
    </row>
    <row r="2585" spans="1:15" x14ac:dyDescent="0.25">
      <c r="A2585" t="s">
        <v>46</v>
      </c>
      <c r="B2585" t="s">
        <v>16</v>
      </c>
      <c r="C2585" t="s">
        <v>39</v>
      </c>
      <c r="D2585" t="str">
        <f t="shared" si="242"/>
        <v>FAB3_1L  D Li Deslactosada Light</v>
      </c>
      <c r="E2585">
        <v>2023</v>
      </c>
      <c r="F2585">
        <v>39</v>
      </c>
      <c r="G2585">
        <f t="shared" si="243"/>
        <v>9</v>
      </c>
      <c r="H2585" s="1">
        <f t="shared" si="244"/>
        <v>45194</v>
      </c>
      <c r="I2585" s="1">
        <f t="shared" si="245"/>
        <v>45170</v>
      </c>
      <c r="J2585">
        <v>413775.87999999989</v>
      </c>
      <c r="K2585">
        <v>19356</v>
      </c>
      <c r="L2585">
        <f t="shared" si="241"/>
        <v>21.377137838396358</v>
      </c>
      <c r="M2585">
        <v>1613</v>
      </c>
      <c r="N2585" s="2">
        <f t="shared" si="246"/>
        <v>256.52565406075627</v>
      </c>
      <c r="O2585">
        <v>12</v>
      </c>
    </row>
    <row r="2586" spans="1:15" x14ac:dyDescent="0.25">
      <c r="A2586" t="s">
        <v>46</v>
      </c>
      <c r="B2586" t="s">
        <v>16</v>
      </c>
      <c r="C2586" t="s">
        <v>39</v>
      </c>
      <c r="D2586" t="str">
        <f t="shared" si="242"/>
        <v>FAB3_1L  D Li Deslactosada Light</v>
      </c>
      <c r="E2586">
        <v>2023</v>
      </c>
      <c r="F2586">
        <v>40</v>
      </c>
      <c r="G2586">
        <f t="shared" si="243"/>
        <v>10</v>
      </c>
      <c r="H2586" s="1">
        <f t="shared" si="244"/>
        <v>45201</v>
      </c>
      <c r="I2586" s="1">
        <f t="shared" si="245"/>
        <v>45200</v>
      </c>
      <c r="J2586">
        <v>488037.26000000007</v>
      </c>
      <c r="K2586">
        <v>22848</v>
      </c>
      <c r="L2586">
        <f t="shared" si="241"/>
        <v>21.360174194677874</v>
      </c>
      <c r="M2586">
        <v>1904</v>
      </c>
      <c r="N2586" s="2">
        <f t="shared" si="246"/>
        <v>256.32209033613447</v>
      </c>
      <c r="O2586">
        <v>12</v>
      </c>
    </row>
    <row r="2587" spans="1:15" x14ac:dyDescent="0.25">
      <c r="A2587" t="s">
        <v>46</v>
      </c>
      <c r="B2587" t="s">
        <v>16</v>
      </c>
      <c r="C2587" t="s">
        <v>39</v>
      </c>
      <c r="D2587" t="str">
        <f t="shared" si="242"/>
        <v>FAB3_1L  D Li Deslactosada Light</v>
      </c>
      <c r="E2587">
        <v>2023</v>
      </c>
      <c r="F2587">
        <v>41</v>
      </c>
      <c r="G2587">
        <f t="shared" si="243"/>
        <v>10</v>
      </c>
      <c r="H2587" s="1">
        <f t="shared" si="244"/>
        <v>45208</v>
      </c>
      <c r="I2587" s="1">
        <f t="shared" si="245"/>
        <v>45200</v>
      </c>
      <c r="J2587">
        <v>475277.06000000023</v>
      </c>
      <c r="K2587">
        <v>22500</v>
      </c>
      <c r="L2587">
        <f t="shared" si="241"/>
        <v>21.123424888888898</v>
      </c>
      <c r="M2587">
        <v>1875</v>
      </c>
      <c r="N2587" s="2">
        <f t="shared" si="246"/>
        <v>253.48109866666678</v>
      </c>
      <c r="O2587">
        <v>12</v>
      </c>
    </row>
    <row r="2588" spans="1:15" x14ac:dyDescent="0.25">
      <c r="A2588" t="s">
        <v>46</v>
      </c>
      <c r="B2588" t="s">
        <v>16</v>
      </c>
      <c r="C2588" t="s">
        <v>39</v>
      </c>
      <c r="D2588" t="str">
        <f t="shared" si="242"/>
        <v>FAB3_1L  D Li Deslactosada Light</v>
      </c>
      <c r="E2588">
        <v>2023</v>
      </c>
      <c r="F2588">
        <v>42</v>
      </c>
      <c r="G2588">
        <f t="shared" si="243"/>
        <v>10</v>
      </c>
      <c r="H2588" s="1">
        <f t="shared" si="244"/>
        <v>45215</v>
      </c>
      <c r="I2588" s="1">
        <f t="shared" si="245"/>
        <v>45200</v>
      </c>
      <c r="J2588">
        <v>560113.18999999994</v>
      </c>
      <c r="K2588">
        <v>27180</v>
      </c>
      <c r="L2588">
        <f t="shared" si="241"/>
        <v>20.607549300956585</v>
      </c>
      <c r="M2588">
        <v>2265</v>
      </c>
      <c r="N2588" s="2">
        <f t="shared" si="246"/>
        <v>247.29059161147902</v>
      </c>
      <c r="O2588">
        <v>12</v>
      </c>
    </row>
    <row r="2589" spans="1:15" x14ac:dyDescent="0.25">
      <c r="A2589" t="s">
        <v>46</v>
      </c>
      <c r="B2589" t="s">
        <v>16</v>
      </c>
      <c r="C2589" t="s">
        <v>39</v>
      </c>
      <c r="D2589" t="str">
        <f t="shared" si="242"/>
        <v>FAB3_1L  D Li Deslactosada Light</v>
      </c>
      <c r="E2589">
        <v>2023</v>
      </c>
      <c r="F2589">
        <v>43</v>
      </c>
      <c r="G2589">
        <f t="shared" si="243"/>
        <v>10</v>
      </c>
      <c r="H2589" s="1">
        <f t="shared" si="244"/>
        <v>45222</v>
      </c>
      <c r="I2589" s="1">
        <f t="shared" si="245"/>
        <v>45200</v>
      </c>
      <c r="J2589">
        <v>285462.13999999996</v>
      </c>
      <c r="K2589">
        <v>13488</v>
      </c>
      <c r="L2589">
        <f t="shared" si="241"/>
        <v>21.164156287069986</v>
      </c>
      <c r="M2589">
        <v>1124</v>
      </c>
      <c r="N2589" s="2">
        <f t="shared" si="246"/>
        <v>253.96987544483983</v>
      </c>
      <c r="O2589">
        <v>12</v>
      </c>
    </row>
    <row r="2590" spans="1:15" x14ac:dyDescent="0.25">
      <c r="A2590" t="s">
        <v>46</v>
      </c>
      <c r="B2590" t="s">
        <v>16</v>
      </c>
      <c r="C2590" t="s">
        <v>39</v>
      </c>
      <c r="D2590" t="str">
        <f t="shared" si="242"/>
        <v>FAB3_1L  D Li Deslactosada Light</v>
      </c>
      <c r="E2590">
        <v>2023</v>
      </c>
      <c r="F2590">
        <v>44</v>
      </c>
      <c r="G2590">
        <f t="shared" si="243"/>
        <v>11</v>
      </c>
      <c r="H2590" s="1">
        <f t="shared" si="244"/>
        <v>45229</v>
      </c>
      <c r="I2590" s="1">
        <f t="shared" si="245"/>
        <v>45231</v>
      </c>
      <c r="J2590">
        <v>377622.86000000004</v>
      </c>
      <c r="K2590">
        <v>17460</v>
      </c>
      <c r="L2590">
        <f t="shared" si="241"/>
        <v>21.627884306987401</v>
      </c>
      <c r="M2590">
        <v>1455</v>
      </c>
      <c r="N2590" s="2">
        <f t="shared" si="246"/>
        <v>259.53461168384882</v>
      </c>
      <c r="O2590">
        <v>12</v>
      </c>
    </row>
    <row r="2591" spans="1:15" x14ac:dyDescent="0.25">
      <c r="A2591" t="s">
        <v>46</v>
      </c>
      <c r="B2591" t="s">
        <v>16</v>
      </c>
      <c r="C2591" t="s">
        <v>39</v>
      </c>
      <c r="D2591" t="str">
        <f t="shared" si="242"/>
        <v>FAB3_1L  D Li Deslactosada Light</v>
      </c>
      <c r="E2591">
        <v>2023</v>
      </c>
      <c r="F2591">
        <v>45</v>
      </c>
      <c r="G2591">
        <f t="shared" si="243"/>
        <v>11</v>
      </c>
      <c r="H2591" s="1">
        <f t="shared" si="244"/>
        <v>45236</v>
      </c>
      <c r="I2591" s="1">
        <f t="shared" si="245"/>
        <v>45231</v>
      </c>
      <c r="J2591">
        <v>384227.59000000008</v>
      </c>
      <c r="K2591">
        <v>17472</v>
      </c>
      <c r="L2591">
        <f t="shared" si="241"/>
        <v>21.991047962454218</v>
      </c>
      <c r="M2591">
        <v>1456</v>
      </c>
      <c r="N2591" s="2">
        <f t="shared" si="246"/>
        <v>263.89257554945061</v>
      </c>
      <c r="O2591">
        <v>12</v>
      </c>
    </row>
    <row r="2592" spans="1:15" x14ac:dyDescent="0.25">
      <c r="A2592" t="s">
        <v>46</v>
      </c>
      <c r="B2592" t="s">
        <v>16</v>
      </c>
      <c r="C2592" t="s">
        <v>39</v>
      </c>
      <c r="D2592" t="str">
        <f t="shared" si="242"/>
        <v>FAB3_1L  D Li Deslactosada Light</v>
      </c>
      <c r="E2592">
        <v>2023</v>
      </c>
      <c r="F2592">
        <v>46</v>
      </c>
      <c r="G2592">
        <f t="shared" si="243"/>
        <v>11</v>
      </c>
      <c r="H2592" s="1">
        <f t="shared" si="244"/>
        <v>45243</v>
      </c>
      <c r="I2592" s="1">
        <f t="shared" si="245"/>
        <v>45231</v>
      </c>
      <c r="J2592">
        <v>425355.12</v>
      </c>
      <c r="K2592">
        <v>19416</v>
      </c>
      <c r="L2592">
        <f t="shared" si="241"/>
        <v>21.907453646477133</v>
      </c>
      <c r="M2592">
        <v>1618</v>
      </c>
      <c r="N2592" s="2">
        <f t="shared" si="246"/>
        <v>262.88944375772559</v>
      </c>
      <c r="O2592">
        <v>12</v>
      </c>
    </row>
    <row r="2593" spans="1:15" x14ac:dyDescent="0.25">
      <c r="A2593" t="s">
        <v>46</v>
      </c>
      <c r="B2593" t="s">
        <v>16</v>
      </c>
      <c r="C2593" t="s">
        <v>39</v>
      </c>
      <c r="D2593" t="str">
        <f t="shared" si="242"/>
        <v>FAB3_1L  D Li Deslactosada Light</v>
      </c>
      <c r="E2593">
        <v>2023</v>
      </c>
      <c r="F2593">
        <v>47</v>
      </c>
      <c r="G2593">
        <f t="shared" si="243"/>
        <v>11</v>
      </c>
      <c r="H2593" s="1">
        <f t="shared" si="244"/>
        <v>45250</v>
      </c>
      <c r="I2593" s="1">
        <f t="shared" si="245"/>
        <v>45231</v>
      </c>
      <c r="J2593">
        <v>413265.99000000005</v>
      </c>
      <c r="K2593">
        <v>18828</v>
      </c>
      <c r="L2593">
        <f t="shared" si="241"/>
        <v>21.949542702358194</v>
      </c>
      <c r="M2593">
        <v>1569</v>
      </c>
      <c r="N2593" s="2">
        <f t="shared" si="246"/>
        <v>263.3945124282983</v>
      </c>
      <c r="O2593">
        <v>12</v>
      </c>
    </row>
    <row r="2594" spans="1:15" x14ac:dyDescent="0.25">
      <c r="A2594" t="s">
        <v>46</v>
      </c>
      <c r="B2594" t="s">
        <v>16</v>
      </c>
      <c r="C2594" t="s">
        <v>39</v>
      </c>
      <c r="D2594" t="str">
        <f t="shared" si="242"/>
        <v>FAB3_1L  D Li Deslactosada Light</v>
      </c>
      <c r="E2594">
        <v>2023</v>
      </c>
      <c r="F2594">
        <v>48</v>
      </c>
      <c r="G2594">
        <f t="shared" si="243"/>
        <v>11</v>
      </c>
      <c r="H2594" s="1">
        <f t="shared" si="244"/>
        <v>45257</v>
      </c>
      <c r="I2594" s="1">
        <f t="shared" si="245"/>
        <v>45231</v>
      </c>
      <c r="J2594">
        <v>331961.62000000005</v>
      </c>
      <c r="K2594">
        <v>15024</v>
      </c>
      <c r="L2594">
        <f t="shared" si="241"/>
        <v>22.095421991480301</v>
      </c>
      <c r="M2594">
        <v>1252</v>
      </c>
      <c r="N2594" s="2">
        <f t="shared" si="246"/>
        <v>265.14506389776363</v>
      </c>
      <c r="O2594">
        <v>12</v>
      </c>
    </row>
    <row r="2595" spans="1:15" x14ac:dyDescent="0.25">
      <c r="A2595" t="s">
        <v>46</v>
      </c>
      <c r="B2595" t="s">
        <v>16</v>
      </c>
      <c r="C2595" t="s">
        <v>39</v>
      </c>
      <c r="D2595" t="str">
        <f t="shared" si="242"/>
        <v>FAB3_1L  D Li Deslactosada Light</v>
      </c>
      <c r="E2595">
        <v>2023</v>
      </c>
      <c r="F2595">
        <v>49</v>
      </c>
      <c r="G2595">
        <f t="shared" si="243"/>
        <v>12</v>
      </c>
      <c r="H2595" s="1">
        <f t="shared" si="244"/>
        <v>45264</v>
      </c>
      <c r="I2595" s="1">
        <f t="shared" si="245"/>
        <v>45261</v>
      </c>
      <c r="J2595">
        <v>393195.7300000001</v>
      </c>
      <c r="K2595">
        <v>17784</v>
      </c>
      <c r="L2595">
        <f t="shared" si="241"/>
        <v>22.109521479982011</v>
      </c>
      <c r="M2595">
        <v>1482</v>
      </c>
      <c r="N2595" s="2">
        <f t="shared" si="246"/>
        <v>265.31425775978414</v>
      </c>
      <c r="O2595">
        <v>12</v>
      </c>
    </row>
    <row r="2596" spans="1:15" x14ac:dyDescent="0.25">
      <c r="A2596" t="s">
        <v>46</v>
      </c>
      <c r="B2596" t="s">
        <v>16</v>
      </c>
      <c r="C2596" t="s">
        <v>39</v>
      </c>
      <c r="D2596" t="str">
        <f t="shared" si="242"/>
        <v>FAB3_1L  D Li Deslactosada Light</v>
      </c>
      <c r="E2596">
        <v>2023</v>
      </c>
      <c r="F2596">
        <v>50</v>
      </c>
      <c r="G2596">
        <f t="shared" si="243"/>
        <v>12</v>
      </c>
      <c r="H2596" s="1">
        <f t="shared" si="244"/>
        <v>45271</v>
      </c>
      <c r="I2596" s="1">
        <f t="shared" si="245"/>
        <v>45261</v>
      </c>
      <c r="J2596">
        <v>479012.81000000017</v>
      </c>
      <c r="K2596">
        <v>21600</v>
      </c>
      <c r="L2596">
        <f t="shared" si="241"/>
        <v>22.17651898148149</v>
      </c>
      <c r="M2596">
        <v>1800</v>
      </c>
      <c r="N2596" s="2">
        <f t="shared" si="246"/>
        <v>266.11822777777786</v>
      </c>
      <c r="O2596">
        <v>12</v>
      </c>
    </row>
    <row r="2597" spans="1:15" x14ac:dyDescent="0.25">
      <c r="A2597" t="s">
        <v>46</v>
      </c>
      <c r="B2597" t="s">
        <v>16</v>
      </c>
      <c r="C2597" t="s">
        <v>39</v>
      </c>
      <c r="D2597" t="str">
        <f t="shared" si="242"/>
        <v>FAB3_1L  D Li Deslactosada Light</v>
      </c>
      <c r="E2597">
        <v>2023</v>
      </c>
      <c r="F2597">
        <v>51</v>
      </c>
      <c r="G2597">
        <f t="shared" si="243"/>
        <v>12</v>
      </c>
      <c r="H2597" s="1">
        <f t="shared" si="244"/>
        <v>45278</v>
      </c>
      <c r="I2597" s="1">
        <f t="shared" si="245"/>
        <v>45261</v>
      </c>
      <c r="J2597">
        <v>404451.69000000006</v>
      </c>
      <c r="K2597">
        <v>18180</v>
      </c>
      <c r="L2597">
        <f t="shared" si="241"/>
        <v>22.24706765676568</v>
      </c>
      <c r="M2597">
        <v>1515</v>
      </c>
      <c r="N2597" s="2">
        <f t="shared" si="246"/>
        <v>266.96481188118815</v>
      </c>
      <c r="O2597">
        <v>12</v>
      </c>
    </row>
    <row r="2598" spans="1:15" x14ac:dyDescent="0.25">
      <c r="A2598" t="s">
        <v>46</v>
      </c>
      <c r="B2598" t="s">
        <v>16</v>
      </c>
      <c r="C2598" t="s">
        <v>39</v>
      </c>
      <c r="D2598" t="str">
        <f t="shared" si="242"/>
        <v>FAB3_1L  D Li Deslactosada Light</v>
      </c>
      <c r="E2598">
        <v>2023</v>
      </c>
      <c r="F2598">
        <v>52</v>
      </c>
      <c r="G2598">
        <f t="shared" si="243"/>
        <v>12</v>
      </c>
      <c r="H2598" s="1">
        <f t="shared" si="244"/>
        <v>45285</v>
      </c>
      <c r="I2598" s="1">
        <f t="shared" si="245"/>
        <v>45261</v>
      </c>
      <c r="J2598">
        <v>419990.7300000001</v>
      </c>
      <c r="K2598">
        <v>19104</v>
      </c>
      <c r="L2598">
        <f t="shared" si="241"/>
        <v>21.984439384422117</v>
      </c>
      <c r="M2598">
        <v>1592</v>
      </c>
      <c r="N2598" s="2">
        <f t="shared" si="246"/>
        <v>263.81327261306541</v>
      </c>
      <c r="O2598">
        <v>12</v>
      </c>
    </row>
    <row r="2599" spans="1:15" x14ac:dyDescent="0.25">
      <c r="A2599" t="s">
        <v>46</v>
      </c>
      <c r="B2599" t="s">
        <v>16</v>
      </c>
      <c r="C2599" t="s">
        <v>39</v>
      </c>
      <c r="D2599" t="str">
        <f t="shared" si="242"/>
        <v>FAB3_1L  D Li Deslactosada Light</v>
      </c>
      <c r="E2599">
        <v>2024</v>
      </c>
      <c r="F2599">
        <v>1</v>
      </c>
      <c r="G2599">
        <f t="shared" si="243"/>
        <v>1</v>
      </c>
      <c r="H2599" s="1">
        <f t="shared" si="244"/>
        <v>45292</v>
      </c>
      <c r="I2599" s="1">
        <f t="shared" si="245"/>
        <v>45292</v>
      </c>
      <c r="J2599">
        <v>612234.35999999975</v>
      </c>
      <c r="K2599">
        <v>28812</v>
      </c>
      <c r="L2599">
        <f t="shared" si="241"/>
        <v>21.249283631820067</v>
      </c>
      <c r="M2599">
        <v>2401</v>
      </c>
      <c r="N2599" s="2">
        <f t="shared" si="246"/>
        <v>254.99140358184079</v>
      </c>
      <c r="O2599">
        <v>12</v>
      </c>
    </row>
    <row r="2600" spans="1:15" x14ac:dyDescent="0.25">
      <c r="A2600" t="s">
        <v>46</v>
      </c>
      <c r="B2600" t="s">
        <v>16</v>
      </c>
      <c r="C2600" t="s">
        <v>39</v>
      </c>
      <c r="D2600" t="str">
        <f t="shared" si="242"/>
        <v>FAB3_1L  D Li Deslactosada Light</v>
      </c>
      <c r="E2600">
        <v>2024</v>
      </c>
      <c r="F2600">
        <v>2</v>
      </c>
      <c r="G2600">
        <f t="shared" si="243"/>
        <v>1</v>
      </c>
      <c r="H2600" s="1">
        <f t="shared" si="244"/>
        <v>45299</v>
      </c>
      <c r="I2600" s="1">
        <f t="shared" si="245"/>
        <v>45292</v>
      </c>
      <c r="J2600">
        <v>509358.18000000005</v>
      </c>
      <c r="K2600">
        <v>23820</v>
      </c>
      <c r="L2600">
        <f t="shared" si="241"/>
        <v>21.383634760705291</v>
      </c>
      <c r="M2600">
        <v>1985</v>
      </c>
      <c r="N2600" s="2">
        <f t="shared" si="246"/>
        <v>256.6036171284635</v>
      </c>
      <c r="O2600">
        <v>12</v>
      </c>
    </row>
    <row r="2601" spans="1:15" x14ac:dyDescent="0.25">
      <c r="A2601" t="s">
        <v>46</v>
      </c>
      <c r="B2601" t="s">
        <v>16</v>
      </c>
      <c r="C2601" t="s">
        <v>39</v>
      </c>
      <c r="D2601" t="str">
        <f t="shared" si="242"/>
        <v>FAB3_1L  D Li Deslactosada Light</v>
      </c>
      <c r="E2601">
        <v>2024</v>
      </c>
      <c r="F2601">
        <v>3</v>
      </c>
      <c r="G2601">
        <f t="shared" si="243"/>
        <v>1</v>
      </c>
      <c r="H2601" s="1">
        <f t="shared" si="244"/>
        <v>45306</v>
      </c>
      <c r="I2601" s="1">
        <f t="shared" si="245"/>
        <v>45292</v>
      </c>
      <c r="J2601">
        <v>657494.98999999964</v>
      </c>
      <c r="K2601">
        <v>32664</v>
      </c>
      <c r="L2601">
        <f t="shared" si="241"/>
        <v>20.129040840068566</v>
      </c>
      <c r="M2601">
        <v>2722</v>
      </c>
      <c r="N2601" s="2">
        <f t="shared" si="246"/>
        <v>241.5484900808228</v>
      </c>
      <c r="O2601">
        <v>12</v>
      </c>
    </row>
    <row r="2602" spans="1:15" x14ac:dyDescent="0.25">
      <c r="A2602" t="s">
        <v>46</v>
      </c>
      <c r="B2602" t="s">
        <v>16</v>
      </c>
      <c r="C2602" t="s">
        <v>39</v>
      </c>
      <c r="D2602" t="str">
        <f t="shared" si="242"/>
        <v>FAB3_1L  D Li Deslactosada Light</v>
      </c>
      <c r="E2602">
        <v>2024</v>
      </c>
      <c r="F2602">
        <v>4</v>
      </c>
      <c r="G2602">
        <f t="shared" si="243"/>
        <v>1</v>
      </c>
      <c r="H2602" s="1">
        <f t="shared" si="244"/>
        <v>45313</v>
      </c>
      <c r="I2602" s="1">
        <f t="shared" si="245"/>
        <v>45292</v>
      </c>
      <c r="J2602">
        <v>401213.78000000009</v>
      </c>
      <c r="K2602">
        <v>18432</v>
      </c>
      <c r="L2602">
        <f t="shared" si="241"/>
        <v>21.767240668402781</v>
      </c>
      <c r="M2602">
        <v>1536</v>
      </c>
      <c r="N2602" s="2">
        <f t="shared" si="246"/>
        <v>261.20688802083339</v>
      </c>
      <c r="O2602">
        <v>12</v>
      </c>
    </row>
    <row r="2603" spans="1:15" x14ac:dyDescent="0.25">
      <c r="A2603" t="s">
        <v>46</v>
      </c>
      <c r="B2603" t="s">
        <v>16</v>
      </c>
      <c r="C2603" t="s">
        <v>39</v>
      </c>
      <c r="D2603" t="str">
        <f t="shared" si="242"/>
        <v>FAB3_1L  D Li Deslactosada Light</v>
      </c>
      <c r="E2603">
        <v>2024</v>
      </c>
      <c r="F2603">
        <v>5</v>
      </c>
      <c r="G2603">
        <f t="shared" si="243"/>
        <v>2</v>
      </c>
      <c r="H2603" s="1">
        <f t="shared" si="244"/>
        <v>45320</v>
      </c>
      <c r="I2603" s="1">
        <f t="shared" si="245"/>
        <v>45323</v>
      </c>
      <c r="J2603">
        <v>447749.20000000024</v>
      </c>
      <c r="K2603">
        <v>19980</v>
      </c>
      <c r="L2603">
        <f t="shared" si="241"/>
        <v>22.409869869869883</v>
      </c>
      <c r="M2603">
        <v>1665</v>
      </c>
      <c r="N2603" s="2">
        <f t="shared" si="246"/>
        <v>268.91843843843861</v>
      </c>
      <c r="O2603">
        <v>12</v>
      </c>
    </row>
    <row r="2604" spans="1:15" x14ac:dyDescent="0.25">
      <c r="A2604" t="s">
        <v>46</v>
      </c>
      <c r="B2604" t="s">
        <v>16</v>
      </c>
      <c r="C2604" t="s">
        <v>39</v>
      </c>
      <c r="D2604" t="str">
        <f t="shared" si="242"/>
        <v>FAB3_1L  D Li Deslactosada Light</v>
      </c>
      <c r="E2604">
        <v>2024</v>
      </c>
      <c r="F2604">
        <v>6</v>
      </c>
      <c r="G2604">
        <f t="shared" si="243"/>
        <v>2</v>
      </c>
      <c r="H2604" s="1">
        <f t="shared" si="244"/>
        <v>45327</v>
      </c>
      <c r="I2604" s="1">
        <f t="shared" si="245"/>
        <v>45323</v>
      </c>
      <c r="J2604">
        <v>275078.96000000002</v>
      </c>
      <c r="K2604">
        <v>12156</v>
      </c>
      <c r="L2604">
        <f t="shared" si="241"/>
        <v>22.629068772622574</v>
      </c>
      <c r="M2604">
        <v>1013</v>
      </c>
      <c r="N2604" s="2">
        <f t="shared" si="246"/>
        <v>271.54882527147089</v>
      </c>
      <c r="O2604">
        <v>12</v>
      </c>
    </row>
    <row r="2605" spans="1:15" x14ac:dyDescent="0.25">
      <c r="A2605" t="s">
        <v>46</v>
      </c>
      <c r="B2605" t="s">
        <v>16</v>
      </c>
      <c r="C2605" t="s">
        <v>39</v>
      </c>
      <c r="D2605" t="str">
        <f t="shared" si="242"/>
        <v>FAB3_1L  D Li Deslactosada Light</v>
      </c>
      <c r="E2605">
        <v>2024</v>
      </c>
      <c r="F2605">
        <v>7</v>
      </c>
      <c r="G2605">
        <f t="shared" si="243"/>
        <v>2</v>
      </c>
      <c r="H2605" s="1">
        <f t="shared" si="244"/>
        <v>45334</v>
      </c>
      <c r="I2605" s="1">
        <f t="shared" si="245"/>
        <v>45323</v>
      </c>
      <c r="J2605">
        <v>441709.96</v>
      </c>
      <c r="K2605">
        <v>19584</v>
      </c>
      <c r="L2605">
        <f t="shared" si="241"/>
        <v>22.554634395424838</v>
      </c>
      <c r="M2605">
        <v>1632</v>
      </c>
      <c r="N2605" s="2">
        <f t="shared" si="246"/>
        <v>270.65561274509804</v>
      </c>
      <c r="O2605">
        <v>12</v>
      </c>
    </row>
    <row r="2606" spans="1:15" x14ac:dyDescent="0.25">
      <c r="A2606" t="s">
        <v>46</v>
      </c>
      <c r="B2606" t="s">
        <v>16</v>
      </c>
      <c r="C2606" t="s">
        <v>39</v>
      </c>
      <c r="D2606" t="str">
        <f t="shared" si="242"/>
        <v>FAB3_1L  D Li Deslactosada Light</v>
      </c>
      <c r="E2606">
        <v>2024</v>
      </c>
      <c r="F2606">
        <v>8</v>
      </c>
      <c r="G2606">
        <f t="shared" si="243"/>
        <v>2</v>
      </c>
      <c r="H2606" s="1">
        <f t="shared" si="244"/>
        <v>45341</v>
      </c>
      <c r="I2606" s="1">
        <f t="shared" si="245"/>
        <v>45323</v>
      </c>
      <c r="J2606">
        <v>468639.3400000002</v>
      </c>
      <c r="K2606">
        <v>21564</v>
      </c>
      <c r="L2606">
        <f t="shared" si="241"/>
        <v>21.732486551660184</v>
      </c>
      <c r="M2606">
        <v>1797</v>
      </c>
      <c r="N2606" s="2">
        <f t="shared" si="246"/>
        <v>260.78983861992219</v>
      </c>
      <c r="O2606">
        <v>12</v>
      </c>
    </row>
    <row r="2607" spans="1:15" x14ac:dyDescent="0.25">
      <c r="A2607" t="s">
        <v>46</v>
      </c>
      <c r="B2607" t="s">
        <v>16</v>
      </c>
      <c r="C2607" t="s">
        <v>39</v>
      </c>
      <c r="D2607" t="str">
        <f t="shared" si="242"/>
        <v>FAB3_1L  D Li Deslactosada Light</v>
      </c>
      <c r="E2607">
        <v>2024</v>
      </c>
      <c r="F2607">
        <v>9</v>
      </c>
      <c r="G2607">
        <f t="shared" si="243"/>
        <v>2</v>
      </c>
      <c r="H2607" s="1">
        <f t="shared" si="244"/>
        <v>45348</v>
      </c>
      <c r="I2607" s="1">
        <f t="shared" si="245"/>
        <v>45323</v>
      </c>
      <c r="J2607">
        <v>442071.12000000046</v>
      </c>
      <c r="K2607">
        <v>19632</v>
      </c>
      <c r="L2607">
        <f t="shared" si="241"/>
        <v>22.517885085574594</v>
      </c>
      <c r="M2607">
        <v>1636</v>
      </c>
      <c r="N2607" s="2">
        <f t="shared" si="246"/>
        <v>270.21462102689514</v>
      </c>
      <c r="O2607">
        <v>12</v>
      </c>
    </row>
    <row r="2608" spans="1:15" x14ac:dyDescent="0.25">
      <c r="A2608" t="s">
        <v>46</v>
      </c>
      <c r="B2608" t="s">
        <v>16</v>
      </c>
      <c r="C2608" t="s">
        <v>39</v>
      </c>
      <c r="D2608" t="str">
        <f t="shared" si="242"/>
        <v>FAB3_1L  D Li Deslactosada Light</v>
      </c>
      <c r="E2608">
        <v>2024</v>
      </c>
      <c r="F2608">
        <v>10</v>
      </c>
      <c r="G2608">
        <f t="shared" si="243"/>
        <v>3</v>
      </c>
      <c r="H2608" s="1">
        <f t="shared" si="244"/>
        <v>45355</v>
      </c>
      <c r="I2608" s="1">
        <f t="shared" si="245"/>
        <v>45352</v>
      </c>
      <c r="J2608">
        <v>498664.33999999997</v>
      </c>
      <c r="K2608">
        <v>22608</v>
      </c>
      <c r="L2608">
        <f t="shared" si="241"/>
        <v>22.05698602264685</v>
      </c>
      <c r="M2608">
        <v>1884</v>
      </c>
      <c r="N2608" s="2">
        <f t="shared" si="246"/>
        <v>264.68383227176218</v>
      </c>
      <c r="O2608">
        <v>12</v>
      </c>
    </row>
    <row r="2609" spans="1:15" x14ac:dyDescent="0.25">
      <c r="A2609" t="s">
        <v>46</v>
      </c>
      <c r="B2609" t="s">
        <v>16</v>
      </c>
      <c r="C2609" t="s">
        <v>39</v>
      </c>
      <c r="D2609" t="str">
        <f t="shared" si="242"/>
        <v>FAB3_1L  D Li Deslactosada Light</v>
      </c>
      <c r="E2609">
        <v>2024</v>
      </c>
      <c r="F2609">
        <v>11</v>
      </c>
      <c r="G2609">
        <f t="shared" si="243"/>
        <v>3</v>
      </c>
      <c r="H2609" s="1">
        <f t="shared" si="244"/>
        <v>45362</v>
      </c>
      <c r="I2609" s="1">
        <f t="shared" si="245"/>
        <v>45352</v>
      </c>
      <c r="J2609">
        <v>564779.3399999995</v>
      </c>
      <c r="K2609">
        <v>26508</v>
      </c>
      <c r="L2609">
        <f t="shared" si="241"/>
        <v>21.305995925758243</v>
      </c>
      <c r="M2609">
        <v>2209</v>
      </c>
      <c r="N2609" s="2">
        <f t="shared" si="246"/>
        <v>255.67195110909893</v>
      </c>
      <c r="O2609">
        <v>12</v>
      </c>
    </row>
    <row r="2610" spans="1:15" x14ac:dyDescent="0.25">
      <c r="A2610" t="s">
        <v>46</v>
      </c>
      <c r="B2610" t="s">
        <v>16</v>
      </c>
      <c r="C2610" t="s">
        <v>39</v>
      </c>
      <c r="D2610" t="str">
        <f t="shared" si="242"/>
        <v>FAB3_1L  D Li Deslactosada Light</v>
      </c>
      <c r="E2610">
        <v>2024</v>
      </c>
      <c r="F2610">
        <v>12</v>
      </c>
      <c r="G2610">
        <f t="shared" si="243"/>
        <v>3</v>
      </c>
      <c r="H2610" s="1">
        <f t="shared" si="244"/>
        <v>45369</v>
      </c>
      <c r="I2610" s="1">
        <f t="shared" si="245"/>
        <v>45352</v>
      </c>
      <c r="J2610">
        <v>461854.0399999998</v>
      </c>
      <c r="K2610">
        <v>21732</v>
      </c>
      <c r="L2610">
        <f t="shared" si="241"/>
        <v>21.252256580158281</v>
      </c>
      <c r="M2610">
        <v>1811</v>
      </c>
      <c r="N2610" s="2">
        <f t="shared" si="246"/>
        <v>255.02707896189941</v>
      </c>
      <c r="O2610">
        <v>12</v>
      </c>
    </row>
    <row r="2611" spans="1:15" x14ac:dyDescent="0.25">
      <c r="A2611" t="s">
        <v>46</v>
      </c>
      <c r="B2611" t="s">
        <v>16</v>
      </c>
      <c r="C2611" t="s">
        <v>39</v>
      </c>
      <c r="D2611" t="str">
        <f t="shared" si="242"/>
        <v>FAB3_1L  D Li Deslactosada Light</v>
      </c>
      <c r="E2611">
        <v>2024</v>
      </c>
      <c r="F2611">
        <v>13</v>
      </c>
      <c r="G2611">
        <f t="shared" si="243"/>
        <v>3</v>
      </c>
      <c r="H2611" s="1">
        <f t="shared" si="244"/>
        <v>45376</v>
      </c>
      <c r="I2611" s="1">
        <f t="shared" si="245"/>
        <v>45352</v>
      </c>
      <c r="J2611">
        <v>479804.7699999999</v>
      </c>
      <c r="K2611">
        <v>22380</v>
      </c>
      <c r="L2611">
        <f t="shared" si="241"/>
        <v>21.438997765862371</v>
      </c>
      <c r="M2611">
        <v>1865</v>
      </c>
      <c r="N2611" s="2">
        <f t="shared" si="246"/>
        <v>257.26797319034847</v>
      </c>
      <c r="O2611">
        <v>12</v>
      </c>
    </row>
    <row r="2612" spans="1:15" x14ac:dyDescent="0.25">
      <c r="A2612" t="s">
        <v>46</v>
      </c>
      <c r="B2612" t="s">
        <v>16</v>
      </c>
      <c r="C2612" t="s">
        <v>39</v>
      </c>
      <c r="D2612" t="str">
        <f t="shared" si="242"/>
        <v>FAB3_1L  D Li Deslactosada Light</v>
      </c>
      <c r="E2612">
        <v>2024</v>
      </c>
      <c r="F2612">
        <v>14</v>
      </c>
      <c r="G2612">
        <f t="shared" si="243"/>
        <v>4</v>
      </c>
      <c r="H2612" s="1">
        <f t="shared" si="244"/>
        <v>45383</v>
      </c>
      <c r="I2612" s="1">
        <f t="shared" si="245"/>
        <v>45383</v>
      </c>
      <c r="J2612">
        <v>512968.25999999978</v>
      </c>
      <c r="K2612">
        <v>22920</v>
      </c>
      <c r="L2612">
        <f t="shared" si="241"/>
        <v>22.380814136125643</v>
      </c>
      <c r="M2612">
        <v>1910</v>
      </c>
      <c r="N2612" s="2">
        <f t="shared" si="246"/>
        <v>268.56976963350775</v>
      </c>
      <c r="O2612">
        <v>12</v>
      </c>
    </row>
    <row r="2613" spans="1:15" x14ac:dyDescent="0.25">
      <c r="A2613" t="s">
        <v>46</v>
      </c>
      <c r="B2613" t="s">
        <v>16</v>
      </c>
      <c r="C2613" t="s">
        <v>39</v>
      </c>
      <c r="D2613" t="str">
        <f t="shared" si="242"/>
        <v>FAB3_1L  D Li Deslactosada Light</v>
      </c>
      <c r="E2613">
        <v>2024</v>
      </c>
      <c r="F2613">
        <v>15</v>
      </c>
      <c r="G2613">
        <f t="shared" si="243"/>
        <v>4</v>
      </c>
      <c r="H2613" s="1">
        <f t="shared" si="244"/>
        <v>45390</v>
      </c>
      <c r="I2613" s="1">
        <f t="shared" si="245"/>
        <v>45383</v>
      </c>
      <c r="J2613">
        <v>416636.58999999991</v>
      </c>
      <c r="K2613">
        <v>18636</v>
      </c>
      <c r="L2613">
        <f t="shared" si="241"/>
        <v>22.356545932603559</v>
      </c>
      <c r="M2613">
        <v>1553</v>
      </c>
      <c r="N2613" s="2">
        <f t="shared" si="246"/>
        <v>268.27855119124268</v>
      </c>
      <c r="O2613">
        <v>12</v>
      </c>
    </row>
    <row r="2614" spans="1:15" x14ac:dyDescent="0.25">
      <c r="A2614" t="s">
        <v>46</v>
      </c>
      <c r="B2614" t="s">
        <v>16</v>
      </c>
      <c r="C2614" t="s">
        <v>39</v>
      </c>
      <c r="D2614" t="str">
        <f t="shared" si="242"/>
        <v>FAB3_1L  D Li Deslactosada Light</v>
      </c>
      <c r="E2614">
        <v>2024</v>
      </c>
      <c r="F2614">
        <v>16</v>
      </c>
      <c r="G2614">
        <f t="shared" si="243"/>
        <v>4</v>
      </c>
      <c r="H2614" s="1">
        <f t="shared" si="244"/>
        <v>45397</v>
      </c>
      <c r="I2614" s="1">
        <f t="shared" si="245"/>
        <v>45383</v>
      </c>
      <c r="J2614">
        <v>479242.64999999985</v>
      </c>
      <c r="K2614">
        <v>21456</v>
      </c>
      <c r="L2614">
        <f t="shared" si="241"/>
        <v>22.336066834451895</v>
      </c>
      <c r="M2614">
        <v>1788</v>
      </c>
      <c r="N2614" s="2">
        <f t="shared" si="246"/>
        <v>268.03280201342272</v>
      </c>
      <c r="O2614">
        <v>12</v>
      </c>
    </row>
    <row r="2615" spans="1:15" x14ac:dyDescent="0.25">
      <c r="A2615" t="s">
        <v>46</v>
      </c>
      <c r="B2615" t="s">
        <v>16</v>
      </c>
      <c r="C2615" t="s">
        <v>39</v>
      </c>
      <c r="D2615" t="str">
        <f t="shared" si="242"/>
        <v>FAB3_1L  D Li Deslactosada Light</v>
      </c>
      <c r="E2615">
        <v>2024</v>
      </c>
      <c r="F2615">
        <v>17</v>
      </c>
      <c r="G2615">
        <f t="shared" si="243"/>
        <v>4</v>
      </c>
      <c r="H2615" s="1">
        <f t="shared" si="244"/>
        <v>45404</v>
      </c>
      <c r="I2615" s="1">
        <f t="shared" si="245"/>
        <v>45383</v>
      </c>
      <c r="J2615">
        <v>417706.8299999999</v>
      </c>
      <c r="K2615">
        <v>18816</v>
      </c>
      <c r="L2615">
        <f t="shared" si="241"/>
        <v>22.199555165816321</v>
      </c>
      <c r="M2615">
        <v>1568</v>
      </c>
      <c r="N2615" s="2">
        <f t="shared" si="246"/>
        <v>266.39466198979585</v>
      </c>
      <c r="O2615">
        <v>12</v>
      </c>
    </row>
    <row r="2616" spans="1:15" x14ac:dyDescent="0.25">
      <c r="A2616" t="s">
        <v>46</v>
      </c>
      <c r="B2616" t="s">
        <v>16</v>
      </c>
      <c r="C2616" t="s">
        <v>39</v>
      </c>
      <c r="D2616" t="str">
        <f t="shared" si="242"/>
        <v>FAB3_1L  D Li Deslactosada Light</v>
      </c>
      <c r="E2616">
        <v>2024</v>
      </c>
      <c r="F2616">
        <v>18</v>
      </c>
      <c r="G2616">
        <f t="shared" si="243"/>
        <v>5</v>
      </c>
      <c r="H2616" s="1">
        <f t="shared" si="244"/>
        <v>45411</v>
      </c>
      <c r="I2616" s="1">
        <f t="shared" si="245"/>
        <v>45413</v>
      </c>
      <c r="J2616">
        <v>490313.82000000018</v>
      </c>
      <c r="K2616">
        <v>21480</v>
      </c>
      <c r="L2616">
        <f t="shared" si="241"/>
        <v>22.826527932960904</v>
      </c>
      <c r="M2616">
        <v>1790</v>
      </c>
      <c r="N2616" s="2">
        <f t="shared" si="246"/>
        <v>273.9183351955308</v>
      </c>
      <c r="O2616">
        <v>12</v>
      </c>
    </row>
    <row r="2617" spans="1:15" x14ac:dyDescent="0.25">
      <c r="A2617" t="s">
        <v>46</v>
      </c>
      <c r="B2617" t="s">
        <v>16</v>
      </c>
      <c r="C2617" t="s">
        <v>39</v>
      </c>
      <c r="D2617" t="str">
        <f t="shared" si="242"/>
        <v>FAB3_1L  D Li Deslactosada Light</v>
      </c>
      <c r="E2617">
        <v>2024</v>
      </c>
      <c r="F2617">
        <v>19</v>
      </c>
      <c r="G2617">
        <f t="shared" si="243"/>
        <v>5</v>
      </c>
      <c r="H2617" s="1">
        <f t="shared" si="244"/>
        <v>45418</v>
      </c>
      <c r="I2617" s="1">
        <f t="shared" si="245"/>
        <v>45413</v>
      </c>
      <c r="J2617">
        <v>460901.77000000008</v>
      </c>
      <c r="K2617">
        <v>19080</v>
      </c>
      <c r="L2617">
        <f t="shared" si="241"/>
        <v>24.156277253668769</v>
      </c>
      <c r="M2617">
        <v>1590</v>
      </c>
      <c r="N2617" s="2">
        <f t="shared" si="246"/>
        <v>289.8753270440252</v>
      </c>
      <c r="O2617">
        <v>12</v>
      </c>
    </row>
    <row r="2618" spans="1:15" x14ac:dyDescent="0.25">
      <c r="A2618" t="s">
        <v>46</v>
      </c>
      <c r="B2618" t="s">
        <v>16</v>
      </c>
      <c r="C2618" t="s">
        <v>39</v>
      </c>
      <c r="D2618" t="str">
        <f t="shared" si="242"/>
        <v>FAB3_1L  D Li Deslactosada Light</v>
      </c>
      <c r="E2618">
        <v>2024</v>
      </c>
      <c r="F2618">
        <v>20</v>
      </c>
      <c r="G2618">
        <f t="shared" si="243"/>
        <v>5</v>
      </c>
      <c r="H2618" s="1">
        <f t="shared" si="244"/>
        <v>45425</v>
      </c>
      <c r="I2618" s="1">
        <f t="shared" si="245"/>
        <v>45413</v>
      </c>
      <c r="J2618">
        <v>449323.18999999983</v>
      </c>
      <c r="K2618">
        <v>19116</v>
      </c>
      <c r="L2618">
        <f t="shared" si="241"/>
        <v>23.505084222640711</v>
      </c>
      <c r="M2618">
        <v>1593</v>
      </c>
      <c r="N2618" s="2">
        <f t="shared" si="246"/>
        <v>282.06101067168851</v>
      </c>
      <c r="O2618">
        <v>12</v>
      </c>
    </row>
    <row r="2619" spans="1:15" x14ac:dyDescent="0.25">
      <c r="A2619" t="s">
        <v>46</v>
      </c>
      <c r="B2619" t="s">
        <v>16</v>
      </c>
      <c r="C2619" t="s">
        <v>39</v>
      </c>
      <c r="D2619" t="str">
        <f t="shared" si="242"/>
        <v>FAB3_1L  D Li Deslactosada Light</v>
      </c>
      <c r="E2619">
        <v>2024</v>
      </c>
      <c r="F2619">
        <v>21</v>
      </c>
      <c r="G2619">
        <f t="shared" si="243"/>
        <v>5</v>
      </c>
      <c r="H2619" s="1">
        <f t="shared" si="244"/>
        <v>45432</v>
      </c>
      <c r="I2619" s="1">
        <f t="shared" si="245"/>
        <v>45413</v>
      </c>
      <c r="J2619">
        <v>422827.2</v>
      </c>
      <c r="K2619">
        <v>18144</v>
      </c>
      <c r="L2619">
        <f t="shared" si="241"/>
        <v>23.303968253968254</v>
      </c>
      <c r="M2619">
        <v>1512</v>
      </c>
      <c r="N2619" s="2">
        <f t="shared" si="246"/>
        <v>279.64761904761906</v>
      </c>
      <c r="O2619">
        <v>12</v>
      </c>
    </row>
    <row r="2620" spans="1:15" x14ac:dyDescent="0.25">
      <c r="A2620" t="s">
        <v>46</v>
      </c>
      <c r="B2620" t="s">
        <v>16</v>
      </c>
      <c r="C2620" t="s">
        <v>39</v>
      </c>
      <c r="D2620" t="str">
        <f t="shared" si="242"/>
        <v>FAB3_1L  D Li Deslactosada Light</v>
      </c>
      <c r="E2620">
        <v>2024</v>
      </c>
      <c r="F2620">
        <v>22</v>
      </c>
      <c r="G2620">
        <f t="shared" si="243"/>
        <v>5</v>
      </c>
      <c r="H2620" s="1">
        <f t="shared" si="244"/>
        <v>45439</v>
      </c>
      <c r="I2620" s="1">
        <f t="shared" si="245"/>
        <v>45413</v>
      </c>
      <c r="J2620">
        <v>462134.38999999966</v>
      </c>
      <c r="K2620">
        <v>20364</v>
      </c>
      <c r="L2620">
        <f t="shared" si="241"/>
        <v>22.693694264388121</v>
      </c>
      <c r="M2620">
        <v>1697</v>
      </c>
      <c r="N2620" s="2">
        <f t="shared" si="246"/>
        <v>272.32433117265742</v>
      </c>
      <c r="O2620">
        <v>12</v>
      </c>
    </row>
    <row r="2621" spans="1:15" x14ac:dyDescent="0.25">
      <c r="A2621" t="s">
        <v>46</v>
      </c>
      <c r="B2621" t="s">
        <v>16</v>
      </c>
      <c r="C2621" t="s">
        <v>39</v>
      </c>
      <c r="D2621" t="str">
        <f t="shared" si="242"/>
        <v>FAB3_1L  D Li Deslactosada Light</v>
      </c>
      <c r="E2621">
        <v>2024</v>
      </c>
      <c r="F2621">
        <v>23</v>
      </c>
      <c r="G2621">
        <f t="shared" si="243"/>
        <v>6</v>
      </c>
      <c r="H2621" s="1">
        <f t="shared" si="244"/>
        <v>45446</v>
      </c>
      <c r="I2621" s="1">
        <f t="shared" si="245"/>
        <v>45444</v>
      </c>
      <c r="J2621">
        <v>533567.91999999969</v>
      </c>
      <c r="K2621">
        <v>23592</v>
      </c>
      <c r="L2621">
        <f t="shared" si="241"/>
        <v>22.616476771787035</v>
      </c>
      <c r="M2621">
        <v>1966</v>
      </c>
      <c r="N2621" s="2">
        <f t="shared" si="246"/>
        <v>271.39772126144442</v>
      </c>
      <c r="O2621">
        <v>12</v>
      </c>
    </row>
    <row r="2622" spans="1:15" x14ac:dyDescent="0.25">
      <c r="A2622" t="s">
        <v>46</v>
      </c>
      <c r="B2622" t="s">
        <v>16</v>
      </c>
      <c r="C2622" t="s">
        <v>39</v>
      </c>
      <c r="D2622" t="str">
        <f t="shared" si="242"/>
        <v>FAB3_1L  D Li Deslactosada Light</v>
      </c>
      <c r="E2622">
        <v>2024</v>
      </c>
      <c r="F2622">
        <v>24</v>
      </c>
      <c r="G2622">
        <f t="shared" si="243"/>
        <v>6</v>
      </c>
      <c r="H2622" s="1">
        <f t="shared" si="244"/>
        <v>45453</v>
      </c>
      <c r="I2622" s="1">
        <f t="shared" si="245"/>
        <v>45444</v>
      </c>
      <c r="J2622">
        <v>424758.81000000023</v>
      </c>
      <c r="K2622">
        <v>18192</v>
      </c>
      <c r="L2622">
        <f t="shared" ref="L2622:L2685" si="247">J2622/(M2622*O2622)</f>
        <v>23.348659300791571</v>
      </c>
      <c r="M2622">
        <v>1516</v>
      </c>
      <c r="N2622" s="2">
        <f t="shared" si="246"/>
        <v>280.18391160949881</v>
      </c>
      <c r="O2622">
        <v>12</v>
      </c>
    </row>
    <row r="2623" spans="1:15" x14ac:dyDescent="0.25">
      <c r="A2623" t="s">
        <v>46</v>
      </c>
      <c r="B2623" t="s">
        <v>16</v>
      </c>
      <c r="C2623" t="s">
        <v>39</v>
      </c>
      <c r="D2623" t="str">
        <f t="shared" si="242"/>
        <v>FAB3_1L  D Li Deslactosada Light</v>
      </c>
      <c r="E2623">
        <v>2024</v>
      </c>
      <c r="F2623">
        <v>25</v>
      </c>
      <c r="G2623">
        <f t="shared" si="243"/>
        <v>6</v>
      </c>
      <c r="H2623" s="1">
        <f t="shared" si="244"/>
        <v>45460</v>
      </c>
      <c r="I2623" s="1">
        <f t="shared" si="245"/>
        <v>45444</v>
      </c>
      <c r="J2623">
        <v>378431.64000000013</v>
      </c>
      <c r="K2623">
        <v>15492</v>
      </c>
      <c r="L2623">
        <f t="shared" si="247"/>
        <v>24.427552285050357</v>
      </c>
      <c r="M2623">
        <v>1291</v>
      </c>
      <c r="N2623" s="2">
        <f t="shared" si="246"/>
        <v>293.1306274206043</v>
      </c>
      <c r="O2623">
        <v>12</v>
      </c>
    </row>
    <row r="2624" spans="1:15" x14ac:dyDescent="0.25">
      <c r="A2624" t="s">
        <v>46</v>
      </c>
      <c r="B2624" t="s">
        <v>16</v>
      </c>
      <c r="C2624" t="s">
        <v>39</v>
      </c>
      <c r="D2624" t="str">
        <f t="shared" si="242"/>
        <v>FAB3_1L  D Li Deslactosada Light</v>
      </c>
      <c r="E2624">
        <v>2024</v>
      </c>
      <c r="F2624">
        <v>26</v>
      </c>
      <c r="G2624">
        <f t="shared" si="243"/>
        <v>6</v>
      </c>
      <c r="H2624" s="1">
        <f t="shared" si="244"/>
        <v>45467</v>
      </c>
      <c r="I2624" s="1">
        <f t="shared" si="245"/>
        <v>45444</v>
      </c>
      <c r="J2624">
        <v>318486.86</v>
      </c>
      <c r="K2624">
        <v>13176</v>
      </c>
      <c r="L2624">
        <f t="shared" si="247"/>
        <v>24.17174104432301</v>
      </c>
      <c r="M2624">
        <v>1098</v>
      </c>
      <c r="N2624" s="2">
        <f t="shared" si="246"/>
        <v>290.06089253187611</v>
      </c>
      <c r="O2624">
        <v>12</v>
      </c>
    </row>
    <row r="2625" spans="1:15" x14ac:dyDescent="0.25">
      <c r="A2625" t="s">
        <v>46</v>
      </c>
      <c r="B2625" t="s">
        <v>16</v>
      </c>
      <c r="C2625" t="s">
        <v>39</v>
      </c>
      <c r="D2625" t="str">
        <f t="shared" si="242"/>
        <v>FAB3_1L  D Li Deslactosada Light</v>
      </c>
      <c r="E2625">
        <v>2024</v>
      </c>
      <c r="F2625">
        <v>27</v>
      </c>
      <c r="G2625">
        <f t="shared" si="243"/>
        <v>7</v>
      </c>
      <c r="H2625" s="1">
        <f t="shared" si="244"/>
        <v>45474</v>
      </c>
      <c r="I2625" s="1">
        <f t="shared" si="245"/>
        <v>45474</v>
      </c>
      <c r="J2625">
        <v>438118.90000000008</v>
      </c>
      <c r="K2625">
        <v>18264</v>
      </c>
      <c r="L2625">
        <f t="shared" si="247"/>
        <v>23.988113228208501</v>
      </c>
      <c r="M2625">
        <v>1522</v>
      </c>
      <c r="N2625" s="2">
        <f t="shared" si="246"/>
        <v>287.857358738502</v>
      </c>
      <c r="O2625">
        <v>12</v>
      </c>
    </row>
    <row r="2626" spans="1:15" x14ac:dyDescent="0.25">
      <c r="A2626" t="s">
        <v>46</v>
      </c>
      <c r="B2626" t="s">
        <v>16</v>
      </c>
      <c r="C2626" t="s">
        <v>39</v>
      </c>
      <c r="D2626" t="str">
        <f t="shared" si="242"/>
        <v>FAB3_1L  D Li Deslactosada Light</v>
      </c>
      <c r="E2626">
        <v>2024</v>
      </c>
      <c r="F2626">
        <v>28</v>
      </c>
      <c r="G2626">
        <f t="shared" si="243"/>
        <v>7</v>
      </c>
      <c r="H2626" s="1">
        <f t="shared" si="244"/>
        <v>45481</v>
      </c>
      <c r="I2626" s="1">
        <f t="shared" si="245"/>
        <v>45474</v>
      </c>
      <c r="J2626">
        <v>342909.74999999994</v>
      </c>
      <c r="K2626">
        <v>14508</v>
      </c>
      <c r="L2626">
        <f t="shared" si="247"/>
        <v>23.635907775020673</v>
      </c>
      <c r="M2626">
        <v>1209</v>
      </c>
      <c r="N2626" s="2">
        <f t="shared" si="246"/>
        <v>283.63089330024809</v>
      </c>
      <c r="O2626">
        <v>12</v>
      </c>
    </row>
    <row r="2627" spans="1:15" x14ac:dyDescent="0.25">
      <c r="A2627" t="s">
        <v>46</v>
      </c>
      <c r="B2627" t="s">
        <v>16</v>
      </c>
      <c r="C2627" t="s">
        <v>39</v>
      </c>
      <c r="D2627" t="str">
        <f t="shared" ref="D2627:D2690" si="248">B2627&amp;"_"&amp;C2627</f>
        <v>FAB3_1L  D Li Deslactosada Light</v>
      </c>
      <c r="E2627">
        <v>2024</v>
      </c>
      <c r="F2627">
        <v>29</v>
      </c>
      <c r="G2627">
        <f t="shared" ref="G2627:G2690" si="249">MONTH(DATE(E2627,1,4)+(F2627-1)*7-WEEKDAY(DATE(E2627,1,4),2)+4)</f>
        <v>7</v>
      </c>
      <c r="H2627" s="1">
        <f t="shared" ref="H2627:H2690" si="250">DATE(E2627,1,-2)-WEEKDAY(DATE(E2627,1,3))+F2627*7</f>
        <v>45488</v>
      </c>
      <c r="I2627" s="1">
        <f t="shared" ref="I2627:I2690" si="251">DATE(E2627,G2627,1)</f>
        <v>45474</v>
      </c>
      <c r="J2627">
        <v>435213.51</v>
      </c>
      <c r="K2627">
        <v>18732</v>
      </c>
      <c r="L2627">
        <f t="shared" si="247"/>
        <v>23.233691543882127</v>
      </c>
      <c r="M2627">
        <v>1561</v>
      </c>
      <c r="N2627" s="2">
        <f t="shared" ref="N2627:N2690" si="252">J2627/M2627</f>
        <v>278.80429852658551</v>
      </c>
      <c r="O2627">
        <v>12</v>
      </c>
    </row>
    <row r="2628" spans="1:15" x14ac:dyDescent="0.25">
      <c r="A2628" t="s">
        <v>46</v>
      </c>
      <c r="B2628" t="s">
        <v>16</v>
      </c>
      <c r="C2628" t="s">
        <v>39</v>
      </c>
      <c r="D2628" t="str">
        <f t="shared" si="248"/>
        <v>FAB3_1L  D Li Deslactosada Light</v>
      </c>
      <c r="E2628">
        <v>2024</v>
      </c>
      <c r="F2628">
        <v>30</v>
      </c>
      <c r="G2628">
        <f t="shared" si="249"/>
        <v>7</v>
      </c>
      <c r="H2628" s="1">
        <f t="shared" si="250"/>
        <v>45495</v>
      </c>
      <c r="I2628" s="1">
        <f t="shared" si="251"/>
        <v>45474</v>
      </c>
      <c r="J2628">
        <v>353947.75000000017</v>
      </c>
      <c r="K2628">
        <v>14472</v>
      </c>
      <c r="L2628">
        <f t="shared" si="247"/>
        <v>24.457417772249872</v>
      </c>
      <c r="M2628">
        <v>1206</v>
      </c>
      <c r="N2628" s="2">
        <f t="shared" si="252"/>
        <v>293.48901326699848</v>
      </c>
      <c r="O2628">
        <v>12</v>
      </c>
    </row>
    <row r="2629" spans="1:15" x14ac:dyDescent="0.25">
      <c r="A2629" t="s">
        <v>46</v>
      </c>
      <c r="B2629" t="s">
        <v>16</v>
      </c>
      <c r="C2629" t="s">
        <v>39</v>
      </c>
      <c r="D2629" t="str">
        <f t="shared" si="248"/>
        <v>FAB3_1L  D Li Deslactosada Light</v>
      </c>
      <c r="E2629">
        <v>2024</v>
      </c>
      <c r="F2629">
        <v>31</v>
      </c>
      <c r="G2629">
        <f t="shared" si="249"/>
        <v>8</v>
      </c>
      <c r="H2629" s="1">
        <f t="shared" si="250"/>
        <v>45502</v>
      </c>
      <c r="I2629" s="1">
        <f t="shared" si="251"/>
        <v>45505</v>
      </c>
      <c r="J2629">
        <v>462243.12000000034</v>
      </c>
      <c r="K2629">
        <v>19476</v>
      </c>
      <c r="L2629">
        <f t="shared" si="247"/>
        <v>23.733986444855223</v>
      </c>
      <c r="M2629">
        <v>1623</v>
      </c>
      <c r="N2629" s="2">
        <f t="shared" si="252"/>
        <v>284.80783733826269</v>
      </c>
      <c r="O2629">
        <v>12</v>
      </c>
    </row>
    <row r="2630" spans="1:15" x14ac:dyDescent="0.25">
      <c r="A2630" t="s">
        <v>46</v>
      </c>
      <c r="B2630" t="s">
        <v>16</v>
      </c>
      <c r="C2630" t="s">
        <v>39</v>
      </c>
      <c r="D2630" t="str">
        <f t="shared" si="248"/>
        <v>FAB3_1L  D Li Deslactosada Light</v>
      </c>
      <c r="E2630">
        <v>2024</v>
      </c>
      <c r="F2630">
        <v>32</v>
      </c>
      <c r="G2630">
        <f t="shared" si="249"/>
        <v>8</v>
      </c>
      <c r="H2630" s="1">
        <f t="shared" si="250"/>
        <v>45509</v>
      </c>
      <c r="I2630" s="1">
        <f t="shared" si="251"/>
        <v>45505</v>
      </c>
      <c r="J2630">
        <v>479997.82000000012</v>
      </c>
      <c r="K2630">
        <v>20652</v>
      </c>
      <c r="L2630">
        <f t="shared" si="247"/>
        <v>23.242195429014146</v>
      </c>
      <c r="M2630">
        <v>1721</v>
      </c>
      <c r="N2630" s="2">
        <f t="shared" si="252"/>
        <v>278.90634514816975</v>
      </c>
      <c r="O2630">
        <v>12</v>
      </c>
    </row>
    <row r="2631" spans="1:15" x14ac:dyDescent="0.25">
      <c r="A2631" t="s">
        <v>46</v>
      </c>
      <c r="B2631" t="s">
        <v>16</v>
      </c>
      <c r="C2631" t="s">
        <v>39</v>
      </c>
      <c r="D2631" t="str">
        <f t="shared" si="248"/>
        <v>FAB3_1L  D Li Deslactosada Light</v>
      </c>
      <c r="E2631">
        <v>2024</v>
      </c>
      <c r="F2631">
        <v>33</v>
      </c>
      <c r="G2631">
        <f t="shared" si="249"/>
        <v>8</v>
      </c>
      <c r="H2631" s="1">
        <f t="shared" si="250"/>
        <v>45516</v>
      </c>
      <c r="I2631" s="1">
        <f t="shared" si="251"/>
        <v>45505</v>
      </c>
      <c r="J2631">
        <v>443918.97000000003</v>
      </c>
      <c r="K2631">
        <v>19104</v>
      </c>
      <c r="L2631">
        <f t="shared" si="247"/>
        <v>23.236964510050253</v>
      </c>
      <c r="M2631">
        <v>1592</v>
      </c>
      <c r="N2631" s="2">
        <f t="shared" si="252"/>
        <v>278.84357412060302</v>
      </c>
      <c r="O2631">
        <v>12</v>
      </c>
    </row>
    <row r="2632" spans="1:15" x14ac:dyDescent="0.25">
      <c r="A2632" t="s">
        <v>46</v>
      </c>
      <c r="B2632" t="s">
        <v>16</v>
      </c>
      <c r="C2632" t="s">
        <v>39</v>
      </c>
      <c r="D2632" t="str">
        <f t="shared" si="248"/>
        <v>FAB3_1L  D Li Deslactosada Light</v>
      </c>
      <c r="E2632">
        <v>2024</v>
      </c>
      <c r="F2632">
        <v>34</v>
      </c>
      <c r="G2632">
        <f t="shared" si="249"/>
        <v>8</v>
      </c>
      <c r="H2632" s="1">
        <f t="shared" si="250"/>
        <v>45523</v>
      </c>
      <c r="I2632" s="1">
        <f t="shared" si="251"/>
        <v>45505</v>
      </c>
      <c r="J2632">
        <v>365948.32</v>
      </c>
      <c r="K2632">
        <v>15408</v>
      </c>
      <c r="L2632">
        <f t="shared" si="247"/>
        <v>23.750539979231569</v>
      </c>
      <c r="M2632">
        <v>1284</v>
      </c>
      <c r="N2632" s="2">
        <f t="shared" si="252"/>
        <v>285.00647975077879</v>
      </c>
      <c r="O2632">
        <v>12</v>
      </c>
    </row>
    <row r="2633" spans="1:15" x14ac:dyDescent="0.25">
      <c r="A2633" t="s">
        <v>46</v>
      </c>
      <c r="B2633" t="s">
        <v>16</v>
      </c>
      <c r="C2633" t="s">
        <v>39</v>
      </c>
      <c r="D2633" t="str">
        <f t="shared" si="248"/>
        <v>FAB3_1L  D Li Deslactosada Light</v>
      </c>
      <c r="E2633">
        <v>2024</v>
      </c>
      <c r="F2633">
        <v>35</v>
      </c>
      <c r="G2633">
        <f t="shared" si="249"/>
        <v>8</v>
      </c>
      <c r="H2633" s="1">
        <f t="shared" si="250"/>
        <v>45530</v>
      </c>
      <c r="I2633" s="1">
        <f t="shared" si="251"/>
        <v>45505</v>
      </c>
      <c r="J2633">
        <v>361077.66000000003</v>
      </c>
      <c r="K2633">
        <v>14832</v>
      </c>
      <c r="L2633">
        <f t="shared" si="247"/>
        <v>24.344502427184469</v>
      </c>
      <c r="M2633">
        <v>1236</v>
      </c>
      <c r="N2633" s="2">
        <f t="shared" si="252"/>
        <v>292.13402912621359</v>
      </c>
      <c r="O2633">
        <v>12</v>
      </c>
    </row>
    <row r="2634" spans="1:15" x14ac:dyDescent="0.25">
      <c r="A2634" t="s">
        <v>46</v>
      </c>
      <c r="B2634" t="s">
        <v>16</v>
      </c>
      <c r="C2634" t="s">
        <v>39</v>
      </c>
      <c r="D2634" t="str">
        <f t="shared" si="248"/>
        <v>FAB3_1L  D Li Deslactosada Light</v>
      </c>
      <c r="E2634">
        <v>2024</v>
      </c>
      <c r="F2634">
        <v>36</v>
      </c>
      <c r="G2634">
        <f t="shared" si="249"/>
        <v>9</v>
      </c>
      <c r="H2634" s="1">
        <f t="shared" si="250"/>
        <v>45537</v>
      </c>
      <c r="I2634" s="1">
        <f t="shared" si="251"/>
        <v>45536</v>
      </c>
      <c r="J2634">
        <v>475317.04000000004</v>
      </c>
      <c r="K2634">
        <v>20448</v>
      </c>
      <c r="L2634">
        <f t="shared" si="247"/>
        <v>23.245160406885759</v>
      </c>
      <c r="M2634">
        <v>1704</v>
      </c>
      <c r="N2634" s="2">
        <f t="shared" si="252"/>
        <v>278.94192488262911</v>
      </c>
      <c r="O2634">
        <v>12</v>
      </c>
    </row>
    <row r="2635" spans="1:15" x14ac:dyDescent="0.25">
      <c r="A2635" t="s">
        <v>46</v>
      </c>
      <c r="B2635" t="s">
        <v>16</v>
      </c>
      <c r="C2635" t="s">
        <v>39</v>
      </c>
      <c r="D2635" t="str">
        <f t="shared" si="248"/>
        <v>FAB3_1L  D Li Deslactosada Light</v>
      </c>
      <c r="E2635">
        <v>2024</v>
      </c>
      <c r="F2635">
        <v>37</v>
      </c>
      <c r="G2635">
        <f t="shared" si="249"/>
        <v>9</v>
      </c>
      <c r="H2635" s="1">
        <f t="shared" si="250"/>
        <v>45544</v>
      </c>
      <c r="I2635" s="1">
        <f t="shared" si="251"/>
        <v>45536</v>
      </c>
      <c r="J2635">
        <v>407168.62000000005</v>
      </c>
      <c r="K2635">
        <v>17136</v>
      </c>
      <c r="L2635">
        <f t="shared" si="247"/>
        <v>23.761007236227826</v>
      </c>
      <c r="M2635">
        <v>1428</v>
      </c>
      <c r="N2635" s="2">
        <f t="shared" si="252"/>
        <v>285.13208683473391</v>
      </c>
      <c r="O2635">
        <v>12</v>
      </c>
    </row>
    <row r="2636" spans="1:15" x14ac:dyDescent="0.25">
      <c r="A2636" t="s">
        <v>46</v>
      </c>
      <c r="B2636" t="s">
        <v>16</v>
      </c>
      <c r="C2636" t="s">
        <v>39</v>
      </c>
      <c r="D2636" t="str">
        <f t="shared" si="248"/>
        <v>FAB3_1L  D Li Deslactosada Light</v>
      </c>
      <c r="E2636">
        <v>2024</v>
      </c>
      <c r="F2636">
        <v>38</v>
      </c>
      <c r="G2636">
        <f t="shared" si="249"/>
        <v>9</v>
      </c>
      <c r="H2636" s="1">
        <f t="shared" si="250"/>
        <v>45551</v>
      </c>
      <c r="I2636" s="1">
        <f t="shared" si="251"/>
        <v>45536</v>
      </c>
      <c r="J2636">
        <v>422501.48000000004</v>
      </c>
      <c r="K2636">
        <v>17568</v>
      </c>
      <c r="L2636">
        <f t="shared" si="247"/>
        <v>24.049492258652098</v>
      </c>
      <c r="M2636">
        <v>1464</v>
      </c>
      <c r="N2636" s="2">
        <f t="shared" si="252"/>
        <v>288.59390710382519</v>
      </c>
      <c r="O2636">
        <v>12</v>
      </c>
    </row>
    <row r="2637" spans="1:15" x14ac:dyDescent="0.25">
      <c r="A2637" t="s">
        <v>46</v>
      </c>
      <c r="B2637" t="s">
        <v>16</v>
      </c>
      <c r="C2637" t="s">
        <v>39</v>
      </c>
      <c r="D2637" t="str">
        <f t="shared" si="248"/>
        <v>FAB3_1L  D Li Deslactosada Light</v>
      </c>
      <c r="E2637">
        <v>2024</v>
      </c>
      <c r="F2637">
        <v>39</v>
      </c>
      <c r="G2637">
        <f t="shared" si="249"/>
        <v>9</v>
      </c>
      <c r="H2637" s="1">
        <f t="shared" si="250"/>
        <v>45558</v>
      </c>
      <c r="I2637" s="1">
        <f t="shared" si="251"/>
        <v>45536</v>
      </c>
      <c r="J2637">
        <v>391962.64000000007</v>
      </c>
      <c r="K2637">
        <v>16392</v>
      </c>
      <c r="L2637">
        <f t="shared" si="247"/>
        <v>23.911825280624701</v>
      </c>
      <c r="M2637">
        <v>1366</v>
      </c>
      <c r="N2637" s="2">
        <f t="shared" si="252"/>
        <v>286.94190336749637</v>
      </c>
      <c r="O2637">
        <v>12</v>
      </c>
    </row>
    <row r="2638" spans="1:15" x14ac:dyDescent="0.25">
      <c r="A2638" t="s">
        <v>46</v>
      </c>
      <c r="B2638" t="s">
        <v>16</v>
      </c>
      <c r="C2638" t="s">
        <v>39</v>
      </c>
      <c r="D2638" t="str">
        <f t="shared" si="248"/>
        <v>FAB3_1L  D Li Deslactosada Light</v>
      </c>
      <c r="E2638">
        <v>2024</v>
      </c>
      <c r="F2638">
        <v>40</v>
      </c>
      <c r="G2638">
        <f t="shared" si="249"/>
        <v>10</v>
      </c>
      <c r="H2638" s="1">
        <f t="shared" si="250"/>
        <v>45565</v>
      </c>
      <c r="I2638" s="1">
        <f t="shared" si="251"/>
        <v>45566</v>
      </c>
      <c r="J2638">
        <v>473963.76000000007</v>
      </c>
      <c r="K2638">
        <v>20028</v>
      </c>
      <c r="L2638">
        <f t="shared" si="247"/>
        <v>23.665056920311567</v>
      </c>
      <c r="M2638">
        <v>1669</v>
      </c>
      <c r="N2638" s="2">
        <f t="shared" si="252"/>
        <v>283.98068304373879</v>
      </c>
      <c r="O2638">
        <v>12</v>
      </c>
    </row>
    <row r="2639" spans="1:15" x14ac:dyDescent="0.25">
      <c r="A2639" t="s">
        <v>46</v>
      </c>
      <c r="B2639" t="s">
        <v>16</v>
      </c>
      <c r="C2639" t="s">
        <v>39</v>
      </c>
      <c r="D2639" t="str">
        <f t="shared" si="248"/>
        <v>FAB3_1L  D Li Deslactosada Light</v>
      </c>
      <c r="E2639">
        <v>2024</v>
      </c>
      <c r="F2639">
        <v>41</v>
      </c>
      <c r="G2639">
        <f t="shared" si="249"/>
        <v>10</v>
      </c>
      <c r="H2639" s="1">
        <f t="shared" si="250"/>
        <v>45572</v>
      </c>
      <c r="I2639" s="1">
        <f t="shared" si="251"/>
        <v>45566</v>
      </c>
      <c r="J2639">
        <v>431227.35000000003</v>
      </c>
      <c r="K2639">
        <v>18024</v>
      </c>
      <c r="L2639">
        <f t="shared" si="247"/>
        <v>23.925174766977367</v>
      </c>
      <c r="M2639">
        <v>1502</v>
      </c>
      <c r="N2639" s="2">
        <f t="shared" si="252"/>
        <v>287.10209720372836</v>
      </c>
      <c r="O2639">
        <v>12</v>
      </c>
    </row>
    <row r="2640" spans="1:15" x14ac:dyDescent="0.25">
      <c r="A2640" t="s">
        <v>46</v>
      </c>
      <c r="B2640" t="s">
        <v>16</v>
      </c>
      <c r="C2640" t="s">
        <v>39</v>
      </c>
      <c r="D2640" t="str">
        <f t="shared" si="248"/>
        <v>FAB3_1L  D Li Deslactosada Light</v>
      </c>
      <c r="E2640">
        <v>2024</v>
      </c>
      <c r="F2640">
        <v>42</v>
      </c>
      <c r="G2640">
        <f t="shared" si="249"/>
        <v>10</v>
      </c>
      <c r="H2640" s="1">
        <f t="shared" si="250"/>
        <v>45579</v>
      </c>
      <c r="I2640" s="1">
        <f t="shared" si="251"/>
        <v>45566</v>
      </c>
      <c r="J2640">
        <v>560471.81000000052</v>
      </c>
      <c r="K2640">
        <v>24840</v>
      </c>
      <c r="L2640">
        <f t="shared" si="247"/>
        <v>22.563277375201309</v>
      </c>
      <c r="M2640">
        <v>2070</v>
      </c>
      <c r="N2640" s="2">
        <f t="shared" si="252"/>
        <v>270.75932850241571</v>
      </c>
      <c r="O2640">
        <v>12</v>
      </c>
    </row>
    <row r="2641" spans="1:15" x14ac:dyDescent="0.25">
      <c r="A2641" t="s">
        <v>46</v>
      </c>
      <c r="B2641" t="s">
        <v>16</v>
      </c>
      <c r="C2641" t="s">
        <v>39</v>
      </c>
      <c r="D2641" t="str">
        <f t="shared" si="248"/>
        <v>FAB3_1L  D Li Deslactosada Light</v>
      </c>
      <c r="E2641">
        <v>2024</v>
      </c>
      <c r="F2641">
        <v>43</v>
      </c>
      <c r="G2641">
        <f t="shared" si="249"/>
        <v>10</v>
      </c>
      <c r="H2641" s="1">
        <f t="shared" si="250"/>
        <v>45586</v>
      </c>
      <c r="I2641" s="1">
        <f t="shared" si="251"/>
        <v>45566</v>
      </c>
      <c r="J2641">
        <v>496881.70000000013</v>
      </c>
      <c r="K2641">
        <v>21972</v>
      </c>
      <c r="L2641">
        <f t="shared" si="247"/>
        <v>22.614313671946118</v>
      </c>
      <c r="M2641">
        <v>1831</v>
      </c>
      <c r="N2641" s="2">
        <f t="shared" si="252"/>
        <v>271.37176406335345</v>
      </c>
      <c r="O2641">
        <v>12</v>
      </c>
    </row>
    <row r="2642" spans="1:15" x14ac:dyDescent="0.25">
      <c r="A2642" t="s">
        <v>46</v>
      </c>
      <c r="B2642" t="s">
        <v>16</v>
      </c>
      <c r="C2642" t="s">
        <v>39</v>
      </c>
      <c r="D2642" t="str">
        <f t="shared" si="248"/>
        <v>FAB3_1L  D Li Deslactosada Light</v>
      </c>
      <c r="E2642">
        <v>2024</v>
      </c>
      <c r="F2642">
        <v>44</v>
      </c>
      <c r="G2642">
        <f t="shared" si="249"/>
        <v>10</v>
      </c>
      <c r="H2642" s="1">
        <f t="shared" si="250"/>
        <v>45593</v>
      </c>
      <c r="I2642" s="1">
        <f t="shared" si="251"/>
        <v>45566</v>
      </c>
      <c r="J2642">
        <v>334316.18</v>
      </c>
      <c r="K2642">
        <v>13704</v>
      </c>
      <c r="L2642">
        <f t="shared" si="247"/>
        <v>24.395518096906013</v>
      </c>
      <c r="M2642">
        <v>1142</v>
      </c>
      <c r="N2642" s="2">
        <f t="shared" si="252"/>
        <v>292.74621716287214</v>
      </c>
      <c r="O2642">
        <v>12</v>
      </c>
    </row>
    <row r="2643" spans="1:15" x14ac:dyDescent="0.25">
      <c r="A2643" t="s">
        <v>46</v>
      </c>
      <c r="B2643" t="s">
        <v>16</v>
      </c>
      <c r="C2643" t="s">
        <v>39</v>
      </c>
      <c r="D2643" t="str">
        <f t="shared" si="248"/>
        <v>FAB3_1L  D Li Deslactosada Light</v>
      </c>
      <c r="E2643">
        <v>2024</v>
      </c>
      <c r="F2643">
        <v>45</v>
      </c>
      <c r="G2643">
        <f t="shared" si="249"/>
        <v>11</v>
      </c>
      <c r="H2643" s="1">
        <f t="shared" si="250"/>
        <v>45600</v>
      </c>
      <c r="I2643" s="1">
        <f t="shared" si="251"/>
        <v>45597</v>
      </c>
      <c r="J2643">
        <v>369589.38999999996</v>
      </c>
      <c r="K2643">
        <v>15240</v>
      </c>
      <c r="L2643">
        <f t="shared" si="247"/>
        <v>24.251272309711283</v>
      </c>
      <c r="M2643">
        <v>1270</v>
      </c>
      <c r="N2643" s="2">
        <f t="shared" si="252"/>
        <v>291.01526771653539</v>
      </c>
      <c r="O2643">
        <v>12</v>
      </c>
    </row>
    <row r="2644" spans="1:15" x14ac:dyDescent="0.25">
      <c r="A2644" t="s">
        <v>46</v>
      </c>
      <c r="B2644" t="s">
        <v>16</v>
      </c>
      <c r="C2644" t="s">
        <v>39</v>
      </c>
      <c r="D2644" t="str">
        <f t="shared" si="248"/>
        <v>FAB3_1L  D Li Deslactosada Light</v>
      </c>
      <c r="E2644">
        <v>2024</v>
      </c>
      <c r="F2644">
        <v>46</v>
      </c>
      <c r="G2644">
        <f t="shared" si="249"/>
        <v>11</v>
      </c>
      <c r="H2644" s="1">
        <f t="shared" si="250"/>
        <v>45607</v>
      </c>
      <c r="I2644" s="1">
        <f t="shared" si="251"/>
        <v>45597</v>
      </c>
      <c r="J2644">
        <v>459998.6199999997</v>
      </c>
      <c r="K2644">
        <v>19236</v>
      </c>
      <c r="L2644">
        <f t="shared" si="247"/>
        <v>23.91342378872945</v>
      </c>
      <c r="M2644">
        <v>1603</v>
      </c>
      <c r="N2644" s="2">
        <f t="shared" si="252"/>
        <v>286.96108546475341</v>
      </c>
      <c r="O2644">
        <v>12</v>
      </c>
    </row>
    <row r="2645" spans="1:15" x14ac:dyDescent="0.25">
      <c r="A2645" t="s">
        <v>46</v>
      </c>
      <c r="B2645" t="s">
        <v>16</v>
      </c>
      <c r="C2645" t="s">
        <v>39</v>
      </c>
      <c r="D2645" t="str">
        <f t="shared" si="248"/>
        <v>FAB3_1L  D Li Deslactosada Light</v>
      </c>
      <c r="E2645">
        <v>2024</v>
      </c>
      <c r="F2645">
        <v>47</v>
      </c>
      <c r="G2645">
        <f t="shared" si="249"/>
        <v>11</v>
      </c>
      <c r="H2645" s="1">
        <f t="shared" si="250"/>
        <v>45614</v>
      </c>
      <c r="I2645" s="1">
        <f t="shared" si="251"/>
        <v>45597</v>
      </c>
      <c r="J2645">
        <v>493516.00999999995</v>
      </c>
      <c r="K2645">
        <v>20352</v>
      </c>
      <c r="L2645">
        <f t="shared" si="247"/>
        <v>24.249017786949683</v>
      </c>
      <c r="M2645">
        <v>1696</v>
      </c>
      <c r="N2645" s="2">
        <f t="shared" si="252"/>
        <v>290.98821344339621</v>
      </c>
      <c r="O2645">
        <v>12</v>
      </c>
    </row>
    <row r="2646" spans="1:15" x14ac:dyDescent="0.25">
      <c r="A2646" t="s">
        <v>46</v>
      </c>
      <c r="B2646" t="s">
        <v>16</v>
      </c>
      <c r="C2646" t="s">
        <v>39</v>
      </c>
      <c r="D2646" t="str">
        <f t="shared" si="248"/>
        <v>FAB3_1L  D Li Deslactosada Light</v>
      </c>
      <c r="E2646">
        <v>2024</v>
      </c>
      <c r="F2646">
        <v>48</v>
      </c>
      <c r="G2646">
        <f t="shared" si="249"/>
        <v>11</v>
      </c>
      <c r="H2646" s="1">
        <f t="shared" si="250"/>
        <v>45621</v>
      </c>
      <c r="I2646" s="1">
        <f t="shared" si="251"/>
        <v>45597</v>
      </c>
      <c r="J2646">
        <v>341834.63</v>
      </c>
      <c r="K2646">
        <v>14568</v>
      </c>
      <c r="L2646">
        <f t="shared" si="247"/>
        <v>23.464760433827568</v>
      </c>
      <c r="M2646">
        <v>1214</v>
      </c>
      <c r="N2646" s="2">
        <f t="shared" si="252"/>
        <v>281.57712520593083</v>
      </c>
      <c r="O2646">
        <v>12</v>
      </c>
    </row>
    <row r="2647" spans="1:15" x14ac:dyDescent="0.25">
      <c r="A2647" t="s">
        <v>46</v>
      </c>
      <c r="B2647" t="s">
        <v>16</v>
      </c>
      <c r="C2647" t="s">
        <v>39</v>
      </c>
      <c r="D2647" t="str">
        <f t="shared" si="248"/>
        <v>FAB3_1L  D Li Deslactosada Light</v>
      </c>
      <c r="E2647">
        <v>2024</v>
      </c>
      <c r="F2647">
        <v>49</v>
      </c>
      <c r="G2647">
        <f t="shared" si="249"/>
        <v>12</v>
      </c>
      <c r="H2647" s="1">
        <f t="shared" si="250"/>
        <v>45628</v>
      </c>
      <c r="I2647" s="1">
        <f t="shared" si="251"/>
        <v>45627</v>
      </c>
      <c r="J2647">
        <v>458676.72000000009</v>
      </c>
      <c r="K2647">
        <v>19716</v>
      </c>
      <c r="L2647">
        <f t="shared" si="247"/>
        <v>23.264187461959835</v>
      </c>
      <c r="M2647">
        <v>1643</v>
      </c>
      <c r="N2647" s="2">
        <f t="shared" si="252"/>
        <v>279.17024954351803</v>
      </c>
      <c r="O2647">
        <v>12</v>
      </c>
    </row>
    <row r="2648" spans="1:15" x14ac:dyDescent="0.25">
      <c r="A2648" t="s">
        <v>46</v>
      </c>
      <c r="B2648" t="s">
        <v>16</v>
      </c>
      <c r="C2648" t="s">
        <v>39</v>
      </c>
      <c r="D2648" t="str">
        <f t="shared" si="248"/>
        <v>FAB3_1L  D Li Deslactosada Light</v>
      </c>
      <c r="E2648">
        <v>2024</v>
      </c>
      <c r="F2648">
        <v>50</v>
      </c>
      <c r="G2648">
        <f t="shared" si="249"/>
        <v>12</v>
      </c>
      <c r="H2648" s="1">
        <f t="shared" si="250"/>
        <v>45635</v>
      </c>
      <c r="I2648" s="1">
        <f t="shared" si="251"/>
        <v>45627</v>
      </c>
      <c r="J2648">
        <v>478949.16000000003</v>
      </c>
      <c r="K2648">
        <v>20280</v>
      </c>
      <c r="L2648">
        <f t="shared" si="247"/>
        <v>23.616822485207102</v>
      </c>
      <c r="M2648">
        <v>1690</v>
      </c>
      <c r="N2648" s="2">
        <f t="shared" si="252"/>
        <v>283.40186982248525</v>
      </c>
      <c r="O2648">
        <v>12</v>
      </c>
    </row>
    <row r="2649" spans="1:15" x14ac:dyDescent="0.25">
      <c r="A2649" t="s">
        <v>46</v>
      </c>
      <c r="B2649" t="s">
        <v>16</v>
      </c>
      <c r="C2649" t="s">
        <v>39</v>
      </c>
      <c r="D2649" t="str">
        <f t="shared" si="248"/>
        <v>FAB3_1L  D Li Deslactosada Light</v>
      </c>
      <c r="E2649">
        <v>2024</v>
      </c>
      <c r="F2649">
        <v>51</v>
      </c>
      <c r="G2649">
        <f t="shared" si="249"/>
        <v>12</v>
      </c>
      <c r="H2649" s="1">
        <f t="shared" si="250"/>
        <v>45642</v>
      </c>
      <c r="I2649" s="1">
        <f t="shared" si="251"/>
        <v>45627</v>
      </c>
      <c r="J2649">
        <v>442353.12000000011</v>
      </c>
      <c r="K2649">
        <v>18132</v>
      </c>
      <c r="L2649">
        <f t="shared" si="247"/>
        <v>24.396267372600931</v>
      </c>
      <c r="M2649">
        <v>1511</v>
      </c>
      <c r="N2649" s="2">
        <f t="shared" si="252"/>
        <v>292.75520847121118</v>
      </c>
      <c r="O2649">
        <v>12</v>
      </c>
    </row>
    <row r="2650" spans="1:15" x14ac:dyDescent="0.25">
      <c r="A2650" t="s">
        <v>46</v>
      </c>
      <c r="B2650" t="s">
        <v>16</v>
      </c>
      <c r="C2650" t="s">
        <v>39</v>
      </c>
      <c r="D2650" t="str">
        <f t="shared" si="248"/>
        <v>FAB3_1L  D Li Deslactosada Light</v>
      </c>
      <c r="E2650">
        <v>2024</v>
      </c>
      <c r="F2650">
        <v>52</v>
      </c>
      <c r="G2650">
        <f t="shared" si="249"/>
        <v>12</v>
      </c>
      <c r="H2650" s="1">
        <f t="shared" si="250"/>
        <v>45649</v>
      </c>
      <c r="I2650" s="1">
        <f t="shared" si="251"/>
        <v>45627</v>
      </c>
      <c r="J2650">
        <v>412868.10000000021</v>
      </c>
      <c r="K2650">
        <v>16992</v>
      </c>
      <c r="L2650">
        <f t="shared" si="247"/>
        <v>24.297793079096056</v>
      </c>
      <c r="M2650">
        <v>1416</v>
      </c>
      <c r="N2650" s="2">
        <f t="shared" si="252"/>
        <v>291.57351694915269</v>
      </c>
      <c r="O2650">
        <v>12</v>
      </c>
    </row>
    <row r="2651" spans="1:15" x14ac:dyDescent="0.25">
      <c r="A2651" t="s">
        <v>46</v>
      </c>
      <c r="B2651" t="s">
        <v>16</v>
      </c>
      <c r="C2651" t="s">
        <v>39</v>
      </c>
      <c r="D2651" t="str">
        <f t="shared" si="248"/>
        <v>FAB3_1L  D Li Deslactosada Light</v>
      </c>
      <c r="E2651">
        <v>2025</v>
      </c>
      <c r="F2651">
        <v>1</v>
      </c>
      <c r="G2651">
        <f t="shared" si="249"/>
        <v>1</v>
      </c>
      <c r="H2651" s="1">
        <f t="shared" si="250"/>
        <v>45656</v>
      </c>
      <c r="I2651" s="1">
        <f t="shared" si="251"/>
        <v>45658</v>
      </c>
      <c r="J2651">
        <v>515140.94000000006</v>
      </c>
      <c r="K2651">
        <v>22056</v>
      </c>
      <c r="L2651">
        <f t="shared" si="247"/>
        <v>23.356045520493293</v>
      </c>
      <c r="M2651">
        <v>1838</v>
      </c>
      <c r="N2651" s="2">
        <f t="shared" si="252"/>
        <v>280.2725462459195</v>
      </c>
      <c r="O2651">
        <v>12</v>
      </c>
    </row>
    <row r="2652" spans="1:15" x14ac:dyDescent="0.25">
      <c r="A2652" t="s">
        <v>46</v>
      </c>
      <c r="B2652" t="s">
        <v>16</v>
      </c>
      <c r="C2652" t="s">
        <v>39</v>
      </c>
      <c r="D2652" t="str">
        <f t="shared" si="248"/>
        <v>FAB3_1L  D Li Deslactosada Light</v>
      </c>
      <c r="E2652">
        <v>2025</v>
      </c>
      <c r="F2652">
        <v>2</v>
      </c>
      <c r="G2652">
        <f t="shared" si="249"/>
        <v>1</v>
      </c>
      <c r="H2652" s="1">
        <f t="shared" si="250"/>
        <v>45663</v>
      </c>
      <c r="I2652" s="1">
        <f t="shared" si="251"/>
        <v>45658</v>
      </c>
      <c r="J2652">
        <v>522905.89000000036</v>
      </c>
      <c r="K2652">
        <v>22512</v>
      </c>
      <c r="L2652">
        <f t="shared" si="247"/>
        <v>23.22787357853591</v>
      </c>
      <c r="M2652">
        <v>1876</v>
      </c>
      <c r="N2652" s="2">
        <f t="shared" si="252"/>
        <v>278.73448294243087</v>
      </c>
      <c r="O2652">
        <v>12</v>
      </c>
    </row>
    <row r="2653" spans="1:15" x14ac:dyDescent="0.25">
      <c r="A2653" t="s">
        <v>46</v>
      </c>
      <c r="B2653" t="s">
        <v>16</v>
      </c>
      <c r="C2653" t="s">
        <v>39</v>
      </c>
      <c r="D2653" t="str">
        <f t="shared" si="248"/>
        <v>FAB3_1L  D Li Deslactosada Light</v>
      </c>
      <c r="E2653">
        <v>2025</v>
      </c>
      <c r="F2653">
        <v>3</v>
      </c>
      <c r="G2653">
        <f t="shared" si="249"/>
        <v>1</v>
      </c>
      <c r="H2653" s="1">
        <f t="shared" si="250"/>
        <v>45670</v>
      </c>
      <c r="I2653" s="1">
        <f t="shared" si="251"/>
        <v>45658</v>
      </c>
      <c r="J2653">
        <v>482369.86000000022</v>
      </c>
      <c r="K2653">
        <v>20760</v>
      </c>
      <c r="L2653">
        <f t="shared" si="247"/>
        <v>23.235542389210028</v>
      </c>
      <c r="M2653">
        <v>1730</v>
      </c>
      <c r="N2653" s="2">
        <f t="shared" si="252"/>
        <v>278.82650867052035</v>
      </c>
      <c r="O2653">
        <v>12</v>
      </c>
    </row>
    <row r="2654" spans="1:15" x14ac:dyDescent="0.25">
      <c r="A2654" t="s">
        <v>46</v>
      </c>
      <c r="B2654" t="s">
        <v>16</v>
      </c>
      <c r="C2654" t="s">
        <v>39</v>
      </c>
      <c r="D2654" t="str">
        <f t="shared" si="248"/>
        <v>FAB3_1L  D Li Deslactosada Light</v>
      </c>
      <c r="E2654">
        <v>2025</v>
      </c>
      <c r="F2654">
        <v>4</v>
      </c>
      <c r="G2654">
        <f t="shared" si="249"/>
        <v>1</v>
      </c>
      <c r="H2654" s="1">
        <f t="shared" si="250"/>
        <v>45677</v>
      </c>
      <c r="I2654" s="1">
        <f t="shared" si="251"/>
        <v>45658</v>
      </c>
      <c r="J2654">
        <v>413454.52</v>
      </c>
      <c r="K2654">
        <v>17256</v>
      </c>
      <c r="L2654">
        <f t="shared" si="247"/>
        <v>23.960044042651834</v>
      </c>
      <c r="M2654">
        <v>1438</v>
      </c>
      <c r="N2654" s="2">
        <f t="shared" si="252"/>
        <v>287.52052851182196</v>
      </c>
      <c r="O2654">
        <v>12</v>
      </c>
    </row>
    <row r="2655" spans="1:15" x14ac:dyDescent="0.25">
      <c r="A2655" t="s">
        <v>46</v>
      </c>
      <c r="B2655" t="s">
        <v>16</v>
      </c>
      <c r="C2655" t="s">
        <v>39</v>
      </c>
      <c r="D2655" t="str">
        <f t="shared" si="248"/>
        <v>FAB3_1L  D Li Deslactosada Light</v>
      </c>
      <c r="E2655">
        <v>2025</v>
      </c>
      <c r="F2655">
        <v>5</v>
      </c>
      <c r="G2655">
        <f t="shared" si="249"/>
        <v>1</v>
      </c>
      <c r="H2655" s="1">
        <f t="shared" si="250"/>
        <v>45684</v>
      </c>
      <c r="I2655" s="1">
        <f t="shared" si="251"/>
        <v>45658</v>
      </c>
      <c r="J2655">
        <v>468481.02000000014</v>
      </c>
      <c r="K2655">
        <v>19200</v>
      </c>
      <c r="L2655">
        <f t="shared" si="247"/>
        <v>24.400053125000007</v>
      </c>
      <c r="M2655">
        <v>1600</v>
      </c>
      <c r="N2655" s="2">
        <f t="shared" si="252"/>
        <v>292.80063750000011</v>
      </c>
      <c r="O2655">
        <v>12</v>
      </c>
    </row>
    <row r="2656" spans="1:15" x14ac:dyDescent="0.25">
      <c r="A2656" t="s">
        <v>46</v>
      </c>
      <c r="B2656" t="s">
        <v>16</v>
      </c>
      <c r="C2656" t="s">
        <v>39</v>
      </c>
      <c r="D2656" t="str">
        <f t="shared" si="248"/>
        <v>FAB3_1L  D Li Deslactosada Light</v>
      </c>
      <c r="E2656">
        <v>2025</v>
      </c>
      <c r="F2656">
        <v>6</v>
      </c>
      <c r="G2656">
        <f t="shared" si="249"/>
        <v>2</v>
      </c>
      <c r="H2656" s="1">
        <f t="shared" si="250"/>
        <v>45691</v>
      </c>
      <c r="I2656" s="1">
        <f t="shared" si="251"/>
        <v>45689</v>
      </c>
      <c r="J2656">
        <v>483561.32000000036</v>
      </c>
      <c r="K2656">
        <v>19836</v>
      </c>
      <c r="L2656">
        <f t="shared" si="247"/>
        <v>24.377965315587836</v>
      </c>
      <c r="M2656">
        <v>1653</v>
      </c>
      <c r="N2656" s="2">
        <f t="shared" si="252"/>
        <v>292.53558378705407</v>
      </c>
      <c r="O2656">
        <v>12</v>
      </c>
    </row>
    <row r="2657" spans="1:15" x14ac:dyDescent="0.25">
      <c r="A2657" t="s">
        <v>46</v>
      </c>
      <c r="B2657" t="s">
        <v>16</v>
      </c>
      <c r="C2657" t="s">
        <v>39</v>
      </c>
      <c r="D2657" t="str">
        <f t="shared" si="248"/>
        <v>FAB3_1L  D Li Deslactosada Light</v>
      </c>
      <c r="E2657">
        <v>2025</v>
      </c>
      <c r="F2657">
        <v>7</v>
      </c>
      <c r="G2657">
        <f t="shared" si="249"/>
        <v>2</v>
      </c>
      <c r="H2657" s="1">
        <f t="shared" si="250"/>
        <v>45698</v>
      </c>
      <c r="I2657" s="1">
        <f t="shared" si="251"/>
        <v>45689</v>
      </c>
      <c r="J2657">
        <v>483469.46000000008</v>
      </c>
      <c r="K2657">
        <v>20352</v>
      </c>
      <c r="L2657">
        <f t="shared" si="247"/>
        <v>23.755378341194973</v>
      </c>
      <c r="M2657">
        <v>1696</v>
      </c>
      <c r="N2657" s="2">
        <f t="shared" si="252"/>
        <v>285.06454009433969</v>
      </c>
      <c r="O2657">
        <v>12</v>
      </c>
    </row>
    <row r="2658" spans="1:15" x14ac:dyDescent="0.25">
      <c r="A2658" t="s">
        <v>46</v>
      </c>
      <c r="B2658" t="s">
        <v>16</v>
      </c>
      <c r="C2658" t="s">
        <v>39</v>
      </c>
      <c r="D2658" t="str">
        <f t="shared" si="248"/>
        <v>FAB3_1L  D Li Deslactosada Light</v>
      </c>
      <c r="E2658">
        <v>2025</v>
      </c>
      <c r="F2658">
        <v>8</v>
      </c>
      <c r="G2658">
        <f t="shared" si="249"/>
        <v>2</v>
      </c>
      <c r="H2658" s="1">
        <f t="shared" si="250"/>
        <v>45705</v>
      </c>
      <c r="I2658" s="1">
        <f t="shared" si="251"/>
        <v>45689</v>
      </c>
      <c r="J2658">
        <v>524139.3400000002</v>
      </c>
      <c r="K2658">
        <v>22320</v>
      </c>
      <c r="L2658">
        <f t="shared" si="247"/>
        <v>23.4829453405018</v>
      </c>
      <c r="M2658">
        <v>1860</v>
      </c>
      <c r="N2658" s="2">
        <f t="shared" si="252"/>
        <v>281.7953440860216</v>
      </c>
      <c r="O2658">
        <v>12</v>
      </c>
    </row>
    <row r="2659" spans="1:15" x14ac:dyDescent="0.25">
      <c r="A2659" t="s">
        <v>46</v>
      </c>
      <c r="B2659" t="s">
        <v>16</v>
      </c>
      <c r="C2659" t="s">
        <v>39</v>
      </c>
      <c r="D2659" t="str">
        <f t="shared" si="248"/>
        <v>FAB3_1L  D Li Deslactosada Light</v>
      </c>
      <c r="E2659">
        <v>2025</v>
      </c>
      <c r="F2659">
        <v>9</v>
      </c>
      <c r="G2659">
        <f t="shared" si="249"/>
        <v>2</v>
      </c>
      <c r="H2659" s="1">
        <f t="shared" si="250"/>
        <v>45712</v>
      </c>
      <c r="I2659" s="1">
        <f t="shared" si="251"/>
        <v>45689</v>
      </c>
      <c r="J2659">
        <v>411914.64000000013</v>
      </c>
      <c r="K2659">
        <v>16800</v>
      </c>
      <c r="L2659">
        <f t="shared" si="247"/>
        <v>24.518728571428579</v>
      </c>
      <c r="M2659">
        <v>1400</v>
      </c>
      <c r="N2659" s="2">
        <f t="shared" si="252"/>
        <v>294.22474285714293</v>
      </c>
      <c r="O2659">
        <v>12</v>
      </c>
    </row>
    <row r="2660" spans="1:15" x14ac:dyDescent="0.25">
      <c r="A2660" t="s">
        <v>46</v>
      </c>
      <c r="B2660" t="s">
        <v>16</v>
      </c>
      <c r="C2660" t="s">
        <v>39</v>
      </c>
      <c r="D2660" t="str">
        <f t="shared" si="248"/>
        <v>FAB3_1L  D Li Deslactosada Light</v>
      </c>
      <c r="E2660">
        <v>2025</v>
      </c>
      <c r="F2660">
        <v>10</v>
      </c>
      <c r="G2660">
        <f t="shared" si="249"/>
        <v>3</v>
      </c>
      <c r="H2660" s="1">
        <f t="shared" si="250"/>
        <v>45719</v>
      </c>
      <c r="I2660" s="1">
        <f t="shared" si="251"/>
        <v>45717</v>
      </c>
      <c r="J2660">
        <v>495254.77000000037</v>
      </c>
      <c r="K2660">
        <v>20688</v>
      </c>
      <c r="L2660">
        <f t="shared" si="247"/>
        <v>23.939229021655084</v>
      </c>
      <c r="M2660">
        <v>1724</v>
      </c>
      <c r="N2660" s="2">
        <f t="shared" si="252"/>
        <v>287.27074825986102</v>
      </c>
      <c r="O2660">
        <v>12</v>
      </c>
    </row>
    <row r="2661" spans="1:15" x14ac:dyDescent="0.25">
      <c r="A2661" t="s">
        <v>46</v>
      </c>
      <c r="B2661" t="s">
        <v>16</v>
      </c>
      <c r="C2661" t="s">
        <v>39</v>
      </c>
      <c r="D2661" t="str">
        <f t="shared" si="248"/>
        <v>FAB3_1L  D Li Deslactosada Light</v>
      </c>
      <c r="E2661">
        <v>2025</v>
      </c>
      <c r="F2661">
        <v>11</v>
      </c>
      <c r="G2661">
        <f t="shared" si="249"/>
        <v>3</v>
      </c>
      <c r="H2661" s="1">
        <f t="shared" si="250"/>
        <v>45726</v>
      </c>
      <c r="I2661" s="1">
        <f t="shared" si="251"/>
        <v>45717</v>
      </c>
      <c r="J2661">
        <v>461416.17</v>
      </c>
      <c r="K2661">
        <v>19884</v>
      </c>
      <c r="L2661">
        <f t="shared" si="247"/>
        <v>23.205399818949907</v>
      </c>
      <c r="M2661">
        <v>1657</v>
      </c>
      <c r="N2661" s="2">
        <f t="shared" si="252"/>
        <v>278.46479782739891</v>
      </c>
      <c r="O2661">
        <v>12</v>
      </c>
    </row>
    <row r="2662" spans="1:15" x14ac:dyDescent="0.25">
      <c r="A2662" t="s">
        <v>46</v>
      </c>
      <c r="B2662" t="s">
        <v>16</v>
      </c>
      <c r="C2662" t="s">
        <v>39</v>
      </c>
      <c r="D2662" t="str">
        <f t="shared" si="248"/>
        <v>FAB3_1L  D Li Deslactosada Light</v>
      </c>
      <c r="E2662">
        <v>2025</v>
      </c>
      <c r="F2662">
        <v>12</v>
      </c>
      <c r="G2662">
        <f t="shared" si="249"/>
        <v>3</v>
      </c>
      <c r="H2662" s="1">
        <f t="shared" si="250"/>
        <v>45733</v>
      </c>
      <c r="I2662" s="1">
        <f t="shared" si="251"/>
        <v>45717</v>
      </c>
      <c r="J2662">
        <v>518881.64000000013</v>
      </c>
      <c r="K2662">
        <v>22272</v>
      </c>
      <c r="L2662">
        <f t="shared" si="247"/>
        <v>23.297487428160924</v>
      </c>
      <c r="M2662">
        <v>1856</v>
      </c>
      <c r="N2662" s="2">
        <f t="shared" si="252"/>
        <v>279.5698491379311</v>
      </c>
      <c r="O2662">
        <v>12</v>
      </c>
    </row>
    <row r="2663" spans="1:15" x14ac:dyDescent="0.25">
      <c r="A2663" t="s">
        <v>46</v>
      </c>
      <c r="B2663" t="s">
        <v>16</v>
      </c>
      <c r="C2663" t="s">
        <v>39</v>
      </c>
      <c r="D2663" t="str">
        <f t="shared" si="248"/>
        <v>FAB3_1L  D Li Deslactosada Light</v>
      </c>
      <c r="E2663">
        <v>2025</v>
      </c>
      <c r="F2663">
        <v>13</v>
      </c>
      <c r="G2663">
        <f t="shared" si="249"/>
        <v>3</v>
      </c>
      <c r="H2663" s="1">
        <f t="shared" si="250"/>
        <v>45740</v>
      </c>
      <c r="I2663" s="1">
        <f t="shared" si="251"/>
        <v>45717</v>
      </c>
      <c r="J2663">
        <v>455378.59000000008</v>
      </c>
      <c r="K2663">
        <v>19536</v>
      </c>
      <c r="L2663">
        <f t="shared" si="247"/>
        <v>23.30971488533989</v>
      </c>
      <c r="M2663">
        <v>1628</v>
      </c>
      <c r="N2663" s="2">
        <f t="shared" si="252"/>
        <v>279.71657862407869</v>
      </c>
      <c r="O2663">
        <v>12</v>
      </c>
    </row>
    <row r="2664" spans="1:15" x14ac:dyDescent="0.25">
      <c r="A2664" t="s">
        <v>46</v>
      </c>
      <c r="B2664" t="s">
        <v>16</v>
      </c>
      <c r="C2664" t="s">
        <v>39</v>
      </c>
      <c r="D2664" t="str">
        <f t="shared" si="248"/>
        <v>FAB3_1L  D Li Deslactosada Light</v>
      </c>
      <c r="E2664">
        <v>2025</v>
      </c>
      <c r="F2664">
        <v>14</v>
      </c>
      <c r="G2664">
        <f t="shared" si="249"/>
        <v>4</v>
      </c>
      <c r="H2664" s="1">
        <f t="shared" si="250"/>
        <v>45747</v>
      </c>
      <c r="I2664" s="1">
        <f t="shared" si="251"/>
        <v>45748</v>
      </c>
      <c r="J2664">
        <v>561744.29000000015</v>
      </c>
      <c r="K2664">
        <v>23568</v>
      </c>
      <c r="L2664">
        <f t="shared" si="247"/>
        <v>23.835042854718267</v>
      </c>
      <c r="M2664">
        <v>1964</v>
      </c>
      <c r="N2664" s="2">
        <f t="shared" si="252"/>
        <v>286.02051425661921</v>
      </c>
      <c r="O2664">
        <v>12</v>
      </c>
    </row>
    <row r="2665" spans="1:15" x14ac:dyDescent="0.25">
      <c r="A2665" t="s">
        <v>46</v>
      </c>
      <c r="B2665" t="s">
        <v>16</v>
      </c>
      <c r="C2665" t="s">
        <v>39</v>
      </c>
      <c r="D2665" t="str">
        <f t="shared" si="248"/>
        <v>FAB3_1L  D Li Deslactosada Light</v>
      </c>
      <c r="E2665">
        <v>2025</v>
      </c>
      <c r="F2665">
        <v>15</v>
      </c>
      <c r="G2665">
        <f t="shared" si="249"/>
        <v>4</v>
      </c>
      <c r="H2665" s="1">
        <f t="shared" si="250"/>
        <v>45754</v>
      </c>
      <c r="I2665" s="1">
        <f t="shared" si="251"/>
        <v>45748</v>
      </c>
      <c r="J2665">
        <v>430022.15000000014</v>
      </c>
      <c r="K2665">
        <v>17532</v>
      </c>
      <c r="L2665">
        <f t="shared" si="247"/>
        <v>24.527843372119563</v>
      </c>
      <c r="M2665">
        <v>1461</v>
      </c>
      <c r="N2665" s="2">
        <f t="shared" si="252"/>
        <v>294.33412046543475</v>
      </c>
      <c r="O2665">
        <v>12</v>
      </c>
    </row>
    <row r="2666" spans="1:15" x14ac:dyDescent="0.25">
      <c r="A2666" t="s">
        <v>46</v>
      </c>
      <c r="B2666" t="s">
        <v>16</v>
      </c>
      <c r="C2666" t="s">
        <v>39</v>
      </c>
      <c r="D2666" t="str">
        <f t="shared" si="248"/>
        <v>FAB3_1L  D Li Deslactosada Light</v>
      </c>
      <c r="E2666">
        <v>2025</v>
      </c>
      <c r="F2666">
        <v>16</v>
      </c>
      <c r="G2666">
        <f t="shared" si="249"/>
        <v>4</v>
      </c>
      <c r="H2666" s="1">
        <f t="shared" si="250"/>
        <v>45761</v>
      </c>
      <c r="I2666" s="1">
        <f t="shared" si="251"/>
        <v>45748</v>
      </c>
      <c r="J2666">
        <v>477007.78000000009</v>
      </c>
      <c r="K2666">
        <v>19632</v>
      </c>
      <c r="L2666">
        <f t="shared" si="247"/>
        <v>24.297462306438472</v>
      </c>
      <c r="M2666">
        <v>1636</v>
      </c>
      <c r="N2666" s="2">
        <f t="shared" si="252"/>
        <v>291.56954767726165</v>
      </c>
      <c r="O2666">
        <v>12</v>
      </c>
    </row>
    <row r="2667" spans="1:15" x14ac:dyDescent="0.25">
      <c r="A2667" t="s">
        <v>46</v>
      </c>
      <c r="B2667" t="s">
        <v>16</v>
      </c>
      <c r="C2667" t="s">
        <v>39</v>
      </c>
      <c r="D2667" t="str">
        <f t="shared" si="248"/>
        <v>FAB3_1L  D Li Deslactosada Light</v>
      </c>
      <c r="E2667">
        <v>2025</v>
      </c>
      <c r="F2667">
        <v>17</v>
      </c>
      <c r="G2667">
        <f t="shared" si="249"/>
        <v>4</v>
      </c>
      <c r="H2667" s="1">
        <f t="shared" si="250"/>
        <v>45768</v>
      </c>
      <c r="I2667" s="1">
        <f t="shared" si="251"/>
        <v>45748</v>
      </c>
      <c r="J2667">
        <v>451134.59000000014</v>
      </c>
      <c r="K2667">
        <v>18576</v>
      </c>
      <c r="L2667">
        <f t="shared" si="247"/>
        <v>24.285884474590876</v>
      </c>
      <c r="M2667">
        <v>1548</v>
      </c>
      <c r="N2667" s="2">
        <f t="shared" si="252"/>
        <v>291.43061369509053</v>
      </c>
      <c r="O2667">
        <v>12</v>
      </c>
    </row>
    <row r="2668" spans="1:15" x14ac:dyDescent="0.25">
      <c r="A2668" t="s">
        <v>46</v>
      </c>
      <c r="B2668" t="s">
        <v>16</v>
      </c>
      <c r="C2668" t="s">
        <v>39</v>
      </c>
      <c r="D2668" t="str">
        <f t="shared" si="248"/>
        <v>FAB3_1L  D Li Deslactosada Light</v>
      </c>
      <c r="E2668">
        <v>2025</v>
      </c>
      <c r="F2668">
        <v>18</v>
      </c>
      <c r="G2668">
        <f t="shared" si="249"/>
        <v>5</v>
      </c>
      <c r="H2668" s="1">
        <f t="shared" si="250"/>
        <v>45775</v>
      </c>
      <c r="I2668" s="1">
        <f t="shared" si="251"/>
        <v>45778</v>
      </c>
      <c r="J2668">
        <v>518155.75000000017</v>
      </c>
      <c r="K2668">
        <v>21744</v>
      </c>
      <c r="L2668">
        <f t="shared" si="247"/>
        <v>23.829826618837387</v>
      </c>
      <c r="M2668">
        <v>1812</v>
      </c>
      <c r="N2668" s="2">
        <f t="shared" si="252"/>
        <v>285.95791942604865</v>
      </c>
      <c r="O2668">
        <v>12</v>
      </c>
    </row>
    <row r="2669" spans="1:15" x14ac:dyDescent="0.25">
      <c r="A2669" t="s">
        <v>46</v>
      </c>
      <c r="B2669" t="s">
        <v>16</v>
      </c>
      <c r="C2669" t="s">
        <v>39</v>
      </c>
      <c r="D2669" t="str">
        <f t="shared" si="248"/>
        <v>FAB3_1L  D Li Deslactosada Light</v>
      </c>
      <c r="E2669">
        <v>2025</v>
      </c>
      <c r="F2669">
        <v>19</v>
      </c>
      <c r="G2669">
        <f t="shared" si="249"/>
        <v>5</v>
      </c>
      <c r="H2669" s="1">
        <f t="shared" si="250"/>
        <v>45782</v>
      </c>
      <c r="I2669" s="1">
        <f t="shared" si="251"/>
        <v>45778</v>
      </c>
      <c r="J2669">
        <v>455629.19000000012</v>
      </c>
      <c r="K2669">
        <v>18624</v>
      </c>
      <c r="L2669">
        <f t="shared" si="247"/>
        <v>24.46462575171822</v>
      </c>
      <c r="M2669">
        <v>1552</v>
      </c>
      <c r="N2669" s="2">
        <f t="shared" si="252"/>
        <v>293.57550902061865</v>
      </c>
      <c r="O2669">
        <v>12</v>
      </c>
    </row>
    <row r="2670" spans="1:15" x14ac:dyDescent="0.25">
      <c r="A2670" t="s">
        <v>46</v>
      </c>
      <c r="B2670" t="s">
        <v>16</v>
      </c>
      <c r="C2670" t="s">
        <v>39</v>
      </c>
      <c r="D2670" t="str">
        <f t="shared" si="248"/>
        <v>FAB3_1L  D Li Deslactosada Light</v>
      </c>
      <c r="E2670">
        <v>2025</v>
      </c>
      <c r="F2670">
        <v>20</v>
      </c>
      <c r="G2670">
        <f t="shared" si="249"/>
        <v>5</v>
      </c>
      <c r="H2670" s="1">
        <f t="shared" si="250"/>
        <v>45789</v>
      </c>
      <c r="I2670" s="1">
        <f t="shared" si="251"/>
        <v>45778</v>
      </c>
      <c r="J2670">
        <v>471090.72999999981</v>
      </c>
      <c r="K2670">
        <v>19440</v>
      </c>
      <c r="L2670">
        <f t="shared" si="247"/>
        <v>24.233062242798344</v>
      </c>
      <c r="M2670">
        <v>1620</v>
      </c>
      <c r="N2670" s="2">
        <f t="shared" si="252"/>
        <v>290.79674691358014</v>
      </c>
      <c r="O2670">
        <v>12</v>
      </c>
    </row>
    <row r="2671" spans="1:15" x14ac:dyDescent="0.25">
      <c r="A2671" t="s">
        <v>46</v>
      </c>
      <c r="B2671" t="s">
        <v>16</v>
      </c>
      <c r="C2671" t="s">
        <v>39</v>
      </c>
      <c r="D2671" t="str">
        <f t="shared" si="248"/>
        <v>FAB3_1L  D Li Deslactosada Light</v>
      </c>
      <c r="E2671">
        <v>2025</v>
      </c>
      <c r="F2671">
        <v>21</v>
      </c>
      <c r="G2671">
        <f t="shared" si="249"/>
        <v>5</v>
      </c>
      <c r="H2671" s="1">
        <f t="shared" si="250"/>
        <v>45796</v>
      </c>
      <c r="I2671" s="1">
        <f t="shared" si="251"/>
        <v>45778</v>
      </c>
      <c r="J2671">
        <v>408011.33999999997</v>
      </c>
      <c r="K2671">
        <v>16860</v>
      </c>
      <c r="L2671">
        <f t="shared" si="247"/>
        <v>24.199960854092524</v>
      </c>
      <c r="M2671">
        <v>1405</v>
      </c>
      <c r="N2671" s="2">
        <f t="shared" si="252"/>
        <v>290.39953024911028</v>
      </c>
      <c r="O2671">
        <v>12</v>
      </c>
    </row>
    <row r="2672" spans="1:15" x14ac:dyDescent="0.25">
      <c r="A2672" t="s">
        <v>46</v>
      </c>
      <c r="B2672" t="s">
        <v>16</v>
      </c>
      <c r="C2672" t="s">
        <v>39</v>
      </c>
      <c r="D2672" t="str">
        <f t="shared" si="248"/>
        <v>FAB3_1L  D Li Deslactosada Light</v>
      </c>
      <c r="E2672">
        <v>2025</v>
      </c>
      <c r="F2672">
        <v>22</v>
      </c>
      <c r="G2672">
        <f t="shared" si="249"/>
        <v>5</v>
      </c>
      <c r="H2672" s="1">
        <f t="shared" si="250"/>
        <v>45803</v>
      </c>
      <c r="I2672" s="1">
        <f t="shared" si="251"/>
        <v>45778</v>
      </c>
      <c r="J2672">
        <v>387015.81999999995</v>
      </c>
      <c r="K2672">
        <v>15372</v>
      </c>
      <c r="L2672">
        <f t="shared" si="247"/>
        <v>25.176673172001038</v>
      </c>
      <c r="M2672">
        <v>1281</v>
      </c>
      <c r="N2672" s="2">
        <f t="shared" si="252"/>
        <v>302.12007806401243</v>
      </c>
      <c r="O2672">
        <v>12</v>
      </c>
    </row>
    <row r="2673" spans="1:15" x14ac:dyDescent="0.25">
      <c r="A2673" t="s">
        <v>46</v>
      </c>
      <c r="B2673" t="s">
        <v>16</v>
      </c>
      <c r="C2673" t="s">
        <v>39</v>
      </c>
      <c r="D2673" t="str">
        <f t="shared" si="248"/>
        <v>FAB3_1L  D Li Deslactosada Light</v>
      </c>
      <c r="E2673">
        <v>2025</v>
      </c>
      <c r="F2673">
        <v>23</v>
      </c>
      <c r="G2673">
        <f t="shared" si="249"/>
        <v>6</v>
      </c>
      <c r="H2673" s="1">
        <f t="shared" si="250"/>
        <v>45810</v>
      </c>
      <c r="I2673" s="1">
        <f t="shared" si="251"/>
        <v>45809</v>
      </c>
      <c r="J2673">
        <v>440766.26999999996</v>
      </c>
      <c r="K2673">
        <v>16908</v>
      </c>
      <c r="L2673">
        <f t="shared" si="247"/>
        <v>26.068504258339246</v>
      </c>
      <c r="M2673">
        <v>1409</v>
      </c>
      <c r="N2673" s="2">
        <f t="shared" si="252"/>
        <v>312.82205110007095</v>
      </c>
      <c r="O2673">
        <v>12</v>
      </c>
    </row>
    <row r="2674" spans="1:15" x14ac:dyDescent="0.25">
      <c r="A2674" t="s">
        <v>46</v>
      </c>
      <c r="B2674" t="s">
        <v>16</v>
      </c>
      <c r="C2674" t="s">
        <v>39</v>
      </c>
      <c r="D2674" t="str">
        <f t="shared" si="248"/>
        <v>FAB3_1L  D Li Deslactosada Light</v>
      </c>
      <c r="E2674">
        <v>2025</v>
      </c>
      <c r="F2674">
        <v>24</v>
      </c>
      <c r="G2674">
        <f t="shared" si="249"/>
        <v>6</v>
      </c>
      <c r="H2674" s="1">
        <f t="shared" si="250"/>
        <v>45817</v>
      </c>
      <c r="I2674" s="1">
        <f t="shared" si="251"/>
        <v>45809</v>
      </c>
      <c r="J2674">
        <v>395847.16000000003</v>
      </c>
      <c r="K2674">
        <v>15804</v>
      </c>
      <c r="L2674">
        <f t="shared" si="247"/>
        <v>25.047276638825615</v>
      </c>
      <c r="M2674">
        <v>1317</v>
      </c>
      <c r="N2674" s="2">
        <f t="shared" si="252"/>
        <v>300.56731966590741</v>
      </c>
      <c r="O2674">
        <v>12</v>
      </c>
    </row>
    <row r="2675" spans="1:15" x14ac:dyDescent="0.25">
      <c r="A2675" t="s">
        <v>46</v>
      </c>
      <c r="B2675" t="s">
        <v>16</v>
      </c>
      <c r="C2675" t="s">
        <v>39</v>
      </c>
      <c r="D2675" t="str">
        <f t="shared" si="248"/>
        <v>FAB3_1L  D Li Deslactosada Light</v>
      </c>
      <c r="E2675">
        <v>2025</v>
      </c>
      <c r="F2675">
        <v>25</v>
      </c>
      <c r="G2675">
        <f t="shared" si="249"/>
        <v>6</v>
      </c>
      <c r="H2675" s="1">
        <f t="shared" si="250"/>
        <v>45824</v>
      </c>
      <c r="I2675" s="1">
        <f t="shared" si="251"/>
        <v>45809</v>
      </c>
      <c r="J2675">
        <v>394386.09000000014</v>
      </c>
      <c r="K2675">
        <v>15876</v>
      </c>
      <c r="L2675">
        <f t="shared" si="247"/>
        <v>24.841653439153447</v>
      </c>
      <c r="M2675">
        <v>1323</v>
      </c>
      <c r="N2675" s="2">
        <f t="shared" si="252"/>
        <v>298.09984126984136</v>
      </c>
      <c r="O2675">
        <v>12</v>
      </c>
    </row>
    <row r="2676" spans="1:15" x14ac:dyDescent="0.25">
      <c r="A2676" t="s">
        <v>46</v>
      </c>
      <c r="B2676" t="s">
        <v>16</v>
      </c>
      <c r="C2676" t="s">
        <v>39</v>
      </c>
      <c r="D2676" t="str">
        <f t="shared" si="248"/>
        <v>FAB3_1L  D Li Deslactosada Light</v>
      </c>
      <c r="E2676">
        <v>2025</v>
      </c>
      <c r="F2676">
        <v>26</v>
      </c>
      <c r="G2676">
        <f t="shared" si="249"/>
        <v>6</v>
      </c>
      <c r="H2676" s="1">
        <f t="shared" si="250"/>
        <v>45831</v>
      </c>
      <c r="I2676" s="1">
        <f t="shared" si="251"/>
        <v>45809</v>
      </c>
      <c r="J2676">
        <v>389173.39000000007</v>
      </c>
      <c r="K2676">
        <v>16104</v>
      </c>
      <c r="L2676">
        <f t="shared" si="247"/>
        <v>24.166256209637361</v>
      </c>
      <c r="M2676">
        <v>1342</v>
      </c>
      <c r="N2676" s="2">
        <f t="shared" si="252"/>
        <v>289.99507451564835</v>
      </c>
      <c r="O2676">
        <v>12</v>
      </c>
    </row>
    <row r="2677" spans="1:15" x14ac:dyDescent="0.25">
      <c r="A2677" t="s">
        <v>46</v>
      </c>
      <c r="B2677" t="s">
        <v>16</v>
      </c>
      <c r="C2677" t="s">
        <v>39</v>
      </c>
      <c r="D2677" t="str">
        <f t="shared" si="248"/>
        <v>FAB3_1L  D Li Deslactosada Light</v>
      </c>
      <c r="E2677">
        <v>2025</v>
      </c>
      <c r="F2677">
        <v>27</v>
      </c>
      <c r="G2677">
        <f t="shared" si="249"/>
        <v>7</v>
      </c>
      <c r="H2677" s="1">
        <f t="shared" si="250"/>
        <v>45838</v>
      </c>
      <c r="I2677" s="1">
        <f t="shared" si="251"/>
        <v>45839</v>
      </c>
      <c r="J2677">
        <v>471122.85000000027</v>
      </c>
      <c r="K2677">
        <v>19872</v>
      </c>
      <c r="L2677">
        <f t="shared" si="247"/>
        <v>23.707872886473442</v>
      </c>
      <c r="M2677">
        <v>1656</v>
      </c>
      <c r="N2677" s="2">
        <f t="shared" si="252"/>
        <v>284.49447463768132</v>
      </c>
      <c r="O2677">
        <v>12</v>
      </c>
    </row>
    <row r="2678" spans="1:15" x14ac:dyDescent="0.25">
      <c r="A2678" t="s">
        <v>46</v>
      </c>
      <c r="B2678" t="s">
        <v>16</v>
      </c>
      <c r="C2678" t="s">
        <v>39</v>
      </c>
      <c r="D2678" t="str">
        <f t="shared" si="248"/>
        <v>FAB3_1L  D Li Deslactosada Light</v>
      </c>
      <c r="E2678">
        <v>2025</v>
      </c>
      <c r="F2678">
        <v>28</v>
      </c>
      <c r="G2678">
        <f t="shared" si="249"/>
        <v>7</v>
      </c>
      <c r="H2678" s="1">
        <f t="shared" si="250"/>
        <v>45845</v>
      </c>
      <c r="I2678" s="1">
        <f t="shared" si="251"/>
        <v>45839</v>
      </c>
      <c r="J2678">
        <v>415375.95000000013</v>
      </c>
      <c r="K2678">
        <v>17676</v>
      </c>
      <c r="L2678">
        <f t="shared" si="247"/>
        <v>23.499431432450788</v>
      </c>
      <c r="M2678">
        <v>1473</v>
      </c>
      <c r="N2678" s="2">
        <f t="shared" si="252"/>
        <v>281.99317718940944</v>
      </c>
      <c r="O2678">
        <v>12</v>
      </c>
    </row>
    <row r="2679" spans="1:15" x14ac:dyDescent="0.25">
      <c r="A2679" t="s">
        <v>46</v>
      </c>
      <c r="B2679" t="s">
        <v>16</v>
      </c>
      <c r="C2679" t="s">
        <v>39</v>
      </c>
      <c r="D2679" t="str">
        <f t="shared" si="248"/>
        <v>FAB3_1L  D Li Deslactosada Light</v>
      </c>
      <c r="E2679">
        <v>2025</v>
      </c>
      <c r="F2679">
        <v>29</v>
      </c>
      <c r="G2679">
        <f t="shared" si="249"/>
        <v>7</v>
      </c>
      <c r="H2679" s="1">
        <f t="shared" si="250"/>
        <v>45852</v>
      </c>
      <c r="I2679" s="1">
        <f t="shared" si="251"/>
        <v>45839</v>
      </c>
      <c r="J2679">
        <v>472555.84999999992</v>
      </c>
      <c r="K2679">
        <v>19320</v>
      </c>
      <c r="L2679">
        <f t="shared" si="247"/>
        <v>24.459412525879912</v>
      </c>
      <c r="M2679">
        <v>1610</v>
      </c>
      <c r="N2679" s="2">
        <f t="shared" si="252"/>
        <v>293.51295031055895</v>
      </c>
      <c r="O2679">
        <v>12</v>
      </c>
    </row>
    <row r="2680" spans="1:15" x14ac:dyDescent="0.25">
      <c r="A2680" t="s">
        <v>46</v>
      </c>
      <c r="B2680" t="s">
        <v>16</v>
      </c>
      <c r="C2680" t="s">
        <v>39</v>
      </c>
      <c r="D2680" t="str">
        <f t="shared" si="248"/>
        <v>FAB3_1L  D Li Deslactosada Light</v>
      </c>
      <c r="E2680">
        <v>2025</v>
      </c>
      <c r="F2680">
        <v>30</v>
      </c>
      <c r="G2680">
        <f t="shared" si="249"/>
        <v>7</v>
      </c>
      <c r="H2680" s="1">
        <f t="shared" si="250"/>
        <v>45859</v>
      </c>
      <c r="I2680" s="1">
        <f t="shared" si="251"/>
        <v>45839</v>
      </c>
      <c r="J2680">
        <v>376603.6700000001</v>
      </c>
      <c r="K2680">
        <v>15924</v>
      </c>
      <c r="L2680">
        <f t="shared" si="247"/>
        <v>23.650067194172326</v>
      </c>
      <c r="M2680">
        <v>1327</v>
      </c>
      <c r="N2680" s="2">
        <f t="shared" si="252"/>
        <v>283.80080633006787</v>
      </c>
      <c r="O2680">
        <v>12</v>
      </c>
    </row>
    <row r="2681" spans="1:15" x14ac:dyDescent="0.25">
      <c r="A2681" t="s">
        <v>46</v>
      </c>
      <c r="B2681" t="s">
        <v>16</v>
      </c>
      <c r="C2681" t="s">
        <v>39</v>
      </c>
      <c r="D2681" t="str">
        <f t="shared" si="248"/>
        <v>FAB3_1L  D Li Deslactosada Light</v>
      </c>
      <c r="E2681">
        <v>2025</v>
      </c>
      <c r="F2681">
        <v>31</v>
      </c>
      <c r="G2681">
        <f t="shared" si="249"/>
        <v>7</v>
      </c>
      <c r="H2681" s="1">
        <f t="shared" si="250"/>
        <v>45866</v>
      </c>
      <c r="I2681" s="1">
        <f t="shared" si="251"/>
        <v>45839</v>
      </c>
      <c r="J2681">
        <v>439851.75000000017</v>
      </c>
      <c r="K2681">
        <v>18540</v>
      </c>
      <c r="L2681">
        <f t="shared" si="247"/>
        <v>23.724474110032371</v>
      </c>
      <c r="M2681">
        <v>1545</v>
      </c>
      <c r="N2681" s="2">
        <f t="shared" si="252"/>
        <v>284.69368932038844</v>
      </c>
      <c r="O2681">
        <v>12</v>
      </c>
    </row>
    <row r="2682" spans="1:15" x14ac:dyDescent="0.25">
      <c r="A2682" t="s">
        <v>46</v>
      </c>
      <c r="B2682" t="s">
        <v>16</v>
      </c>
      <c r="C2682" t="s">
        <v>40</v>
      </c>
      <c r="D2682" t="str">
        <f t="shared" si="248"/>
        <v>FAB3_1L  Desl Deslactosada</v>
      </c>
      <c r="E2682">
        <v>2022</v>
      </c>
      <c r="F2682">
        <v>1</v>
      </c>
      <c r="G2682">
        <f t="shared" si="249"/>
        <v>1</v>
      </c>
      <c r="H2682" s="1">
        <f t="shared" si="250"/>
        <v>44564</v>
      </c>
      <c r="I2682" s="1">
        <f t="shared" si="251"/>
        <v>44562</v>
      </c>
      <c r="J2682">
        <v>1223179.1299999999</v>
      </c>
      <c r="K2682">
        <v>68280</v>
      </c>
      <c r="L2682">
        <f t="shared" si="247"/>
        <v>17.914164176918568</v>
      </c>
      <c r="M2682">
        <v>5690</v>
      </c>
      <c r="N2682" s="2">
        <f t="shared" si="252"/>
        <v>214.96997012302282</v>
      </c>
      <c r="O2682">
        <v>12</v>
      </c>
    </row>
    <row r="2683" spans="1:15" x14ac:dyDescent="0.25">
      <c r="A2683" t="s">
        <v>46</v>
      </c>
      <c r="B2683" t="s">
        <v>16</v>
      </c>
      <c r="C2683" t="s">
        <v>40</v>
      </c>
      <c r="D2683" t="str">
        <f t="shared" si="248"/>
        <v>FAB3_1L  Desl Deslactosada</v>
      </c>
      <c r="E2683">
        <v>2022</v>
      </c>
      <c r="F2683">
        <v>2</v>
      </c>
      <c r="G2683">
        <f t="shared" si="249"/>
        <v>1</v>
      </c>
      <c r="H2683" s="1">
        <f t="shared" si="250"/>
        <v>44571</v>
      </c>
      <c r="I2683" s="1">
        <f t="shared" si="251"/>
        <v>44562</v>
      </c>
      <c r="J2683">
        <v>875655.32000000007</v>
      </c>
      <c r="K2683">
        <v>49092</v>
      </c>
      <c r="L2683">
        <f t="shared" si="247"/>
        <v>17.837026806811703</v>
      </c>
      <c r="M2683">
        <v>4091</v>
      </c>
      <c r="N2683" s="2">
        <f t="shared" si="252"/>
        <v>214.04432168174043</v>
      </c>
      <c r="O2683">
        <v>12</v>
      </c>
    </row>
    <row r="2684" spans="1:15" x14ac:dyDescent="0.25">
      <c r="A2684" t="s">
        <v>46</v>
      </c>
      <c r="B2684" t="s">
        <v>16</v>
      </c>
      <c r="C2684" t="s">
        <v>40</v>
      </c>
      <c r="D2684" t="str">
        <f t="shared" si="248"/>
        <v>FAB3_1L  Desl Deslactosada</v>
      </c>
      <c r="E2684">
        <v>2022</v>
      </c>
      <c r="F2684">
        <v>3</v>
      </c>
      <c r="G2684">
        <f t="shared" si="249"/>
        <v>1</v>
      </c>
      <c r="H2684" s="1">
        <f t="shared" si="250"/>
        <v>44578</v>
      </c>
      <c r="I2684" s="1">
        <f t="shared" si="251"/>
        <v>44562</v>
      </c>
      <c r="J2684">
        <v>659878.19999999995</v>
      </c>
      <c r="K2684">
        <v>33132</v>
      </c>
      <c r="L2684">
        <f t="shared" si="247"/>
        <v>19.916642520825786</v>
      </c>
      <c r="M2684">
        <v>2761</v>
      </c>
      <c r="N2684" s="2">
        <f t="shared" si="252"/>
        <v>238.99971024990944</v>
      </c>
      <c r="O2684">
        <v>12</v>
      </c>
    </row>
    <row r="2685" spans="1:15" x14ac:dyDescent="0.25">
      <c r="A2685" t="s">
        <v>46</v>
      </c>
      <c r="B2685" t="s">
        <v>16</v>
      </c>
      <c r="C2685" t="s">
        <v>40</v>
      </c>
      <c r="D2685" t="str">
        <f t="shared" si="248"/>
        <v>FAB3_1L  Desl Deslactosada</v>
      </c>
      <c r="E2685">
        <v>2022</v>
      </c>
      <c r="F2685">
        <v>4</v>
      </c>
      <c r="G2685">
        <f t="shared" si="249"/>
        <v>1</v>
      </c>
      <c r="H2685" s="1">
        <f t="shared" si="250"/>
        <v>44585</v>
      </c>
      <c r="I2685" s="1">
        <f t="shared" si="251"/>
        <v>44562</v>
      </c>
      <c r="J2685">
        <v>652671.72000000009</v>
      </c>
      <c r="K2685">
        <v>32664</v>
      </c>
      <c r="L2685">
        <f t="shared" si="247"/>
        <v>19.981377663482736</v>
      </c>
      <c r="M2685">
        <v>2722</v>
      </c>
      <c r="N2685" s="2">
        <f t="shared" si="252"/>
        <v>239.77653196179284</v>
      </c>
      <c r="O2685">
        <v>12</v>
      </c>
    </row>
    <row r="2686" spans="1:15" x14ac:dyDescent="0.25">
      <c r="A2686" t="s">
        <v>46</v>
      </c>
      <c r="B2686" t="s">
        <v>16</v>
      </c>
      <c r="C2686" t="s">
        <v>40</v>
      </c>
      <c r="D2686" t="str">
        <f t="shared" si="248"/>
        <v>FAB3_1L  Desl Deslactosada</v>
      </c>
      <c r="E2686">
        <v>2022</v>
      </c>
      <c r="F2686">
        <v>5</v>
      </c>
      <c r="G2686">
        <f t="shared" si="249"/>
        <v>2</v>
      </c>
      <c r="H2686" s="1">
        <f t="shared" si="250"/>
        <v>44592</v>
      </c>
      <c r="I2686" s="1">
        <f t="shared" si="251"/>
        <v>44593</v>
      </c>
      <c r="J2686">
        <v>1227563.6300000001</v>
      </c>
      <c r="K2686">
        <v>64740</v>
      </c>
      <c r="L2686">
        <f t="shared" ref="L2686:L2749" si="253">J2686/(M2686*O2686)</f>
        <v>18.961440067964165</v>
      </c>
      <c r="M2686">
        <v>5395</v>
      </c>
      <c r="N2686" s="2">
        <f t="shared" si="252"/>
        <v>227.53728081557</v>
      </c>
      <c r="O2686">
        <v>12</v>
      </c>
    </row>
    <row r="2687" spans="1:15" x14ac:dyDescent="0.25">
      <c r="A2687" t="s">
        <v>46</v>
      </c>
      <c r="B2687" t="s">
        <v>16</v>
      </c>
      <c r="C2687" t="s">
        <v>40</v>
      </c>
      <c r="D2687" t="str">
        <f t="shared" si="248"/>
        <v>FAB3_1L  Desl Deslactosada</v>
      </c>
      <c r="E2687">
        <v>2022</v>
      </c>
      <c r="F2687">
        <v>6</v>
      </c>
      <c r="G2687">
        <f t="shared" si="249"/>
        <v>2</v>
      </c>
      <c r="H2687" s="1">
        <f t="shared" si="250"/>
        <v>44599</v>
      </c>
      <c r="I2687" s="1">
        <f t="shared" si="251"/>
        <v>44593</v>
      </c>
      <c r="J2687">
        <v>1120158.1000000003</v>
      </c>
      <c r="K2687">
        <v>57804</v>
      </c>
      <c r="L2687">
        <f t="shared" si="253"/>
        <v>19.378556847277011</v>
      </c>
      <c r="M2687">
        <v>4817</v>
      </c>
      <c r="N2687" s="2">
        <f t="shared" si="252"/>
        <v>232.54268216732413</v>
      </c>
      <c r="O2687">
        <v>12</v>
      </c>
    </row>
    <row r="2688" spans="1:15" x14ac:dyDescent="0.25">
      <c r="A2688" t="s">
        <v>46</v>
      </c>
      <c r="B2688" t="s">
        <v>16</v>
      </c>
      <c r="C2688" t="s">
        <v>40</v>
      </c>
      <c r="D2688" t="str">
        <f t="shared" si="248"/>
        <v>FAB3_1L  Desl Deslactosada</v>
      </c>
      <c r="E2688">
        <v>2022</v>
      </c>
      <c r="F2688">
        <v>7</v>
      </c>
      <c r="G2688">
        <f t="shared" si="249"/>
        <v>2</v>
      </c>
      <c r="H2688" s="1">
        <f t="shared" si="250"/>
        <v>44606</v>
      </c>
      <c r="I2688" s="1">
        <f t="shared" si="251"/>
        <v>44593</v>
      </c>
      <c r="J2688">
        <v>1574386.0700000005</v>
      </c>
      <c r="K2688">
        <v>78720</v>
      </c>
      <c r="L2688">
        <f t="shared" si="253"/>
        <v>19.999823043699195</v>
      </c>
      <c r="M2688">
        <v>6560</v>
      </c>
      <c r="N2688" s="2">
        <f t="shared" si="252"/>
        <v>239.99787652439034</v>
      </c>
      <c r="O2688">
        <v>12</v>
      </c>
    </row>
    <row r="2689" spans="1:15" x14ac:dyDescent="0.25">
      <c r="A2689" t="s">
        <v>46</v>
      </c>
      <c r="B2689" t="s">
        <v>16</v>
      </c>
      <c r="C2689" t="s">
        <v>40</v>
      </c>
      <c r="D2689" t="str">
        <f t="shared" si="248"/>
        <v>FAB3_1L  Desl Deslactosada</v>
      </c>
      <c r="E2689">
        <v>2022</v>
      </c>
      <c r="F2689">
        <v>8</v>
      </c>
      <c r="G2689">
        <f t="shared" si="249"/>
        <v>2</v>
      </c>
      <c r="H2689" s="1">
        <f t="shared" si="250"/>
        <v>44613</v>
      </c>
      <c r="I2689" s="1">
        <f t="shared" si="251"/>
        <v>44593</v>
      </c>
      <c r="J2689">
        <v>1210029.53</v>
      </c>
      <c r="K2689">
        <v>63276</v>
      </c>
      <c r="L2689">
        <f t="shared" si="253"/>
        <v>19.123040805360642</v>
      </c>
      <c r="M2689">
        <v>5273</v>
      </c>
      <c r="N2689" s="2">
        <f t="shared" si="252"/>
        <v>229.47648966432772</v>
      </c>
      <c r="O2689">
        <v>12</v>
      </c>
    </row>
    <row r="2690" spans="1:15" x14ac:dyDescent="0.25">
      <c r="A2690" t="s">
        <v>46</v>
      </c>
      <c r="B2690" t="s">
        <v>16</v>
      </c>
      <c r="C2690" t="s">
        <v>40</v>
      </c>
      <c r="D2690" t="str">
        <f t="shared" si="248"/>
        <v>FAB3_1L  Desl Deslactosada</v>
      </c>
      <c r="E2690">
        <v>2022</v>
      </c>
      <c r="F2690">
        <v>9</v>
      </c>
      <c r="G2690">
        <f t="shared" si="249"/>
        <v>3</v>
      </c>
      <c r="H2690" s="1">
        <f t="shared" si="250"/>
        <v>44620</v>
      </c>
      <c r="I2690" s="1">
        <f t="shared" si="251"/>
        <v>44621</v>
      </c>
      <c r="J2690">
        <v>1186077.68</v>
      </c>
      <c r="K2690">
        <v>66216</v>
      </c>
      <c r="L2690">
        <f t="shared" si="253"/>
        <v>17.912252023680075</v>
      </c>
      <c r="M2690">
        <v>5518</v>
      </c>
      <c r="N2690" s="2">
        <f t="shared" si="252"/>
        <v>214.9470242841609</v>
      </c>
      <c r="O2690">
        <v>12</v>
      </c>
    </row>
    <row r="2691" spans="1:15" x14ac:dyDescent="0.25">
      <c r="A2691" t="s">
        <v>46</v>
      </c>
      <c r="B2691" t="s">
        <v>16</v>
      </c>
      <c r="C2691" t="s">
        <v>40</v>
      </c>
      <c r="D2691" t="str">
        <f t="shared" ref="D2691:D2754" si="254">B2691&amp;"_"&amp;C2691</f>
        <v>FAB3_1L  Desl Deslactosada</v>
      </c>
      <c r="E2691">
        <v>2022</v>
      </c>
      <c r="F2691">
        <v>10</v>
      </c>
      <c r="G2691">
        <f t="shared" ref="G2691:G2754" si="255">MONTH(DATE(E2691,1,4)+(F2691-1)*7-WEEKDAY(DATE(E2691,1,4),2)+4)</f>
        <v>3</v>
      </c>
      <c r="H2691" s="1">
        <f t="shared" ref="H2691:H2754" si="256">DATE(E2691,1,-2)-WEEKDAY(DATE(E2691,1,3))+F2691*7</f>
        <v>44627</v>
      </c>
      <c r="I2691" s="1">
        <f t="shared" ref="I2691:I2754" si="257">DATE(E2691,G2691,1)</f>
        <v>44621</v>
      </c>
      <c r="J2691">
        <v>997775.98999999987</v>
      </c>
      <c r="K2691">
        <v>55692</v>
      </c>
      <c r="L2691">
        <f t="shared" si="253"/>
        <v>17.915966206995616</v>
      </c>
      <c r="M2691">
        <v>4641</v>
      </c>
      <c r="N2691" s="2">
        <f t="shared" ref="N2691:N2754" si="258">J2691/M2691</f>
        <v>214.99159448394741</v>
      </c>
      <c r="O2691">
        <v>12</v>
      </c>
    </row>
    <row r="2692" spans="1:15" x14ac:dyDescent="0.25">
      <c r="A2692" t="s">
        <v>46</v>
      </c>
      <c r="B2692" t="s">
        <v>16</v>
      </c>
      <c r="C2692" t="s">
        <v>40</v>
      </c>
      <c r="D2692" t="str">
        <f t="shared" si="254"/>
        <v>FAB3_1L  Desl Deslactosada</v>
      </c>
      <c r="E2692">
        <v>2022</v>
      </c>
      <c r="F2692">
        <v>11</v>
      </c>
      <c r="G2692">
        <f t="shared" si="255"/>
        <v>3</v>
      </c>
      <c r="H2692" s="1">
        <f t="shared" si="256"/>
        <v>44634</v>
      </c>
      <c r="I2692" s="1">
        <f t="shared" si="257"/>
        <v>44621</v>
      </c>
      <c r="J2692">
        <v>1078110.74</v>
      </c>
      <c r="K2692">
        <v>57756</v>
      </c>
      <c r="L2692">
        <f t="shared" si="253"/>
        <v>18.666644850751435</v>
      </c>
      <c r="M2692">
        <v>4813</v>
      </c>
      <c r="N2692" s="2">
        <f t="shared" si="258"/>
        <v>223.99973820901724</v>
      </c>
      <c r="O2692">
        <v>12</v>
      </c>
    </row>
    <row r="2693" spans="1:15" x14ac:dyDescent="0.25">
      <c r="A2693" t="s">
        <v>46</v>
      </c>
      <c r="B2693" t="s">
        <v>16</v>
      </c>
      <c r="C2693" t="s">
        <v>40</v>
      </c>
      <c r="D2693" t="str">
        <f t="shared" si="254"/>
        <v>FAB3_1L  Desl Deslactosada</v>
      </c>
      <c r="E2693">
        <v>2022</v>
      </c>
      <c r="F2693">
        <v>12</v>
      </c>
      <c r="G2693">
        <f t="shared" si="255"/>
        <v>3</v>
      </c>
      <c r="H2693" s="1">
        <f t="shared" si="256"/>
        <v>44641</v>
      </c>
      <c r="I2693" s="1">
        <f t="shared" si="257"/>
        <v>44621</v>
      </c>
      <c r="J2693">
        <v>829560.51000000059</v>
      </c>
      <c r="K2693">
        <v>41460</v>
      </c>
      <c r="L2693">
        <f t="shared" si="253"/>
        <v>20.008695369030406</v>
      </c>
      <c r="M2693">
        <v>3455</v>
      </c>
      <c r="N2693" s="2">
        <f t="shared" si="258"/>
        <v>240.10434442836487</v>
      </c>
      <c r="O2693">
        <v>12</v>
      </c>
    </row>
    <row r="2694" spans="1:15" x14ac:dyDescent="0.25">
      <c r="A2694" t="s">
        <v>46</v>
      </c>
      <c r="B2694" t="s">
        <v>16</v>
      </c>
      <c r="C2694" t="s">
        <v>40</v>
      </c>
      <c r="D2694" t="str">
        <f t="shared" si="254"/>
        <v>FAB3_1L  Desl Deslactosada</v>
      </c>
      <c r="E2694">
        <v>2022</v>
      </c>
      <c r="F2694">
        <v>13</v>
      </c>
      <c r="G2694">
        <f t="shared" si="255"/>
        <v>3</v>
      </c>
      <c r="H2694" s="1">
        <f t="shared" si="256"/>
        <v>44648</v>
      </c>
      <c r="I2694" s="1">
        <f t="shared" si="257"/>
        <v>44621</v>
      </c>
      <c r="J2694">
        <v>1031915.0300000008</v>
      </c>
      <c r="K2694">
        <v>51576</v>
      </c>
      <c r="L2694">
        <f t="shared" si="253"/>
        <v>20.007659182565551</v>
      </c>
      <c r="M2694">
        <v>4298</v>
      </c>
      <c r="N2694" s="2">
        <f t="shared" si="258"/>
        <v>240.09191019078662</v>
      </c>
      <c r="O2694">
        <v>12</v>
      </c>
    </row>
    <row r="2695" spans="1:15" x14ac:dyDescent="0.25">
      <c r="A2695" t="s">
        <v>46</v>
      </c>
      <c r="B2695" t="s">
        <v>16</v>
      </c>
      <c r="C2695" t="s">
        <v>40</v>
      </c>
      <c r="D2695" t="str">
        <f t="shared" si="254"/>
        <v>FAB3_1L  Desl Deslactosada</v>
      </c>
      <c r="E2695">
        <v>2022</v>
      </c>
      <c r="F2695">
        <v>14</v>
      </c>
      <c r="G2695">
        <f t="shared" si="255"/>
        <v>4</v>
      </c>
      <c r="H2695" s="1">
        <f t="shared" si="256"/>
        <v>44655</v>
      </c>
      <c r="I2695" s="1">
        <f t="shared" si="257"/>
        <v>44652</v>
      </c>
      <c r="J2695">
        <v>1008295.9300000002</v>
      </c>
      <c r="K2695">
        <v>50388</v>
      </c>
      <c r="L2695">
        <f t="shared" si="253"/>
        <v>20.010636064142261</v>
      </c>
      <c r="M2695">
        <v>4199</v>
      </c>
      <c r="N2695" s="2">
        <f t="shared" si="258"/>
        <v>240.12763276970711</v>
      </c>
      <c r="O2695">
        <v>12</v>
      </c>
    </row>
    <row r="2696" spans="1:15" x14ac:dyDescent="0.25">
      <c r="A2696" t="s">
        <v>46</v>
      </c>
      <c r="B2696" t="s">
        <v>16</v>
      </c>
      <c r="C2696" t="s">
        <v>40</v>
      </c>
      <c r="D2696" t="str">
        <f t="shared" si="254"/>
        <v>FAB3_1L  Desl Deslactosada</v>
      </c>
      <c r="E2696">
        <v>2022</v>
      </c>
      <c r="F2696">
        <v>15</v>
      </c>
      <c r="G2696">
        <f t="shared" si="255"/>
        <v>4</v>
      </c>
      <c r="H2696" s="1">
        <f t="shared" si="256"/>
        <v>44662</v>
      </c>
      <c r="I2696" s="1">
        <f t="shared" si="257"/>
        <v>44652</v>
      </c>
      <c r="J2696">
        <v>798198.97000000079</v>
      </c>
      <c r="K2696">
        <v>39924</v>
      </c>
      <c r="L2696">
        <f t="shared" si="253"/>
        <v>19.99296087566378</v>
      </c>
      <c r="M2696">
        <v>3327</v>
      </c>
      <c r="N2696" s="2">
        <f t="shared" si="258"/>
        <v>239.91553050796537</v>
      </c>
      <c r="O2696">
        <v>12</v>
      </c>
    </row>
    <row r="2697" spans="1:15" x14ac:dyDescent="0.25">
      <c r="A2697" t="s">
        <v>46</v>
      </c>
      <c r="B2697" t="s">
        <v>16</v>
      </c>
      <c r="C2697" t="s">
        <v>40</v>
      </c>
      <c r="D2697" t="str">
        <f t="shared" si="254"/>
        <v>FAB3_1L  Desl Deslactosada</v>
      </c>
      <c r="E2697">
        <v>2022</v>
      </c>
      <c r="F2697">
        <v>16</v>
      </c>
      <c r="G2697">
        <f t="shared" si="255"/>
        <v>4</v>
      </c>
      <c r="H2697" s="1">
        <f t="shared" si="256"/>
        <v>44669</v>
      </c>
      <c r="I2697" s="1">
        <f t="shared" si="257"/>
        <v>44652</v>
      </c>
      <c r="J2697">
        <v>814835.90000000049</v>
      </c>
      <c r="K2697">
        <v>40740</v>
      </c>
      <c r="L2697">
        <f t="shared" si="253"/>
        <v>20.000881197839973</v>
      </c>
      <c r="M2697">
        <v>3395</v>
      </c>
      <c r="N2697" s="2">
        <f t="shared" si="258"/>
        <v>240.01057437407968</v>
      </c>
      <c r="O2697">
        <v>12</v>
      </c>
    </row>
    <row r="2698" spans="1:15" x14ac:dyDescent="0.25">
      <c r="A2698" t="s">
        <v>46</v>
      </c>
      <c r="B2698" t="s">
        <v>16</v>
      </c>
      <c r="C2698" t="s">
        <v>40</v>
      </c>
      <c r="D2698" t="str">
        <f t="shared" si="254"/>
        <v>FAB3_1L  Desl Deslactosada</v>
      </c>
      <c r="E2698">
        <v>2022</v>
      </c>
      <c r="F2698">
        <v>17</v>
      </c>
      <c r="G2698">
        <f t="shared" si="255"/>
        <v>4</v>
      </c>
      <c r="H2698" s="1">
        <f t="shared" si="256"/>
        <v>44676</v>
      </c>
      <c r="I2698" s="1">
        <f t="shared" si="257"/>
        <v>44652</v>
      </c>
      <c r="J2698">
        <v>902939.4800000008</v>
      </c>
      <c r="K2698">
        <v>45120</v>
      </c>
      <c r="L2698">
        <f t="shared" si="253"/>
        <v>20.011956560283707</v>
      </c>
      <c r="M2698">
        <v>3760</v>
      </c>
      <c r="N2698" s="2">
        <f t="shared" si="258"/>
        <v>240.14347872340446</v>
      </c>
      <c r="O2698">
        <v>12</v>
      </c>
    </row>
    <row r="2699" spans="1:15" x14ac:dyDescent="0.25">
      <c r="A2699" t="s">
        <v>46</v>
      </c>
      <c r="B2699" t="s">
        <v>16</v>
      </c>
      <c r="C2699" t="s">
        <v>40</v>
      </c>
      <c r="D2699" t="str">
        <f t="shared" si="254"/>
        <v>FAB3_1L  Desl Deslactosada</v>
      </c>
      <c r="E2699">
        <v>2022</v>
      </c>
      <c r="F2699">
        <v>18</v>
      </c>
      <c r="G2699">
        <f t="shared" si="255"/>
        <v>5</v>
      </c>
      <c r="H2699" s="1">
        <f t="shared" si="256"/>
        <v>44683</v>
      </c>
      <c r="I2699" s="1">
        <f t="shared" si="257"/>
        <v>44682</v>
      </c>
      <c r="J2699">
        <v>1304122.310000001</v>
      </c>
      <c r="K2699">
        <v>66408</v>
      </c>
      <c r="L2699">
        <f t="shared" si="253"/>
        <v>19.638030207203965</v>
      </c>
      <c r="M2699">
        <v>5534</v>
      </c>
      <c r="N2699" s="2">
        <f t="shared" si="258"/>
        <v>235.65636248644759</v>
      </c>
      <c r="O2699">
        <v>12</v>
      </c>
    </row>
    <row r="2700" spans="1:15" x14ac:dyDescent="0.25">
      <c r="A2700" t="s">
        <v>46</v>
      </c>
      <c r="B2700" t="s">
        <v>16</v>
      </c>
      <c r="C2700" t="s">
        <v>40</v>
      </c>
      <c r="D2700" t="str">
        <f t="shared" si="254"/>
        <v>FAB3_1L  Desl Deslactosada</v>
      </c>
      <c r="E2700">
        <v>2022</v>
      </c>
      <c r="F2700">
        <v>19</v>
      </c>
      <c r="G2700">
        <f t="shared" si="255"/>
        <v>5</v>
      </c>
      <c r="H2700" s="1">
        <f t="shared" si="256"/>
        <v>44690</v>
      </c>
      <c r="I2700" s="1">
        <f t="shared" si="257"/>
        <v>44682</v>
      </c>
      <c r="J2700">
        <v>887196.26000000047</v>
      </c>
      <c r="K2700">
        <v>44340</v>
      </c>
      <c r="L2700">
        <f t="shared" si="253"/>
        <v>20.008936851601273</v>
      </c>
      <c r="M2700">
        <v>3695</v>
      </c>
      <c r="N2700" s="2">
        <f t="shared" si="258"/>
        <v>240.10724221921529</v>
      </c>
      <c r="O2700">
        <v>12</v>
      </c>
    </row>
    <row r="2701" spans="1:15" x14ac:dyDescent="0.25">
      <c r="A2701" t="s">
        <v>46</v>
      </c>
      <c r="B2701" t="s">
        <v>16</v>
      </c>
      <c r="C2701" t="s">
        <v>40</v>
      </c>
      <c r="D2701" t="str">
        <f t="shared" si="254"/>
        <v>FAB3_1L  Desl Deslactosada</v>
      </c>
      <c r="E2701">
        <v>2022</v>
      </c>
      <c r="F2701">
        <v>20</v>
      </c>
      <c r="G2701">
        <f t="shared" si="255"/>
        <v>5</v>
      </c>
      <c r="H2701" s="1">
        <f t="shared" si="256"/>
        <v>44697</v>
      </c>
      <c r="I2701" s="1">
        <f t="shared" si="257"/>
        <v>44682</v>
      </c>
      <c r="J2701">
        <v>1177580.4800000014</v>
      </c>
      <c r="K2701">
        <v>59844</v>
      </c>
      <c r="L2701">
        <f t="shared" si="253"/>
        <v>19.677502840719228</v>
      </c>
      <c r="M2701">
        <v>4987</v>
      </c>
      <c r="N2701" s="2">
        <f t="shared" si="258"/>
        <v>236.13003408863071</v>
      </c>
      <c r="O2701">
        <v>12</v>
      </c>
    </row>
    <row r="2702" spans="1:15" x14ac:dyDescent="0.25">
      <c r="A2702" t="s">
        <v>46</v>
      </c>
      <c r="B2702" t="s">
        <v>16</v>
      </c>
      <c r="C2702" t="s">
        <v>40</v>
      </c>
      <c r="D2702" t="str">
        <f t="shared" si="254"/>
        <v>FAB3_1L  Desl Deslactosada</v>
      </c>
      <c r="E2702">
        <v>2022</v>
      </c>
      <c r="F2702">
        <v>21</v>
      </c>
      <c r="G2702">
        <f t="shared" si="255"/>
        <v>5</v>
      </c>
      <c r="H2702" s="1">
        <f t="shared" si="256"/>
        <v>44704</v>
      </c>
      <c r="I2702" s="1">
        <f t="shared" si="257"/>
        <v>44682</v>
      </c>
      <c r="J2702">
        <v>807384.87000000046</v>
      </c>
      <c r="K2702">
        <v>40356</v>
      </c>
      <c r="L2702">
        <f t="shared" si="253"/>
        <v>20.006563336306879</v>
      </c>
      <c r="M2702">
        <v>3363</v>
      </c>
      <c r="N2702" s="2">
        <f t="shared" si="258"/>
        <v>240.07876003568256</v>
      </c>
      <c r="O2702">
        <v>12</v>
      </c>
    </row>
    <row r="2703" spans="1:15" x14ac:dyDescent="0.25">
      <c r="A2703" t="s">
        <v>46</v>
      </c>
      <c r="B2703" t="s">
        <v>16</v>
      </c>
      <c r="C2703" t="s">
        <v>40</v>
      </c>
      <c r="D2703" t="str">
        <f t="shared" si="254"/>
        <v>FAB3_1L  Desl Deslactosada</v>
      </c>
      <c r="E2703">
        <v>2022</v>
      </c>
      <c r="F2703">
        <v>22</v>
      </c>
      <c r="G2703">
        <f t="shared" si="255"/>
        <v>6</v>
      </c>
      <c r="H2703" s="1">
        <f t="shared" si="256"/>
        <v>44711</v>
      </c>
      <c r="I2703" s="1">
        <f t="shared" si="257"/>
        <v>44713</v>
      </c>
      <c r="J2703">
        <v>1166198.7000000009</v>
      </c>
      <c r="K2703">
        <v>59988</v>
      </c>
      <c r="L2703">
        <f t="shared" si="253"/>
        <v>19.440533106621338</v>
      </c>
      <c r="M2703">
        <v>4999</v>
      </c>
      <c r="N2703" s="2">
        <f t="shared" si="258"/>
        <v>233.28639727945608</v>
      </c>
      <c r="O2703">
        <v>12</v>
      </c>
    </row>
    <row r="2704" spans="1:15" x14ac:dyDescent="0.25">
      <c r="A2704" t="s">
        <v>46</v>
      </c>
      <c r="B2704" t="s">
        <v>16</v>
      </c>
      <c r="C2704" t="s">
        <v>40</v>
      </c>
      <c r="D2704" t="str">
        <f t="shared" si="254"/>
        <v>FAB3_1L  Desl Deslactosada</v>
      </c>
      <c r="E2704">
        <v>2022</v>
      </c>
      <c r="F2704">
        <v>23</v>
      </c>
      <c r="G2704">
        <f t="shared" si="255"/>
        <v>6</v>
      </c>
      <c r="H2704" s="1">
        <f t="shared" si="256"/>
        <v>44718</v>
      </c>
      <c r="I2704" s="1">
        <f t="shared" si="257"/>
        <v>44713</v>
      </c>
      <c r="J2704">
        <v>987208.61000000057</v>
      </c>
      <c r="K2704">
        <v>50856</v>
      </c>
      <c r="L2704">
        <f t="shared" si="253"/>
        <v>19.411841473965719</v>
      </c>
      <c r="M2704">
        <v>4238</v>
      </c>
      <c r="N2704" s="2">
        <f t="shared" si="258"/>
        <v>232.94209768758861</v>
      </c>
      <c r="O2704">
        <v>12</v>
      </c>
    </row>
    <row r="2705" spans="1:15" x14ac:dyDescent="0.25">
      <c r="A2705" t="s">
        <v>46</v>
      </c>
      <c r="B2705" t="s">
        <v>16</v>
      </c>
      <c r="C2705" t="s">
        <v>40</v>
      </c>
      <c r="D2705" t="str">
        <f t="shared" si="254"/>
        <v>FAB3_1L  Desl Deslactosada</v>
      </c>
      <c r="E2705">
        <v>2022</v>
      </c>
      <c r="F2705">
        <v>24</v>
      </c>
      <c r="G2705">
        <f t="shared" si="255"/>
        <v>6</v>
      </c>
      <c r="H2705" s="1">
        <f t="shared" si="256"/>
        <v>44725</v>
      </c>
      <c r="I2705" s="1">
        <f t="shared" si="257"/>
        <v>44713</v>
      </c>
      <c r="J2705">
        <v>1386323.2100000014</v>
      </c>
      <c r="K2705">
        <v>71772</v>
      </c>
      <c r="L2705">
        <f t="shared" si="253"/>
        <v>19.315655269464433</v>
      </c>
      <c r="M2705">
        <v>5981</v>
      </c>
      <c r="N2705" s="2">
        <f t="shared" si="258"/>
        <v>231.7878632335732</v>
      </c>
      <c r="O2705">
        <v>12</v>
      </c>
    </row>
    <row r="2706" spans="1:15" x14ac:dyDescent="0.25">
      <c r="A2706" t="s">
        <v>46</v>
      </c>
      <c r="B2706" t="s">
        <v>16</v>
      </c>
      <c r="C2706" t="s">
        <v>40</v>
      </c>
      <c r="D2706" t="str">
        <f t="shared" si="254"/>
        <v>FAB3_1L  Desl Deslactosada</v>
      </c>
      <c r="E2706">
        <v>2022</v>
      </c>
      <c r="F2706">
        <v>25</v>
      </c>
      <c r="G2706">
        <f t="shared" si="255"/>
        <v>6</v>
      </c>
      <c r="H2706" s="1">
        <f t="shared" si="256"/>
        <v>44732</v>
      </c>
      <c r="I2706" s="1">
        <f t="shared" si="257"/>
        <v>44713</v>
      </c>
      <c r="J2706">
        <v>869727.92000000051</v>
      </c>
      <c r="K2706">
        <v>43512</v>
      </c>
      <c r="L2706">
        <f t="shared" si="253"/>
        <v>19.988231292517018</v>
      </c>
      <c r="M2706">
        <v>3626</v>
      </c>
      <c r="N2706" s="2">
        <f t="shared" si="258"/>
        <v>239.85877551020423</v>
      </c>
      <c r="O2706">
        <v>12</v>
      </c>
    </row>
    <row r="2707" spans="1:15" x14ac:dyDescent="0.25">
      <c r="A2707" t="s">
        <v>46</v>
      </c>
      <c r="B2707" t="s">
        <v>16</v>
      </c>
      <c r="C2707" t="s">
        <v>40</v>
      </c>
      <c r="D2707" t="str">
        <f t="shared" si="254"/>
        <v>FAB3_1L  Desl Deslactosada</v>
      </c>
      <c r="E2707">
        <v>2022</v>
      </c>
      <c r="F2707">
        <v>26</v>
      </c>
      <c r="G2707">
        <f t="shared" si="255"/>
        <v>6</v>
      </c>
      <c r="H2707" s="1">
        <f t="shared" si="256"/>
        <v>44739</v>
      </c>
      <c r="I2707" s="1">
        <f t="shared" si="257"/>
        <v>44713</v>
      </c>
      <c r="J2707">
        <v>1150462.6800000009</v>
      </c>
      <c r="K2707">
        <v>58584</v>
      </c>
      <c r="L2707">
        <f t="shared" si="253"/>
        <v>19.637830807046306</v>
      </c>
      <c r="M2707">
        <v>4882</v>
      </c>
      <c r="N2707" s="2">
        <f t="shared" si="258"/>
        <v>235.65396968455568</v>
      </c>
      <c r="O2707">
        <v>12</v>
      </c>
    </row>
    <row r="2708" spans="1:15" x14ac:dyDescent="0.25">
      <c r="A2708" t="s">
        <v>46</v>
      </c>
      <c r="B2708" t="s">
        <v>16</v>
      </c>
      <c r="C2708" t="s">
        <v>40</v>
      </c>
      <c r="D2708" t="str">
        <f t="shared" si="254"/>
        <v>FAB3_1L  Desl Deslactosada</v>
      </c>
      <c r="E2708">
        <v>2022</v>
      </c>
      <c r="F2708">
        <v>27</v>
      </c>
      <c r="G2708">
        <f t="shared" si="255"/>
        <v>7</v>
      </c>
      <c r="H2708" s="1">
        <f t="shared" si="256"/>
        <v>44746</v>
      </c>
      <c r="I2708" s="1">
        <f t="shared" si="257"/>
        <v>44743</v>
      </c>
      <c r="J2708">
        <v>1107344.9300000006</v>
      </c>
      <c r="K2708">
        <v>55680</v>
      </c>
      <c r="L2708">
        <f t="shared" si="253"/>
        <v>19.887660380747139</v>
      </c>
      <c r="M2708">
        <v>4640</v>
      </c>
      <c r="N2708" s="2">
        <f t="shared" si="258"/>
        <v>238.65192456896565</v>
      </c>
      <c r="O2708">
        <v>12</v>
      </c>
    </row>
    <row r="2709" spans="1:15" x14ac:dyDescent="0.25">
      <c r="A2709" t="s">
        <v>46</v>
      </c>
      <c r="B2709" t="s">
        <v>16</v>
      </c>
      <c r="C2709" t="s">
        <v>40</v>
      </c>
      <c r="D2709" t="str">
        <f t="shared" si="254"/>
        <v>FAB3_1L  Desl Deslactosada</v>
      </c>
      <c r="E2709">
        <v>2022</v>
      </c>
      <c r="F2709">
        <v>28</v>
      </c>
      <c r="G2709">
        <f t="shared" si="255"/>
        <v>7</v>
      </c>
      <c r="H2709" s="1">
        <f t="shared" si="256"/>
        <v>44753</v>
      </c>
      <c r="I2709" s="1">
        <f t="shared" si="257"/>
        <v>44743</v>
      </c>
      <c r="J2709">
        <v>875157.03000000061</v>
      </c>
      <c r="K2709">
        <v>43164</v>
      </c>
      <c r="L2709">
        <f t="shared" si="253"/>
        <v>20.275160550458729</v>
      </c>
      <c r="M2709">
        <v>3597</v>
      </c>
      <c r="N2709" s="2">
        <f t="shared" si="258"/>
        <v>243.30192660550475</v>
      </c>
      <c r="O2709">
        <v>12</v>
      </c>
    </row>
    <row r="2710" spans="1:15" x14ac:dyDescent="0.25">
      <c r="A2710" t="s">
        <v>46</v>
      </c>
      <c r="B2710" t="s">
        <v>16</v>
      </c>
      <c r="C2710" t="s">
        <v>40</v>
      </c>
      <c r="D2710" t="str">
        <f t="shared" si="254"/>
        <v>FAB3_1L  Desl Deslactosada</v>
      </c>
      <c r="E2710">
        <v>2022</v>
      </c>
      <c r="F2710">
        <v>29</v>
      </c>
      <c r="G2710">
        <f t="shared" si="255"/>
        <v>7</v>
      </c>
      <c r="H2710" s="1">
        <f t="shared" si="256"/>
        <v>44760</v>
      </c>
      <c r="I2710" s="1">
        <f t="shared" si="257"/>
        <v>44743</v>
      </c>
      <c r="J2710">
        <v>1575625.5600000003</v>
      </c>
      <c r="K2710">
        <v>79764</v>
      </c>
      <c r="L2710">
        <f t="shared" si="253"/>
        <v>19.753592598164587</v>
      </c>
      <c r="M2710">
        <v>6647</v>
      </c>
      <c r="N2710" s="2">
        <f t="shared" si="258"/>
        <v>237.04311117797508</v>
      </c>
      <c r="O2710">
        <v>12</v>
      </c>
    </row>
    <row r="2711" spans="1:15" x14ac:dyDescent="0.25">
      <c r="A2711" t="s">
        <v>46</v>
      </c>
      <c r="B2711" t="s">
        <v>16</v>
      </c>
      <c r="C2711" t="s">
        <v>40</v>
      </c>
      <c r="D2711" t="str">
        <f t="shared" si="254"/>
        <v>FAB3_1L  Desl Deslactosada</v>
      </c>
      <c r="E2711">
        <v>2022</v>
      </c>
      <c r="F2711">
        <v>30</v>
      </c>
      <c r="G2711">
        <f t="shared" si="255"/>
        <v>7</v>
      </c>
      <c r="H2711" s="1">
        <f t="shared" si="256"/>
        <v>44767</v>
      </c>
      <c r="I2711" s="1">
        <f t="shared" si="257"/>
        <v>44743</v>
      </c>
      <c r="J2711">
        <v>821341.96000000031</v>
      </c>
      <c r="K2711">
        <v>39636</v>
      </c>
      <c r="L2711">
        <f t="shared" si="253"/>
        <v>20.722120294681609</v>
      </c>
      <c r="M2711">
        <v>3303</v>
      </c>
      <c r="N2711" s="2">
        <f t="shared" si="258"/>
        <v>248.66544353617934</v>
      </c>
      <c r="O2711">
        <v>12</v>
      </c>
    </row>
    <row r="2712" spans="1:15" x14ac:dyDescent="0.25">
      <c r="A2712" t="s">
        <v>46</v>
      </c>
      <c r="B2712" t="s">
        <v>16</v>
      </c>
      <c r="C2712" t="s">
        <v>40</v>
      </c>
      <c r="D2712" t="str">
        <f t="shared" si="254"/>
        <v>FAB3_1L  Desl Deslactosada</v>
      </c>
      <c r="E2712">
        <v>2022</v>
      </c>
      <c r="F2712">
        <v>31</v>
      </c>
      <c r="G2712">
        <f t="shared" si="255"/>
        <v>8</v>
      </c>
      <c r="H2712" s="1">
        <f t="shared" si="256"/>
        <v>44774</v>
      </c>
      <c r="I2712" s="1">
        <f t="shared" si="257"/>
        <v>44774</v>
      </c>
      <c r="J2712">
        <v>1532115.5799999998</v>
      </c>
      <c r="K2712">
        <v>78036</v>
      </c>
      <c r="L2712">
        <f t="shared" si="253"/>
        <v>19.6334458455072</v>
      </c>
      <c r="M2712">
        <v>6503</v>
      </c>
      <c r="N2712" s="2">
        <f t="shared" si="258"/>
        <v>235.60135014608639</v>
      </c>
      <c r="O2712">
        <v>12</v>
      </c>
    </row>
    <row r="2713" spans="1:15" x14ac:dyDescent="0.25">
      <c r="A2713" t="s">
        <v>46</v>
      </c>
      <c r="B2713" t="s">
        <v>16</v>
      </c>
      <c r="C2713" t="s">
        <v>40</v>
      </c>
      <c r="D2713" t="str">
        <f t="shared" si="254"/>
        <v>FAB3_1L  Desl Deslactosada</v>
      </c>
      <c r="E2713">
        <v>2022</v>
      </c>
      <c r="F2713">
        <v>32</v>
      </c>
      <c r="G2713">
        <f t="shared" si="255"/>
        <v>8</v>
      </c>
      <c r="H2713" s="1">
        <f t="shared" si="256"/>
        <v>44781</v>
      </c>
      <c r="I2713" s="1">
        <f t="shared" si="257"/>
        <v>44774</v>
      </c>
      <c r="J2713">
        <v>1326420.4100000011</v>
      </c>
      <c r="K2713">
        <v>70716</v>
      </c>
      <c r="L2713">
        <f t="shared" si="253"/>
        <v>18.757005628146402</v>
      </c>
      <c r="M2713">
        <v>5893</v>
      </c>
      <c r="N2713" s="2">
        <f t="shared" si="258"/>
        <v>225.08406753775685</v>
      </c>
      <c r="O2713">
        <v>12</v>
      </c>
    </row>
    <row r="2714" spans="1:15" x14ac:dyDescent="0.25">
      <c r="A2714" t="s">
        <v>46</v>
      </c>
      <c r="B2714" t="s">
        <v>16</v>
      </c>
      <c r="C2714" t="s">
        <v>40</v>
      </c>
      <c r="D2714" t="str">
        <f t="shared" si="254"/>
        <v>FAB3_1L  Desl Deslactosada</v>
      </c>
      <c r="E2714">
        <v>2022</v>
      </c>
      <c r="F2714">
        <v>33</v>
      </c>
      <c r="G2714">
        <f t="shared" si="255"/>
        <v>8</v>
      </c>
      <c r="H2714" s="1">
        <f t="shared" si="256"/>
        <v>44788</v>
      </c>
      <c r="I2714" s="1">
        <f t="shared" si="257"/>
        <v>44774</v>
      </c>
      <c r="J2714">
        <v>1316055.4400000006</v>
      </c>
      <c r="K2714">
        <v>70608</v>
      </c>
      <c r="L2714">
        <f t="shared" si="253"/>
        <v>18.638899841377757</v>
      </c>
      <c r="M2714">
        <v>5884</v>
      </c>
      <c r="N2714" s="2">
        <f t="shared" si="258"/>
        <v>223.66679809653309</v>
      </c>
      <c r="O2714">
        <v>12</v>
      </c>
    </row>
    <row r="2715" spans="1:15" x14ac:dyDescent="0.25">
      <c r="A2715" t="s">
        <v>46</v>
      </c>
      <c r="B2715" t="s">
        <v>16</v>
      </c>
      <c r="C2715" t="s">
        <v>40</v>
      </c>
      <c r="D2715" t="str">
        <f t="shared" si="254"/>
        <v>FAB3_1L  Desl Deslactosada</v>
      </c>
      <c r="E2715">
        <v>2022</v>
      </c>
      <c r="F2715">
        <v>34</v>
      </c>
      <c r="G2715">
        <f t="shared" si="255"/>
        <v>8</v>
      </c>
      <c r="H2715" s="1">
        <f t="shared" si="256"/>
        <v>44795</v>
      </c>
      <c r="I2715" s="1">
        <f t="shared" si="257"/>
        <v>44774</v>
      </c>
      <c r="J2715">
        <v>1423179.9600000004</v>
      </c>
      <c r="K2715">
        <v>75408</v>
      </c>
      <c r="L2715">
        <f t="shared" si="253"/>
        <v>18.873063335455129</v>
      </c>
      <c r="M2715">
        <v>6284</v>
      </c>
      <c r="N2715" s="2">
        <f t="shared" si="258"/>
        <v>226.47676002546154</v>
      </c>
      <c r="O2715">
        <v>12</v>
      </c>
    </row>
    <row r="2716" spans="1:15" x14ac:dyDescent="0.25">
      <c r="A2716" t="s">
        <v>46</v>
      </c>
      <c r="B2716" t="s">
        <v>16</v>
      </c>
      <c r="C2716" t="s">
        <v>40</v>
      </c>
      <c r="D2716" t="str">
        <f t="shared" si="254"/>
        <v>FAB3_1L  Desl Deslactosada</v>
      </c>
      <c r="E2716">
        <v>2022</v>
      </c>
      <c r="F2716">
        <v>35</v>
      </c>
      <c r="G2716">
        <f t="shared" si="255"/>
        <v>9</v>
      </c>
      <c r="H2716" s="1">
        <f t="shared" si="256"/>
        <v>44802</v>
      </c>
      <c r="I2716" s="1">
        <f t="shared" si="257"/>
        <v>44805</v>
      </c>
      <c r="J2716">
        <v>1139208.5000000002</v>
      </c>
      <c r="K2716">
        <v>56568</v>
      </c>
      <c r="L2716">
        <f t="shared" si="253"/>
        <v>20.138744519869896</v>
      </c>
      <c r="M2716">
        <v>4714</v>
      </c>
      <c r="N2716" s="2">
        <f t="shared" si="258"/>
        <v>241.66493423843875</v>
      </c>
      <c r="O2716">
        <v>12</v>
      </c>
    </row>
    <row r="2717" spans="1:15" x14ac:dyDescent="0.25">
      <c r="A2717" t="s">
        <v>46</v>
      </c>
      <c r="B2717" t="s">
        <v>16</v>
      </c>
      <c r="C2717" t="s">
        <v>40</v>
      </c>
      <c r="D2717" t="str">
        <f t="shared" si="254"/>
        <v>FAB3_1L  Desl Deslactosada</v>
      </c>
      <c r="E2717">
        <v>2022</v>
      </c>
      <c r="F2717">
        <v>36</v>
      </c>
      <c r="G2717">
        <f t="shared" si="255"/>
        <v>9</v>
      </c>
      <c r="H2717" s="1">
        <f t="shared" si="256"/>
        <v>44809</v>
      </c>
      <c r="I2717" s="1">
        <f t="shared" si="257"/>
        <v>44805</v>
      </c>
      <c r="J2717">
        <v>1488354.81</v>
      </c>
      <c r="K2717">
        <v>78240</v>
      </c>
      <c r="L2717">
        <f t="shared" si="253"/>
        <v>19.022939800613496</v>
      </c>
      <c r="M2717">
        <v>6520</v>
      </c>
      <c r="N2717" s="2">
        <f t="shared" si="258"/>
        <v>228.27527760736197</v>
      </c>
      <c r="O2717">
        <v>12</v>
      </c>
    </row>
    <row r="2718" spans="1:15" x14ac:dyDescent="0.25">
      <c r="A2718" t="s">
        <v>46</v>
      </c>
      <c r="B2718" t="s">
        <v>16</v>
      </c>
      <c r="C2718" t="s">
        <v>40</v>
      </c>
      <c r="D2718" t="str">
        <f t="shared" si="254"/>
        <v>FAB3_1L  Desl Deslactosada</v>
      </c>
      <c r="E2718">
        <v>2022</v>
      </c>
      <c r="F2718">
        <v>37</v>
      </c>
      <c r="G2718">
        <f t="shared" si="255"/>
        <v>9</v>
      </c>
      <c r="H2718" s="1">
        <f t="shared" si="256"/>
        <v>44816</v>
      </c>
      <c r="I2718" s="1">
        <f t="shared" si="257"/>
        <v>44805</v>
      </c>
      <c r="J2718">
        <v>1187745.32</v>
      </c>
      <c r="K2718">
        <v>62928</v>
      </c>
      <c r="L2718">
        <f t="shared" si="253"/>
        <v>18.874671370455125</v>
      </c>
      <c r="M2718">
        <v>5244</v>
      </c>
      <c r="N2718" s="2">
        <f t="shared" si="258"/>
        <v>226.49605644546151</v>
      </c>
      <c r="O2718">
        <v>12</v>
      </c>
    </row>
    <row r="2719" spans="1:15" x14ac:dyDescent="0.25">
      <c r="A2719" t="s">
        <v>46</v>
      </c>
      <c r="B2719" t="s">
        <v>16</v>
      </c>
      <c r="C2719" t="s">
        <v>40</v>
      </c>
      <c r="D2719" t="str">
        <f t="shared" si="254"/>
        <v>FAB3_1L  Desl Deslactosada</v>
      </c>
      <c r="E2719">
        <v>2022</v>
      </c>
      <c r="F2719">
        <v>38</v>
      </c>
      <c r="G2719">
        <f t="shared" si="255"/>
        <v>9</v>
      </c>
      <c r="H2719" s="1">
        <f t="shared" si="256"/>
        <v>44823</v>
      </c>
      <c r="I2719" s="1">
        <f t="shared" si="257"/>
        <v>44805</v>
      </c>
      <c r="J2719">
        <v>985838.27000000037</v>
      </c>
      <c r="K2719">
        <v>48600</v>
      </c>
      <c r="L2719">
        <f t="shared" si="253"/>
        <v>20.28473806584363</v>
      </c>
      <c r="M2719">
        <v>4050</v>
      </c>
      <c r="N2719" s="2">
        <f t="shared" si="258"/>
        <v>243.41685679012355</v>
      </c>
      <c r="O2719">
        <v>12</v>
      </c>
    </row>
    <row r="2720" spans="1:15" x14ac:dyDescent="0.25">
      <c r="A2720" t="s">
        <v>46</v>
      </c>
      <c r="B2720" t="s">
        <v>16</v>
      </c>
      <c r="C2720" t="s">
        <v>40</v>
      </c>
      <c r="D2720" t="str">
        <f t="shared" si="254"/>
        <v>FAB3_1L  Desl Deslactosada</v>
      </c>
      <c r="E2720">
        <v>2022</v>
      </c>
      <c r="F2720">
        <v>39</v>
      </c>
      <c r="G2720">
        <f t="shared" si="255"/>
        <v>9</v>
      </c>
      <c r="H2720" s="1">
        <f t="shared" si="256"/>
        <v>44830</v>
      </c>
      <c r="I2720" s="1">
        <f t="shared" si="257"/>
        <v>44805</v>
      </c>
      <c r="J2720">
        <v>1002827.2200000007</v>
      </c>
      <c r="K2720">
        <v>48756</v>
      </c>
      <c r="L2720">
        <f t="shared" si="253"/>
        <v>20.568283288210697</v>
      </c>
      <c r="M2720">
        <v>4063</v>
      </c>
      <c r="N2720" s="2">
        <f t="shared" si="258"/>
        <v>246.81939945852835</v>
      </c>
      <c r="O2720">
        <v>12</v>
      </c>
    </row>
    <row r="2721" spans="1:15" x14ac:dyDescent="0.25">
      <c r="A2721" t="s">
        <v>46</v>
      </c>
      <c r="B2721" t="s">
        <v>16</v>
      </c>
      <c r="C2721" t="s">
        <v>40</v>
      </c>
      <c r="D2721" t="str">
        <f t="shared" si="254"/>
        <v>FAB3_1L  Desl Deslactosada</v>
      </c>
      <c r="E2721">
        <v>2022</v>
      </c>
      <c r="F2721">
        <v>40</v>
      </c>
      <c r="G2721">
        <f t="shared" si="255"/>
        <v>10</v>
      </c>
      <c r="H2721" s="1">
        <f t="shared" si="256"/>
        <v>44837</v>
      </c>
      <c r="I2721" s="1">
        <f t="shared" si="257"/>
        <v>44835</v>
      </c>
      <c r="J2721">
        <v>1610136.5600000003</v>
      </c>
      <c r="K2721">
        <v>86940</v>
      </c>
      <c r="L2721">
        <f t="shared" si="253"/>
        <v>18.520089256958826</v>
      </c>
      <c r="M2721">
        <v>7245</v>
      </c>
      <c r="N2721" s="2">
        <f t="shared" si="258"/>
        <v>222.24107108350591</v>
      </c>
      <c r="O2721">
        <v>12</v>
      </c>
    </row>
    <row r="2722" spans="1:15" x14ac:dyDescent="0.25">
      <c r="A2722" t="s">
        <v>46</v>
      </c>
      <c r="B2722" t="s">
        <v>16</v>
      </c>
      <c r="C2722" t="s">
        <v>40</v>
      </c>
      <c r="D2722" t="str">
        <f t="shared" si="254"/>
        <v>FAB3_1L  Desl Deslactosada</v>
      </c>
      <c r="E2722">
        <v>2022</v>
      </c>
      <c r="F2722">
        <v>40</v>
      </c>
      <c r="G2722">
        <f t="shared" si="255"/>
        <v>10</v>
      </c>
      <c r="H2722" s="1">
        <f t="shared" si="256"/>
        <v>44837</v>
      </c>
      <c r="I2722" s="1">
        <f t="shared" si="257"/>
        <v>44835</v>
      </c>
      <c r="J2722">
        <v>160370.13999999998</v>
      </c>
      <c r="K2722">
        <v>8136</v>
      </c>
      <c r="L2722">
        <f t="shared" si="253"/>
        <v>19.711177482792525</v>
      </c>
      <c r="M2722">
        <v>678</v>
      </c>
      <c r="N2722" s="2">
        <f t="shared" si="258"/>
        <v>236.53412979351029</v>
      </c>
      <c r="O2722">
        <v>12</v>
      </c>
    </row>
    <row r="2723" spans="1:15" x14ac:dyDescent="0.25">
      <c r="A2723" t="s">
        <v>46</v>
      </c>
      <c r="B2723" t="s">
        <v>16</v>
      </c>
      <c r="C2723" t="s">
        <v>40</v>
      </c>
      <c r="D2723" t="str">
        <f t="shared" si="254"/>
        <v>FAB3_1L  Desl Deslactosada</v>
      </c>
      <c r="E2723">
        <v>2022</v>
      </c>
      <c r="F2723">
        <v>41</v>
      </c>
      <c r="G2723">
        <f t="shared" si="255"/>
        <v>10</v>
      </c>
      <c r="H2723" s="1">
        <f t="shared" si="256"/>
        <v>44844</v>
      </c>
      <c r="I2723" s="1">
        <f t="shared" si="257"/>
        <v>44835</v>
      </c>
      <c r="J2723">
        <v>494700.74999999988</v>
      </c>
      <c r="K2723">
        <v>25272</v>
      </c>
      <c r="L2723">
        <f t="shared" si="253"/>
        <v>19.575053418803414</v>
      </c>
      <c r="M2723">
        <v>2106</v>
      </c>
      <c r="N2723" s="2">
        <f t="shared" si="258"/>
        <v>234.90064102564097</v>
      </c>
      <c r="O2723">
        <v>12</v>
      </c>
    </row>
    <row r="2724" spans="1:15" x14ac:dyDescent="0.25">
      <c r="A2724" t="s">
        <v>46</v>
      </c>
      <c r="B2724" t="s">
        <v>16</v>
      </c>
      <c r="C2724" t="s">
        <v>40</v>
      </c>
      <c r="D2724" t="str">
        <f t="shared" si="254"/>
        <v>FAB3_1L  Desl Deslactosada</v>
      </c>
      <c r="E2724">
        <v>2022</v>
      </c>
      <c r="F2724">
        <v>41</v>
      </c>
      <c r="G2724">
        <f t="shared" si="255"/>
        <v>10</v>
      </c>
      <c r="H2724" s="1">
        <f t="shared" si="256"/>
        <v>44844</v>
      </c>
      <c r="I2724" s="1">
        <f t="shared" si="257"/>
        <v>44835</v>
      </c>
      <c r="J2724">
        <v>1020203.01</v>
      </c>
      <c r="K2724">
        <v>53760</v>
      </c>
      <c r="L2724">
        <f t="shared" si="253"/>
        <v>18.976990513392856</v>
      </c>
      <c r="M2724">
        <v>4480</v>
      </c>
      <c r="N2724" s="2">
        <f t="shared" si="258"/>
        <v>227.7238861607143</v>
      </c>
      <c r="O2724">
        <v>12</v>
      </c>
    </row>
    <row r="2725" spans="1:15" x14ac:dyDescent="0.25">
      <c r="A2725" t="s">
        <v>46</v>
      </c>
      <c r="B2725" t="s">
        <v>16</v>
      </c>
      <c r="C2725" t="s">
        <v>40</v>
      </c>
      <c r="D2725" t="str">
        <f t="shared" si="254"/>
        <v>FAB3_1L  Desl Deslactosada</v>
      </c>
      <c r="E2725">
        <v>2022</v>
      </c>
      <c r="F2725">
        <v>42</v>
      </c>
      <c r="G2725">
        <f t="shared" si="255"/>
        <v>10</v>
      </c>
      <c r="H2725" s="1">
        <f t="shared" si="256"/>
        <v>44851</v>
      </c>
      <c r="I2725" s="1">
        <f t="shared" si="257"/>
        <v>44835</v>
      </c>
      <c r="J2725">
        <v>226125.99</v>
      </c>
      <c r="K2725">
        <v>11316</v>
      </c>
      <c r="L2725">
        <f t="shared" si="253"/>
        <v>19.982855249204665</v>
      </c>
      <c r="M2725">
        <v>943</v>
      </c>
      <c r="N2725" s="2">
        <f t="shared" si="258"/>
        <v>239.79426299045599</v>
      </c>
      <c r="O2725">
        <v>12</v>
      </c>
    </row>
    <row r="2726" spans="1:15" x14ac:dyDescent="0.25">
      <c r="A2726" t="s">
        <v>46</v>
      </c>
      <c r="B2726" t="s">
        <v>16</v>
      </c>
      <c r="C2726" t="s">
        <v>40</v>
      </c>
      <c r="D2726" t="str">
        <f t="shared" si="254"/>
        <v>FAB3_1L  Desl Deslactosada</v>
      </c>
      <c r="E2726">
        <v>2022</v>
      </c>
      <c r="F2726">
        <v>42</v>
      </c>
      <c r="G2726">
        <f t="shared" si="255"/>
        <v>10</v>
      </c>
      <c r="H2726" s="1">
        <f t="shared" si="256"/>
        <v>44851</v>
      </c>
      <c r="I2726" s="1">
        <f t="shared" si="257"/>
        <v>44835</v>
      </c>
      <c r="J2726">
        <v>780582.17000000016</v>
      </c>
      <c r="K2726">
        <v>38688</v>
      </c>
      <c r="L2726">
        <f t="shared" si="253"/>
        <v>20.176338141025646</v>
      </c>
      <c r="M2726">
        <v>3224</v>
      </c>
      <c r="N2726" s="2">
        <f t="shared" si="258"/>
        <v>242.11605769230775</v>
      </c>
      <c r="O2726">
        <v>12</v>
      </c>
    </row>
    <row r="2727" spans="1:15" x14ac:dyDescent="0.25">
      <c r="A2727" t="s">
        <v>46</v>
      </c>
      <c r="B2727" t="s">
        <v>16</v>
      </c>
      <c r="C2727" t="s">
        <v>40</v>
      </c>
      <c r="D2727" t="str">
        <f t="shared" si="254"/>
        <v>FAB3_1L  Desl Deslactosada</v>
      </c>
      <c r="E2727">
        <v>2022</v>
      </c>
      <c r="F2727">
        <v>43</v>
      </c>
      <c r="G2727">
        <f t="shared" si="255"/>
        <v>10</v>
      </c>
      <c r="H2727" s="1">
        <f t="shared" si="256"/>
        <v>44858</v>
      </c>
      <c r="I2727" s="1">
        <f t="shared" si="257"/>
        <v>44835</v>
      </c>
      <c r="J2727">
        <v>83530.52</v>
      </c>
      <c r="K2727">
        <v>3984</v>
      </c>
      <c r="L2727">
        <f t="shared" si="253"/>
        <v>20.966495983935744</v>
      </c>
      <c r="M2727">
        <v>332</v>
      </c>
      <c r="N2727" s="2">
        <f t="shared" si="258"/>
        <v>251.59795180722892</v>
      </c>
      <c r="O2727">
        <v>12</v>
      </c>
    </row>
    <row r="2728" spans="1:15" x14ac:dyDescent="0.25">
      <c r="A2728" t="s">
        <v>46</v>
      </c>
      <c r="B2728" t="s">
        <v>16</v>
      </c>
      <c r="C2728" t="s">
        <v>40</v>
      </c>
      <c r="D2728" t="str">
        <f t="shared" si="254"/>
        <v>FAB3_1L  Desl Deslactosada</v>
      </c>
      <c r="E2728">
        <v>2022</v>
      </c>
      <c r="F2728">
        <v>43</v>
      </c>
      <c r="G2728">
        <f t="shared" si="255"/>
        <v>10</v>
      </c>
      <c r="H2728" s="1">
        <f t="shared" si="256"/>
        <v>44858</v>
      </c>
      <c r="I2728" s="1">
        <f t="shared" si="257"/>
        <v>44835</v>
      </c>
      <c r="J2728">
        <v>719047.20000000007</v>
      </c>
      <c r="K2728">
        <v>34356</v>
      </c>
      <c r="L2728">
        <f t="shared" si="253"/>
        <v>20.929304924903949</v>
      </c>
      <c r="M2728">
        <v>2863</v>
      </c>
      <c r="N2728" s="2">
        <f t="shared" si="258"/>
        <v>251.15165909884738</v>
      </c>
      <c r="O2728">
        <v>12</v>
      </c>
    </row>
    <row r="2729" spans="1:15" x14ac:dyDescent="0.25">
      <c r="A2729" t="s">
        <v>46</v>
      </c>
      <c r="B2729" t="s">
        <v>16</v>
      </c>
      <c r="C2729" t="s">
        <v>40</v>
      </c>
      <c r="D2729" t="str">
        <f t="shared" si="254"/>
        <v>FAB3_1L  Desl Deslactosada</v>
      </c>
      <c r="E2729">
        <v>2022</v>
      </c>
      <c r="F2729">
        <v>44</v>
      </c>
      <c r="G2729">
        <f t="shared" si="255"/>
        <v>11</v>
      </c>
      <c r="H2729" s="1">
        <f t="shared" si="256"/>
        <v>44865</v>
      </c>
      <c r="I2729" s="1">
        <f t="shared" si="257"/>
        <v>44866</v>
      </c>
      <c r="J2729">
        <v>84621.64</v>
      </c>
      <c r="K2729">
        <v>4044</v>
      </c>
      <c r="L2729">
        <f t="shared" si="253"/>
        <v>20.925232443125619</v>
      </c>
      <c r="M2729">
        <v>337</v>
      </c>
      <c r="N2729" s="2">
        <f t="shared" si="258"/>
        <v>251.10278931750742</v>
      </c>
      <c r="O2729">
        <v>12</v>
      </c>
    </row>
    <row r="2730" spans="1:15" x14ac:dyDescent="0.25">
      <c r="A2730" t="s">
        <v>46</v>
      </c>
      <c r="B2730" t="s">
        <v>16</v>
      </c>
      <c r="C2730" t="s">
        <v>40</v>
      </c>
      <c r="D2730" t="str">
        <f t="shared" si="254"/>
        <v>FAB3_1L  Desl Deslactosada</v>
      </c>
      <c r="E2730">
        <v>2022</v>
      </c>
      <c r="F2730">
        <v>44</v>
      </c>
      <c r="G2730">
        <f t="shared" si="255"/>
        <v>11</v>
      </c>
      <c r="H2730" s="1">
        <f t="shared" si="256"/>
        <v>44865</v>
      </c>
      <c r="I2730" s="1">
        <f t="shared" si="257"/>
        <v>44866</v>
      </c>
      <c r="J2730">
        <v>803756.84000000008</v>
      </c>
      <c r="K2730">
        <v>38412</v>
      </c>
      <c r="L2730">
        <f t="shared" si="253"/>
        <v>20.924628761845259</v>
      </c>
      <c r="M2730">
        <v>3201</v>
      </c>
      <c r="N2730" s="2">
        <f t="shared" si="258"/>
        <v>251.0955451421431</v>
      </c>
      <c r="O2730">
        <v>12</v>
      </c>
    </row>
    <row r="2731" spans="1:15" x14ac:dyDescent="0.25">
      <c r="A2731" t="s">
        <v>46</v>
      </c>
      <c r="B2731" t="s">
        <v>16</v>
      </c>
      <c r="C2731" t="s">
        <v>40</v>
      </c>
      <c r="D2731" t="str">
        <f t="shared" si="254"/>
        <v>FAB3_1L  Desl Deslactosada</v>
      </c>
      <c r="E2731">
        <v>2022</v>
      </c>
      <c r="F2731">
        <v>45</v>
      </c>
      <c r="G2731">
        <f t="shared" si="255"/>
        <v>11</v>
      </c>
      <c r="H2731" s="1">
        <f t="shared" si="256"/>
        <v>44872</v>
      </c>
      <c r="I2731" s="1">
        <f t="shared" si="257"/>
        <v>44866</v>
      </c>
      <c r="J2731">
        <v>51324.62</v>
      </c>
      <c r="K2731">
        <v>2472</v>
      </c>
      <c r="L2731">
        <f t="shared" si="253"/>
        <v>20.762386731391587</v>
      </c>
      <c r="M2731">
        <v>206</v>
      </c>
      <c r="N2731" s="2">
        <f t="shared" si="258"/>
        <v>249.14864077669904</v>
      </c>
      <c r="O2731">
        <v>12</v>
      </c>
    </row>
    <row r="2732" spans="1:15" x14ac:dyDescent="0.25">
      <c r="A2732" t="s">
        <v>46</v>
      </c>
      <c r="B2732" t="s">
        <v>16</v>
      </c>
      <c r="C2732" t="s">
        <v>40</v>
      </c>
      <c r="D2732" t="str">
        <f t="shared" si="254"/>
        <v>FAB3_1L  Desl Deslactosada</v>
      </c>
      <c r="E2732">
        <v>2022</v>
      </c>
      <c r="F2732">
        <v>45</v>
      </c>
      <c r="G2732">
        <f t="shared" si="255"/>
        <v>11</v>
      </c>
      <c r="H2732" s="1">
        <f t="shared" si="256"/>
        <v>44872</v>
      </c>
      <c r="I2732" s="1">
        <f t="shared" si="257"/>
        <v>44866</v>
      </c>
      <c r="J2732">
        <v>659178.16</v>
      </c>
      <c r="K2732">
        <v>31512</v>
      </c>
      <c r="L2732">
        <f t="shared" si="253"/>
        <v>20.918321909113988</v>
      </c>
      <c r="M2732">
        <v>2626</v>
      </c>
      <c r="N2732" s="2">
        <f t="shared" si="258"/>
        <v>251.01986290936787</v>
      </c>
      <c r="O2732">
        <v>12</v>
      </c>
    </row>
    <row r="2733" spans="1:15" x14ac:dyDescent="0.25">
      <c r="A2733" t="s">
        <v>46</v>
      </c>
      <c r="B2733" t="s">
        <v>16</v>
      </c>
      <c r="C2733" t="s">
        <v>40</v>
      </c>
      <c r="D2733" t="str">
        <f t="shared" si="254"/>
        <v>FAB3_1L  Desl Deslactosada</v>
      </c>
      <c r="E2733">
        <v>2022</v>
      </c>
      <c r="F2733">
        <v>46</v>
      </c>
      <c r="G2733">
        <f t="shared" si="255"/>
        <v>11</v>
      </c>
      <c r="H2733" s="1">
        <f t="shared" si="256"/>
        <v>44879</v>
      </c>
      <c r="I2733" s="1">
        <f t="shared" si="257"/>
        <v>44866</v>
      </c>
      <c r="J2733">
        <v>13052</v>
      </c>
      <c r="K2733">
        <v>624</v>
      </c>
      <c r="L2733">
        <f t="shared" si="253"/>
        <v>20.916666666666668</v>
      </c>
      <c r="M2733">
        <v>52</v>
      </c>
      <c r="N2733" s="2">
        <f t="shared" si="258"/>
        <v>251</v>
      </c>
      <c r="O2733">
        <v>12</v>
      </c>
    </row>
    <row r="2734" spans="1:15" x14ac:dyDescent="0.25">
      <c r="A2734" t="s">
        <v>46</v>
      </c>
      <c r="B2734" t="s">
        <v>16</v>
      </c>
      <c r="C2734" t="s">
        <v>40</v>
      </c>
      <c r="D2734" t="str">
        <f t="shared" si="254"/>
        <v>FAB3_1L  Desl Deslactosada</v>
      </c>
      <c r="E2734">
        <v>2022</v>
      </c>
      <c r="F2734">
        <v>46</v>
      </c>
      <c r="G2734">
        <f t="shared" si="255"/>
        <v>11</v>
      </c>
      <c r="H2734" s="1">
        <f t="shared" si="256"/>
        <v>44879</v>
      </c>
      <c r="I2734" s="1">
        <f t="shared" si="257"/>
        <v>44866</v>
      </c>
      <c r="J2734">
        <v>1222324.9500000009</v>
      </c>
      <c r="K2734">
        <v>59112</v>
      </c>
      <c r="L2734">
        <f t="shared" si="253"/>
        <v>20.678118656110449</v>
      </c>
      <c r="M2734">
        <v>4926</v>
      </c>
      <c r="N2734" s="2">
        <f t="shared" si="258"/>
        <v>248.13742387332539</v>
      </c>
      <c r="O2734">
        <v>12</v>
      </c>
    </row>
    <row r="2735" spans="1:15" x14ac:dyDescent="0.25">
      <c r="A2735" t="s">
        <v>46</v>
      </c>
      <c r="B2735" t="s">
        <v>16</v>
      </c>
      <c r="C2735" t="s">
        <v>40</v>
      </c>
      <c r="D2735" t="str">
        <f t="shared" si="254"/>
        <v>FAB3_1L  Desl Deslactosada</v>
      </c>
      <c r="E2735">
        <v>2022</v>
      </c>
      <c r="F2735">
        <v>47</v>
      </c>
      <c r="G2735">
        <f t="shared" si="255"/>
        <v>11</v>
      </c>
      <c r="H2735" s="1">
        <f t="shared" si="256"/>
        <v>44886</v>
      </c>
      <c r="I2735" s="1">
        <f t="shared" si="257"/>
        <v>44866</v>
      </c>
      <c r="J2735">
        <v>9538</v>
      </c>
      <c r="K2735">
        <v>456</v>
      </c>
      <c r="L2735">
        <f t="shared" si="253"/>
        <v>20.916666666666668</v>
      </c>
      <c r="M2735">
        <v>38</v>
      </c>
      <c r="N2735" s="2">
        <f t="shared" si="258"/>
        <v>251</v>
      </c>
      <c r="O2735">
        <v>12</v>
      </c>
    </row>
    <row r="2736" spans="1:15" x14ac:dyDescent="0.25">
      <c r="A2736" t="s">
        <v>46</v>
      </c>
      <c r="B2736" t="s">
        <v>16</v>
      </c>
      <c r="C2736" t="s">
        <v>40</v>
      </c>
      <c r="D2736" t="str">
        <f t="shared" si="254"/>
        <v>FAB3_1L  Desl Deslactosada</v>
      </c>
      <c r="E2736">
        <v>2022</v>
      </c>
      <c r="F2736">
        <v>47</v>
      </c>
      <c r="G2736">
        <f t="shared" si="255"/>
        <v>11</v>
      </c>
      <c r="H2736" s="1">
        <f t="shared" si="256"/>
        <v>44886</v>
      </c>
      <c r="I2736" s="1">
        <f t="shared" si="257"/>
        <v>44866</v>
      </c>
      <c r="J2736">
        <v>996678.27000000048</v>
      </c>
      <c r="K2736">
        <v>47640</v>
      </c>
      <c r="L2736">
        <f t="shared" si="253"/>
        <v>20.921038413098248</v>
      </c>
      <c r="M2736">
        <v>3970</v>
      </c>
      <c r="N2736" s="2">
        <f t="shared" si="258"/>
        <v>251.05246095717897</v>
      </c>
      <c r="O2736">
        <v>12</v>
      </c>
    </row>
    <row r="2737" spans="1:15" x14ac:dyDescent="0.25">
      <c r="A2737" t="s">
        <v>46</v>
      </c>
      <c r="B2737" t="s">
        <v>16</v>
      </c>
      <c r="C2737" t="s">
        <v>40</v>
      </c>
      <c r="D2737" t="str">
        <f t="shared" si="254"/>
        <v>FAB3_1L  Desl Deslactosada</v>
      </c>
      <c r="E2737">
        <v>2022</v>
      </c>
      <c r="F2737">
        <v>48</v>
      </c>
      <c r="G2737">
        <f t="shared" si="255"/>
        <v>12</v>
      </c>
      <c r="H2737" s="1">
        <f t="shared" si="256"/>
        <v>44893</v>
      </c>
      <c r="I2737" s="1">
        <f t="shared" si="257"/>
        <v>44896</v>
      </c>
      <c r="J2737">
        <v>5522</v>
      </c>
      <c r="K2737">
        <v>264</v>
      </c>
      <c r="L2737">
        <f t="shared" si="253"/>
        <v>20.916666666666668</v>
      </c>
      <c r="M2737">
        <v>22</v>
      </c>
      <c r="N2737" s="2">
        <f t="shared" si="258"/>
        <v>251</v>
      </c>
      <c r="O2737">
        <v>12</v>
      </c>
    </row>
    <row r="2738" spans="1:15" x14ac:dyDescent="0.25">
      <c r="A2738" t="s">
        <v>46</v>
      </c>
      <c r="B2738" t="s">
        <v>16</v>
      </c>
      <c r="C2738" t="s">
        <v>40</v>
      </c>
      <c r="D2738" t="str">
        <f t="shared" si="254"/>
        <v>FAB3_1L  Desl Deslactosada</v>
      </c>
      <c r="E2738">
        <v>2022</v>
      </c>
      <c r="F2738">
        <v>48</v>
      </c>
      <c r="G2738">
        <f t="shared" si="255"/>
        <v>12</v>
      </c>
      <c r="H2738" s="1">
        <f t="shared" si="256"/>
        <v>44893</v>
      </c>
      <c r="I2738" s="1">
        <f t="shared" si="257"/>
        <v>44896</v>
      </c>
      <c r="J2738">
        <v>782683.15000000026</v>
      </c>
      <c r="K2738">
        <v>37416</v>
      </c>
      <c r="L2738">
        <f t="shared" si="253"/>
        <v>20.918407900363487</v>
      </c>
      <c r="M2738">
        <v>3118</v>
      </c>
      <c r="N2738" s="2">
        <f t="shared" si="258"/>
        <v>251.02089480436186</v>
      </c>
      <c r="O2738">
        <v>12</v>
      </c>
    </row>
    <row r="2739" spans="1:15" x14ac:dyDescent="0.25">
      <c r="A2739" t="s">
        <v>46</v>
      </c>
      <c r="B2739" t="s">
        <v>16</v>
      </c>
      <c r="C2739" t="s">
        <v>40</v>
      </c>
      <c r="D2739" t="str">
        <f t="shared" si="254"/>
        <v>FAB3_1L  Desl Deslactosada</v>
      </c>
      <c r="E2739">
        <v>2022</v>
      </c>
      <c r="F2739">
        <v>49</v>
      </c>
      <c r="G2739">
        <f t="shared" si="255"/>
        <v>12</v>
      </c>
      <c r="H2739" s="1">
        <f t="shared" si="256"/>
        <v>44900</v>
      </c>
      <c r="I2739" s="1">
        <f t="shared" si="257"/>
        <v>44896</v>
      </c>
      <c r="J2739">
        <v>3012</v>
      </c>
      <c r="K2739">
        <v>144</v>
      </c>
      <c r="L2739">
        <f t="shared" si="253"/>
        <v>20.916666666666668</v>
      </c>
      <c r="M2739">
        <v>12</v>
      </c>
      <c r="N2739" s="2">
        <f t="shared" si="258"/>
        <v>251</v>
      </c>
      <c r="O2739">
        <v>12</v>
      </c>
    </row>
    <row r="2740" spans="1:15" x14ac:dyDescent="0.25">
      <c r="A2740" t="s">
        <v>46</v>
      </c>
      <c r="B2740" t="s">
        <v>16</v>
      </c>
      <c r="C2740" t="s">
        <v>40</v>
      </c>
      <c r="D2740" t="str">
        <f t="shared" si="254"/>
        <v>FAB3_1L  Desl Deslactosada</v>
      </c>
      <c r="E2740">
        <v>2022</v>
      </c>
      <c r="F2740">
        <v>49</v>
      </c>
      <c r="G2740">
        <f t="shared" si="255"/>
        <v>12</v>
      </c>
      <c r="H2740" s="1">
        <f t="shared" si="256"/>
        <v>44900</v>
      </c>
      <c r="I2740" s="1">
        <f t="shared" si="257"/>
        <v>44896</v>
      </c>
      <c r="J2740">
        <v>1401255.4200000009</v>
      </c>
      <c r="K2740">
        <v>68880</v>
      </c>
      <c r="L2740">
        <f t="shared" si="253"/>
        <v>20.343429442508722</v>
      </c>
      <c r="M2740">
        <v>5740</v>
      </c>
      <c r="N2740" s="2">
        <f t="shared" si="258"/>
        <v>244.12115331010469</v>
      </c>
      <c r="O2740">
        <v>12</v>
      </c>
    </row>
    <row r="2741" spans="1:15" x14ac:dyDescent="0.25">
      <c r="A2741" t="s">
        <v>46</v>
      </c>
      <c r="B2741" t="s">
        <v>16</v>
      </c>
      <c r="C2741" t="s">
        <v>40</v>
      </c>
      <c r="D2741" t="str">
        <f t="shared" si="254"/>
        <v>FAB3_1L  Desl Deslactosada</v>
      </c>
      <c r="E2741">
        <v>2022</v>
      </c>
      <c r="F2741">
        <v>50</v>
      </c>
      <c r="G2741">
        <f t="shared" si="255"/>
        <v>12</v>
      </c>
      <c r="H2741" s="1">
        <f t="shared" si="256"/>
        <v>44907</v>
      </c>
      <c r="I2741" s="1">
        <f t="shared" si="257"/>
        <v>44896</v>
      </c>
      <c r="J2741">
        <v>4016</v>
      </c>
      <c r="K2741">
        <v>192</v>
      </c>
      <c r="L2741">
        <f t="shared" si="253"/>
        <v>20.916666666666668</v>
      </c>
      <c r="M2741">
        <v>16</v>
      </c>
      <c r="N2741" s="2">
        <f t="shared" si="258"/>
        <v>251</v>
      </c>
      <c r="O2741">
        <v>12</v>
      </c>
    </row>
    <row r="2742" spans="1:15" x14ac:dyDescent="0.25">
      <c r="A2742" t="s">
        <v>46</v>
      </c>
      <c r="B2742" t="s">
        <v>16</v>
      </c>
      <c r="C2742" t="s">
        <v>40</v>
      </c>
      <c r="D2742" t="str">
        <f t="shared" si="254"/>
        <v>FAB3_1L  Desl Deslactosada</v>
      </c>
      <c r="E2742">
        <v>2022</v>
      </c>
      <c r="F2742">
        <v>50</v>
      </c>
      <c r="G2742">
        <f t="shared" si="255"/>
        <v>12</v>
      </c>
      <c r="H2742" s="1">
        <f t="shared" si="256"/>
        <v>44907</v>
      </c>
      <c r="I2742" s="1">
        <f t="shared" si="257"/>
        <v>44896</v>
      </c>
      <c r="J2742">
        <v>1286506.1600000011</v>
      </c>
      <c r="K2742">
        <v>62820</v>
      </c>
      <c r="L2742">
        <f t="shared" si="253"/>
        <v>20.479244826488397</v>
      </c>
      <c r="M2742">
        <v>5235</v>
      </c>
      <c r="N2742" s="2">
        <f t="shared" si="258"/>
        <v>245.75093791786077</v>
      </c>
      <c r="O2742">
        <v>12</v>
      </c>
    </row>
    <row r="2743" spans="1:15" x14ac:dyDescent="0.25">
      <c r="A2743" t="s">
        <v>46</v>
      </c>
      <c r="B2743" t="s">
        <v>16</v>
      </c>
      <c r="C2743" t="s">
        <v>40</v>
      </c>
      <c r="D2743" t="str">
        <f t="shared" si="254"/>
        <v>FAB3_1L  Desl Deslactosada</v>
      </c>
      <c r="E2743">
        <v>2022</v>
      </c>
      <c r="F2743">
        <v>51</v>
      </c>
      <c r="G2743">
        <f t="shared" si="255"/>
        <v>12</v>
      </c>
      <c r="H2743" s="1">
        <f t="shared" si="256"/>
        <v>44914</v>
      </c>
      <c r="I2743" s="1">
        <f t="shared" si="257"/>
        <v>44896</v>
      </c>
      <c r="J2743">
        <v>7279</v>
      </c>
      <c r="K2743">
        <v>348</v>
      </c>
      <c r="L2743">
        <f t="shared" si="253"/>
        <v>20.916666666666668</v>
      </c>
      <c r="M2743">
        <v>29</v>
      </c>
      <c r="N2743" s="2">
        <f t="shared" si="258"/>
        <v>251</v>
      </c>
      <c r="O2743">
        <v>12</v>
      </c>
    </row>
    <row r="2744" spans="1:15" x14ac:dyDescent="0.25">
      <c r="A2744" t="s">
        <v>46</v>
      </c>
      <c r="B2744" t="s">
        <v>16</v>
      </c>
      <c r="C2744" t="s">
        <v>40</v>
      </c>
      <c r="D2744" t="str">
        <f t="shared" si="254"/>
        <v>FAB3_1L  Desl Deslactosada</v>
      </c>
      <c r="E2744">
        <v>2022</v>
      </c>
      <c r="F2744">
        <v>51</v>
      </c>
      <c r="G2744">
        <f t="shared" si="255"/>
        <v>12</v>
      </c>
      <c r="H2744" s="1">
        <f t="shared" si="256"/>
        <v>44914</v>
      </c>
      <c r="I2744" s="1">
        <f t="shared" si="257"/>
        <v>44896</v>
      </c>
      <c r="J2744">
        <v>984214.35000000056</v>
      </c>
      <c r="K2744">
        <v>47028</v>
      </c>
      <c r="L2744">
        <f t="shared" si="253"/>
        <v>20.928262949732087</v>
      </c>
      <c r="M2744">
        <v>3919</v>
      </c>
      <c r="N2744" s="2">
        <f t="shared" si="258"/>
        <v>251.13915539678504</v>
      </c>
      <c r="O2744">
        <v>12</v>
      </c>
    </row>
    <row r="2745" spans="1:15" x14ac:dyDescent="0.25">
      <c r="A2745" t="s">
        <v>46</v>
      </c>
      <c r="B2745" t="s">
        <v>16</v>
      </c>
      <c r="C2745" t="s">
        <v>40</v>
      </c>
      <c r="D2745" t="str">
        <f t="shared" si="254"/>
        <v>FAB3_1L  Desl Deslactosada</v>
      </c>
      <c r="E2745">
        <v>2022</v>
      </c>
      <c r="F2745">
        <v>52</v>
      </c>
      <c r="G2745">
        <f t="shared" si="255"/>
        <v>12</v>
      </c>
      <c r="H2745" s="1">
        <f t="shared" si="256"/>
        <v>44921</v>
      </c>
      <c r="I2745" s="1">
        <f t="shared" si="257"/>
        <v>44896</v>
      </c>
      <c r="J2745">
        <v>2259</v>
      </c>
      <c r="K2745">
        <v>108</v>
      </c>
      <c r="L2745">
        <f t="shared" si="253"/>
        <v>20.916666666666668</v>
      </c>
      <c r="M2745">
        <v>9</v>
      </c>
      <c r="N2745" s="2">
        <f t="shared" si="258"/>
        <v>251</v>
      </c>
      <c r="O2745">
        <v>12</v>
      </c>
    </row>
    <row r="2746" spans="1:15" x14ac:dyDescent="0.25">
      <c r="A2746" t="s">
        <v>46</v>
      </c>
      <c r="B2746" t="s">
        <v>16</v>
      </c>
      <c r="C2746" t="s">
        <v>40</v>
      </c>
      <c r="D2746" t="str">
        <f t="shared" si="254"/>
        <v>FAB3_1L  Desl Deslactosada</v>
      </c>
      <c r="E2746">
        <v>2022</v>
      </c>
      <c r="F2746">
        <v>52</v>
      </c>
      <c r="G2746">
        <f t="shared" si="255"/>
        <v>12</v>
      </c>
      <c r="H2746" s="1">
        <f t="shared" si="256"/>
        <v>44921</v>
      </c>
      <c r="I2746" s="1">
        <f t="shared" si="257"/>
        <v>44896</v>
      </c>
      <c r="J2746">
        <v>1289237.6400000008</v>
      </c>
      <c r="K2746">
        <v>64512</v>
      </c>
      <c r="L2746">
        <f t="shared" si="253"/>
        <v>19.98446242559525</v>
      </c>
      <c r="M2746">
        <v>5376</v>
      </c>
      <c r="N2746" s="2">
        <f t="shared" si="258"/>
        <v>239.81354910714302</v>
      </c>
      <c r="O2746">
        <v>12</v>
      </c>
    </row>
    <row r="2747" spans="1:15" x14ac:dyDescent="0.25">
      <c r="A2747" t="s">
        <v>46</v>
      </c>
      <c r="B2747" t="s">
        <v>16</v>
      </c>
      <c r="C2747" t="s">
        <v>40</v>
      </c>
      <c r="D2747" t="str">
        <f t="shared" si="254"/>
        <v>FAB3_1L  Desl Deslactosada</v>
      </c>
      <c r="E2747">
        <v>2023</v>
      </c>
      <c r="F2747">
        <v>1</v>
      </c>
      <c r="G2747">
        <f t="shared" si="255"/>
        <v>1</v>
      </c>
      <c r="H2747" s="1">
        <f t="shared" si="256"/>
        <v>44928</v>
      </c>
      <c r="I2747" s="1">
        <f t="shared" si="257"/>
        <v>44927</v>
      </c>
      <c r="J2747">
        <v>929942.62</v>
      </c>
      <c r="K2747">
        <v>50484</v>
      </c>
      <c r="L2747">
        <f t="shared" si="253"/>
        <v>18.420541557721258</v>
      </c>
      <c r="M2747">
        <v>4207</v>
      </c>
      <c r="N2747" s="2">
        <f t="shared" si="258"/>
        <v>221.04649869265509</v>
      </c>
      <c r="O2747">
        <v>12</v>
      </c>
    </row>
    <row r="2748" spans="1:15" x14ac:dyDescent="0.25">
      <c r="A2748" t="s">
        <v>46</v>
      </c>
      <c r="B2748" t="s">
        <v>16</v>
      </c>
      <c r="C2748" t="s">
        <v>40</v>
      </c>
      <c r="D2748" t="str">
        <f t="shared" si="254"/>
        <v>FAB3_1L  Desl Deslactosada</v>
      </c>
      <c r="E2748">
        <v>2023</v>
      </c>
      <c r="F2748">
        <v>1</v>
      </c>
      <c r="G2748">
        <f t="shared" si="255"/>
        <v>1</v>
      </c>
      <c r="H2748" s="1">
        <f t="shared" si="256"/>
        <v>44928</v>
      </c>
      <c r="I2748" s="1">
        <f t="shared" si="257"/>
        <v>44927</v>
      </c>
      <c r="J2748">
        <v>1430271.1500000008</v>
      </c>
      <c r="K2748">
        <v>73044</v>
      </c>
      <c r="L2748">
        <f t="shared" si="253"/>
        <v>19.580953261048148</v>
      </c>
      <c r="M2748">
        <v>6087</v>
      </c>
      <c r="N2748" s="2">
        <f t="shared" si="258"/>
        <v>234.97143913257776</v>
      </c>
      <c r="O2748">
        <v>12</v>
      </c>
    </row>
    <row r="2749" spans="1:15" x14ac:dyDescent="0.25">
      <c r="A2749" t="s">
        <v>46</v>
      </c>
      <c r="B2749" t="s">
        <v>16</v>
      </c>
      <c r="C2749" t="s">
        <v>40</v>
      </c>
      <c r="D2749" t="str">
        <f t="shared" si="254"/>
        <v>FAB3_1L  Desl Deslactosada</v>
      </c>
      <c r="E2749">
        <v>2023</v>
      </c>
      <c r="F2749">
        <v>2</v>
      </c>
      <c r="G2749">
        <f t="shared" si="255"/>
        <v>1</v>
      </c>
      <c r="H2749" s="1">
        <f t="shared" si="256"/>
        <v>44935</v>
      </c>
      <c r="I2749" s="1">
        <f t="shared" si="257"/>
        <v>44927</v>
      </c>
      <c r="J2749">
        <v>2114310.0000000014</v>
      </c>
      <c r="K2749">
        <v>111288</v>
      </c>
      <c r="L2749">
        <f t="shared" si="253"/>
        <v>18.998544317446637</v>
      </c>
      <c r="M2749">
        <v>9274</v>
      </c>
      <c r="N2749" s="2">
        <f t="shared" si="258"/>
        <v>227.98253180935964</v>
      </c>
      <c r="O2749">
        <v>12</v>
      </c>
    </row>
    <row r="2750" spans="1:15" x14ac:dyDescent="0.25">
      <c r="A2750" t="s">
        <v>46</v>
      </c>
      <c r="B2750" t="s">
        <v>16</v>
      </c>
      <c r="C2750" t="s">
        <v>40</v>
      </c>
      <c r="D2750" t="str">
        <f t="shared" si="254"/>
        <v>FAB3_1L  Desl Deslactosada</v>
      </c>
      <c r="E2750">
        <v>2023</v>
      </c>
      <c r="F2750">
        <v>3</v>
      </c>
      <c r="G2750">
        <f t="shared" si="255"/>
        <v>1</v>
      </c>
      <c r="H2750" s="1">
        <f t="shared" si="256"/>
        <v>44942</v>
      </c>
      <c r="I2750" s="1">
        <f t="shared" si="257"/>
        <v>44927</v>
      </c>
      <c r="J2750">
        <v>18872.64</v>
      </c>
      <c r="K2750">
        <v>972</v>
      </c>
      <c r="L2750">
        <f t="shared" ref="L2750:L2813" si="259">J2750/(M2750*O2750)</f>
        <v>19.416296296296295</v>
      </c>
      <c r="M2750">
        <v>81</v>
      </c>
      <c r="N2750" s="2">
        <f t="shared" si="258"/>
        <v>232.99555555555554</v>
      </c>
      <c r="O2750">
        <v>12</v>
      </c>
    </row>
    <row r="2751" spans="1:15" x14ac:dyDescent="0.25">
      <c r="A2751" t="s">
        <v>46</v>
      </c>
      <c r="B2751" t="s">
        <v>16</v>
      </c>
      <c r="C2751" t="s">
        <v>40</v>
      </c>
      <c r="D2751" t="str">
        <f t="shared" si="254"/>
        <v>FAB3_1L  Desl Deslactosada</v>
      </c>
      <c r="E2751">
        <v>2023</v>
      </c>
      <c r="F2751">
        <v>3</v>
      </c>
      <c r="G2751">
        <f t="shared" si="255"/>
        <v>1</v>
      </c>
      <c r="H2751" s="1">
        <f t="shared" si="256"/>
        <v>44942</v>
      </c>
      <c r="I2751" s="1">
        <f t="shared" si="257"/>
        <v>44927</v>
      </c>
      <c r="J2751">
        <v>1376674.0500000003</v>
      </c>
      <c r="K2751">
        <v>72192</v>
      </c>
      <c r="L2751">
        <f t="shared" si="259"/>
        <v>19.06962059507979</v>
      </c>
      <c r="M2751">
        <v>6016</v>
      </c>
      <c r="N2751" s="2">
        <f t="shared" si="258"/>
        <v>228.83544714095748</v>
      </c>
      <c r="O2751">
        <v>12</v>
      </c>
    </row>
    <row r="2752" spans="1:15" x14ac:dyDescent="0.25">
      <c r="A2752" t="s">
        <v>46</v>
      </c>
      <c r="B2752" t="s">
        <v>16</v>
      </c>
      <c r="C2752" t="s">
        <v>40</v>
      </c>
      <c r="D2752" t="str">
        <f t="shared" si="254"/>
        <v>FAB3_1L  Desl Deslactosada</v>
      </c>
      <c r="E2752">
        <v>2023</v>
      </c>
      <c r="F2752">
        <v>4</v>
      </c>
      <c r="G2752">
        <f t="shared" si="255"/>
        <v>1</v>
      </c>
      <c r="H2752" s="1">
        <f t="shared" si="256"/>
        <v>44949</v>
      </c>
      <c r="I2752" s="1">
        <f t="shared" si="257"/>
        <v>44927</v>
      </c>
      <c r="J2752">
        <v>726.27</v>
      </c>
      <c r="K2752">
        <v>36</v>
      </c>
      <c r="L2752">
        <f t="shared" si="259"/>
        <v>20.174166666666665</v>
      </c>
      <c r="M2752">
        <v>3</v>
      </c>
      <c r="N2752" s="2">
        <f t="shared" si="258"/>
        <v>242.09</v>
      </c>
      <c r="O2752">
        <v>12</v>
      </c>
    </row>
    <row r="2753" spans="1:15" x14ac:dyDescent="0.25">
      <c r="A2753" t="s">
        <v>46</v>
      </c>
      <c r="B2753" t="s">
        <v>16</v>
      </c>
      <c r="C2753" t="s">
        <v>40</v>
      </c>
      <c r="D2753" t="str">
        <f t="shared" si="254"/>
        <v>FAB3_1L  Desl Deslactosada</v>
      </c>
      <c r="E2753">
        <v>2023</v>
      </c>
      <c r="F2753">
        <v>4</v>
      </c>
      <c r="G2753">
        <f t="shared" si="255"/>
        <v>1</v>
      </c>
      <c r="H2753" s="1">
        <f t="shared" si="256"/>
        <v>44949</v>
      </c>
      <c r="I2753" s="1">
        <f t="shared" si="257"/>
        <v>44927</v>
      </c>
      <c r="J2753">
        <v>833974.20000000042</v>
      </c>
      <c r="K2753">
        <v>39852</v>
      </c>
      <c r="L2753">
        <f t="shared" si="259"/>
        <v>20.926784101174356</v>
      </c>
      <c r="M2753">
        <v>3321</v>
      </c>
      <c r="N2753" s="2">
        <f t="shared" si="258"/>
        <v>251.12140921409227</v>
      </c>
      <c r="O2753">
        <v>12</v>
      </c>
    </row>
    <row r="2754" spans="1:15" x14ac:dyDescent="0.25">
      <c r="A2754" t="s">
        <v>46</v>
      </c>
      <c r="B2754" t="s">
        <v>16</v>
      </c>
      <c r="C2754" t="s">
        <v>40</v>
      </c>
      <c r="D2754" t="str">
        <f t="shared" si="254"/>
        <v>FAB3_1L  Desl Deslactosada</v>
      </c>
      <c r="E2754">
        <v>2023</v>
      </c>
      <c r="F2754">
        <v>5</v>
      </c>
      <c r="G2754">
        <f t="shared" si="255"/>
        <v>2</v>
      </c>
      <c r="H2754" s="1">
        <f t="shared" si="256"/>
        <v>44956</v>
      </c>
      <c r="I2754" s="1">
        <f t="shared" si="257"/>
        <v>44958</v>
      </c>
      <c r="J2754">
        <v>5773</v>
      </c>
      <c r="K2754">
        <v>276</v>
      </c>
      <c r="L2754">
        <f t="shared" si="259"/>
        <v>20.916666666666668</v>
      </c>
      <c r="M2754">
        <v>23</v>
      </c>
      <c r="N2754" s="2">
        <f t="shared" si="258"/>
        <v>251</v>
      </c>
      <c r="O2754">
        <v>12</v>
      </c>
    </row>
    <row r="2755" spans="1:15" x14ac:dyDescent="0.25">
      <c r="A2755" t="s">
        <v>46</v>
      </c>
      <c r="B2755" t="s">
        <v>16</v>
      </c>
      <c r="C2755" t="s">
        <v>40</v>
      </c>
      <c r="D2755" t="str">
        <f t="shared" ref="D2755:D2818" si="260">B2755&amp;"_"&amp;C2755</f>
        <v>FAB3_1L  Desl Deslactosada</v>
      </c>
      <c r="E2755">
        <v>2023</v>
      </c>
      <c r="F2755">
        <v>5</v>
      </c>
      <c r="G2755">
        <f t="shared" ref="G2755:G2818" si="261">MONTH(DATE(E2755,1,4)+(F2755-1)*7-WEEKDAY(DATE(E2755,1,4),2)+4)</f>
        <v>2</v>
      </c>
      <c r="H2755" s="1">
        <f t="shared" ref="H2755:H2818" si="262">DATE(E2755,1,-2)-WEEKDAY(DATE(E2755,1,3))+F2755*7</f>
        <v>44956</v>
      </c>
      <c r="I2755" s="1">
        <f t="shared" ref="I2755:I2818" si="263">DATE(E2755,G2755,1)</f>
        <v>44958</v>
      </c>
      <c r="J2755">
        <v>1096916.2000000009</v>
      </c>
      <c r="K2755">
        <v>52416</v>
      </c>
      <c r="L2755">
        <f t="shared" si="259"/>
        <v>20.927125305250321</v>
      </c>
      <c r="M2755">
        <v>4368</v>
      </c>
      <c r="N2755" s="2">
        <f t="shared" ref="N2755:N2818" si="264">J2755/M2755</f>
        <v>251.12550366300385</v>
      </c>
      <c r="O2755">
        <v>12</v>
      </c>
    </row>
    <row r="2756" spans="1:15" x14ac:dyDescent="0.25">
      <c r="A2756" t="s">
        <v>46</v>
      </c>
      <c r="B2756" t="s">
        <v>16</v>
      </c>
      <c r="C2756" t="s">
        <v>40</v>
      </c>
      <c r="D2756" t="str">
        <f t="shared" si="260"/>
        <v>FAB3_1L  Desl Deslactosada</v>
      </c>
      <c r="E2756">
        <v>2023</v>
      </c>
      <c r="F2756">
        <v>6</v>
      </c>
      <c r="G2756">
        <f t="shared" si="261"/>
        <v>2</v>
      </c>
      <c r="H2756" s="1">
        <f t="shared" si="262"/>
        <v>44963</v>
      </c>
      <c r="I2756" s="1">
        <f t="shared" si="263"/>
        <v>44958</v>
      </c>
      <c r="J2756">
        <v>9595.8499999999985</v>
      </c>
      <c r="K2756">
        <v>468</v>
      </c>
      <c r="L2756">
        <f t="shared" si="259"/>
        <v>20.503952991452987</v>
      </c>
      <c r="M2756">
        <v>39</v>
      </c>
      <c r="N2756" s="2">
        <f t="shared" si="264"/>
        <v>246.04743589743586</v>
      </c>
      <c r="O2756">
        <v>12</v>
      </c>
    </row>
    <row r="2757" spans="1:15" x14ac:dyDescent="0.25">
      <c r="A2757" t="s">
        <v>46</v>
      </c>
      <c r="B2757" t="s">
        <v>16</v>
      </c>
      <c r="C2757" t="s">
        <v>40</v>
      </c>
      <c r="D2757" t="str">
        <f t="shared" si="260"/>
        <v>FAB3_1L  Desl Deslactosada</v>
      </c>
      <c r="E2757">
        <v>2023</v>
      </c>
      <c r="F2757">
        <v>6</v>
      </c>
      <c r="G2757">
        <f t="shared" si="261"/>
        <v>2</v>
      </c>
      <c r="H2757" s="1">
        <f t="shared" si="262"/>
        <v>44963</v>
      </c>
      <c r="I2757" s="1">
        <f t="shared" si="263"/>
        <v>44958</v>
      </c>
      <c r="J2757">
        <v>1193141.0599999998</v>
      </c>
      <c r="K2757">
        <v>59340</v>
      </c>
      <c r="L2757">
        <f t="shared" si="259"/>
        <v>20.106859791034712</v>
      </c>
      <c r="M2757">
        <v>4945</v>
      </c>
      <c r="N2757" s="2">
        <f t="shared" si="264"/>
        <v>241.28231749241655</v>
      </c>
      <c r="O2757">
        <v>12</v>
      </c>
    </row>
    <row r="2758" spans="1:15" x14ac:dyDescent="0.25">
      <c r="A2758" t="s">
        <v>46</v>
      </c>
      <c r="B2758" t="s">
        <v>16</v>
      </c>
      <c r="C2758" t="s">
        <v>40</v>
      </c>
      <c r="D2758" t="str">
        <f t="shared" si="260"/>
        <v>FAB3_1L  Desl Deslactosada</v>
      </c>
      <c r="E2758">
        <v>2023</v>
      </c>
      <c r="F2758">
        <v>7</v>
      </c>
      <c r="G2758">
        <f t="shared" si="261"/>
        <v>2</v>
      </c>
      <c r="H2758" s="1">
        <f t="shared" si="262"/>
        <v>44970</v>
      </c>
      <c r="I2758" s="1">
        <f t="shared" si="263"/>
        <v>44958</v>
      </c>
      <c r="J2758">
        <v>48192</v>
      </c>
      <c r="K2758">
        <v>2304</v>
      </c>
      <c r="L2758">
        <f t="shared" si="259"/>
        <v>20.916666666666668</v>
      </c>
      <c r="M2758">
        <v>192</v>
      </c>
      <c r="N2758" s="2">
        <f t="shared" si="264"/>
        <v>251</v>
      </c>
      <c r="O2758">
        <v>12</v>
      </c>
    </row>
    <row r="2759" spans="1:15" x14ac:dyDescent="0.25">
      <c r="A2759" t="s">
        <v>46</v>
      </c>
      <c r="B2759" t="s">
        <v>16</v>
      </c>
      <c r="C2759" t="s">
        <v>40</v>
      </c>
      <c r="D2759" t="str">
        <f t="shared" si="260"/>
        <v>FAB3_1L  Desl Deslactosada</v>
      </c>
      <c r="E2759">
        <v>2023</v>
      </c>
      <c r="F2759">
        <v>7</v>
      </c>
      <c r="G2759">
        <f t="shared" si="261"/>
        <v>2</v>
      </c>
      <c r="H2759" s="1">
        <f t="shared" si="262"/>
        <v>44970</v>
      </c>
      <c r="I2759" s="1">
        <f t="shared" si="263"/>
        <v>44958</v>
      </c>
      <c r="J2759">
        <v>1145814.6600000006</v>
      </c>
      <c r="K2759">
        <v>56340</v>
      </c>
      <c r="L2759">
        <f t="shared" si="259"/>
        <v>20.337498402555923</v>
      </c>
      <c r="M2759">
        <v>4695</v>
      </c>
      <c r="N2759" s="2">
        <f t="shared" si="264"/>
        <v>244.04998083067105</v>
      </c>
      <c r="O2759">
        <v>12</v>
      </c>
    </row>
    <row r="2760" spans="1:15" x14ac:dyDescent="0.25">
      <c r="A2760" t="s">
        <v>46</v>
      </c>
      <c r="B2760" t="s">
        <v>16</v>
      </c>
      <c r="C2760" t="s">
        <v>40</v>
      </c>
      <c r="D2760" t="str">
        <f t="shared" si="260"/>
        <v>FAB3_1L  Desl Deslactosada</v>
      </c>
      <c r="E2760">
        <v>2023</v>
      </c>
      <c r="F2760">
        <v>8</v>
      </c>
      <c r="G2760">
        <f t="shared" si="261"/>
        <v>2</v>
      </c>
      <c r="H2760" s="1">
        <f t="shared" si="262"/>
        <v>44977</v>
      </c>
      <c r="I2760" s="1">
        <f t="shared" si="263"/>
        <v>44958</v>
      </c>
      <c r="J2760">
        <v>53870.200000000004</v>
      </c>
      <c r="K2760">
        <v>2652</v>
      </c>
      <c r="L2760">
        <f t="shared" si="259"/>
        <v>20.313046757164408</v>
      </c>
      <c r="M2760">
        <v>221</v>
      </c>
      <c r="N2760" s="2">
        <f t="shared" si="264"/>
        <v>243.75656108597286</v>
      </c>
      <c r="O2760">
        <v>12</v>
      </c>
    </row>
    <row r="2761" spans="1:15" x14ac:dyDescent="0.25">
      <c r="A2761" t="s">
        <v>46</v>
      </c>
      <c r="B2761" t="s">
        <v>16</v>
      </c>
      <c r="C2761" t="s">
        <v>40</v>
      </c>
      <c r="D2761" t="str">
        <f t="shared" si="260"/>
        <v>FAB3_1L  Desl Deslactosada</v>
      </c>
      <c r="E2761">
        <v>2023</v>
      </c>
      <c r="F2761">
        <v>8</v>
      </c>
      <c r="G2761">
        <f t="shared" si="261"/>
        <v>2</v>
      </c>
      <c r="H2761" s="1">
        <f t="shared" si="262"/>
        <v>44977</v>
      </c>
      <c r="I2761" s="1">
        <f t="shared" si="263"/>
        <v>44958</v>
      </c>
      <c r="J2761">
        <v>715869.31000000052</v>
      </c>
      <c r="K2761">
        <v>34200</v>
      </c>
      <c r="L2761">
        <f t="shared" si="259"/>
        <v>20.931851169590658</v>
      </c>
      <c r="M2761">
        <v>2850</v>
      </c>
      <c r="N2761" s="2">
        <f t="shared" si="264"/>
        <v>251.1822140350879</v>
      </c>
      <c r="O2761">
        <v>12</v>
      </c>
    </row>
    <row r="2762" spans="1:15" x14ac:dyDescent="0.25">
      <c r="A2762" t="s">
        <v>46</v>
      </c>
      <c r="B2762" t="s">
        <v>16</v>
      </c>
      <c r="C2762" t="s">
        <v>40</v>
      </c>
      <c r="D2762" t="str">
        <f t="shared" si="260"/>
        <v>FAB3_1L  Desl Deslactosada</v>
      </c>
      <c r="E2762">
        <v>2023</v>
      </c>
      <c r="F2762">
        <v>9</v>
      </c>
      <c r="G2762">
        <f t="shared" si="261"/>
        <v>3</v>
      </c>
      <c r="H2762" s="1">
        <f t="shared" si="262"/>
        <v>44984</v>
      </c>
      <c r="I2762" s="1">
        <f t="shared" si="263"/>
        <v>44986</v>
      </c>
      <c r="J2762">
        <v>38659.770000000004</v>
      </c>
      <c r="K2762">
        <v>1848</v>
      </c>
      <c r="L2762">
        <f t="shared" si="259"/>
        <v>20.919788961038964</v>
      </c>
      <c r="M2762">
        <v>154</v>
      </c>
      <c r="N2762" s="2">
        <f t="shared" si="264"/>
        <v>251.03746753246756</v>
      </c>
      <c r="O2762">
        <v>12</v>
      </c>
    </row>
    <row r="2763" spans="1:15" x14ac:dyDescent="0.25">
      <c r="A2763" t="s">
        <v>46</v>
      </c>
      <c r="B2763" t="s">
        <v>16</v>
      </c>
      <c r="C2763" t="s">
        <v>40</v>
      </c>
      <c r="D2763" t="str">
        <f t="shared" si="260"/>
        <v>FAB3_1L  Desl Deslactosada</v>
      </c>
      <c r="E2763">
        <v>2023</v>
      </c>
      <c r="F2763">
        <v>9</v>
      </c>
      <c r="G2763">
        <f t="shared" si="261"/>
        <v>3</v>
      </c>
      <c r="H2763" s="1">
        <f t="shared" si="262"/>
        <v>44984</v>
      </c>
      <c r="I2763" s="1">
        <f t="shared" si="263"/>
        <v>44986</v>
      </c>
      <c r="J2763">
        <v>1031987.6100000003</v>
      </c>
      <c r="K2763">
        <v>49848</v>
      </c>
      <c r="L2763">
        <f t="shared" si="259"/>
        <v>20.702688372652872</v>
      </c>
      <c r="M2763">
        <v>4154</v>
      </c>
      <c r="N2763" s="2">
        <f t="shared" si="264"/>
        <v>248.43226047183447</v>
      </c>
      <c r="O2763">
        <v>12</v>
      </c>
    </row>
    <row r="2764" spans="1:15" x14ac:dyDescent="0.25">
      <c r="A2764" t="s">
        <v>46</v>
      </c>
      <c r="B2764" t="s">
        <v>16</v>
      </c>
      <c r="C2764" t="s">
        <v>40</v>
      </c>
      <c r="D2764" t="str">
        <f t="shared" si="260"/>
        <v>FAB3_1L  Desl Deslactosada</v>
      </c>
      <c r="E2764">
        <v>2023</v>
      </c>
      <c r="F2764">
        <v>10</v>
      </c>
      <c r="G2764">
        <f t="shared" si="261"/>
        <v>3</v>
      </c>
      <c r="H2764" s="1">
        <f t="shared" si="262"/>
        <v>44991</v>
      </c>
      <c r="I2764" s="1">
        <f t="shared" si="263"/>
        <v>44986</v>
      </c>
      <c r="J2764">
        <v>648876.54</v>
      </c>
      <c r="K2764">
        <v>35232</v>
      </c>
      <c r="L2764">
        <f t="shared" si="259"/>
        <v>18.417249659400547</v>
      </c>
      <c r="M2764">
        <v>2936</v>
      </c>
      <c r="N2764" s="2">
        <f t="shared" si="264"/>
        <v>221.00699591280656</v>
      </c>
      <c r="O2764">
        <v>12</v>
      </c>
    </row>
    <row r="2765" spans="1:15" x14ac:dyDescent="0.25">
      <c r="A2765" t="s">
        <v>46</v>
      </c>
      <c r="B2765" t="s">
        <v>16</v>
      </c>
      <c r="C2765" t="s">
        <v>40</v>
      </c>
      <c r="D2765" t="str">
        <f t="shared" si="260"/>
        <v>FAB3_1L  Desl Deslactosada</v>
      </c>
      <c r="E2765">
        <v>2023</v>
      </c>
      <c r="F2765">
        <v>10</v>
      </c>
      <c r="G2765">
        <f t="shared" si="261"/>
        <v>3</v>
      </c>
      <c r="H2765" s="1">
        <f t="shared" si="262"/>
        <v>44991</v>
      </c>
      <c r="I2765" s="1">
        <f t="shared" si="263"/>
        <v>44986</v>
      </c>
      <c r="J2765">
        <v>1003754.5000000006</v>
      </c>
      <c r="K2765">
        <v>50748</v>
      </c>
      <c r="L2765">
        <f t="shared" si="259"/>
        <v>19.779193268700254</v>
      </c>
      <c r="M2765">
        <v>4229</v>
      </c>
      <c r="N2765" s="2">
        <f t="shared" si="264"/>
        <v>237.35031922440308</v>
      </c>
      <c r="O2765">
        <v>12</v>
      </c>
    </row>
    <row r="2766" spans="1:15" x14ac:dyDescent="0.25">
      <c r="A2766" t="s">
        <v>46</v>
      </c>
      <c r="B2766" t="s">
        <v>16</v>
      </c>
      <c r="C2766" t="s">
        <v>40</v>
      </c>
      <c r="D2766" t="str">
        <f t="shared" si="260"/>
        <v>FAB3_1L  Desl Deslactosada</v>
      </c>
      <c r="E2766">
        <v>2023</v>
      </c>
      <c r="F2766">
        <v>11</v>
      </c>
      <c r="G2766">
        <f t="shared" si="261"/>
        <v>3</v>
      </c>
      <c r="H2766" s="1">
        <f t="shared" si="262"/>
        <v>44998</v>
      </c>
      <c r="I2766" s="1">
        <f t="shared" si="263"/>
        <v>44986</v>
      </c>
      <c r="J2766">
        <v>152725.56</v>
      </c>
      <c r="K2766">
        <v>10716</v>
      </c>
      <c r="L2766">
        <f t="shared" si="259"/>
        <v>14.252105263157894</v>
      </c>
      <c r="M2766">
        <v>893</v>
      </c>
      <c r="N2766" s="2">
        <f t="shared" si="264"/>
        <v>171.02526315789473</v>
      </c>
      <c r="O2766">
        <v>12</v>
      </c>
    </row>
    <row r="2767" spans="1:15" x14ac:dyDescent="0.25">
      <c r="A2767" t="s">
        <v>46</v>
      </c>
      <c r="B2767" t="s">
        <v>16</v>
      </c>
      <c r="C2767" t="s">
        <v>40</v>
      </c>
      <c r="D2767" t="str">
        <f t="shared" si="260"/>
        <v>FAB3_1L  Desl Deslactosada</v>
      </c>
      <c r="E2767">
        <v>2023</v>
      </c>
      <c r="F2767">
        <v>11</v>
      </c>
      <c r="G2767">
        <f t="shared" si="261"/>
        <v>3</v>
      </c>
      <c r="H2767" s="1">
        <f t="shared" si="262"/>
        <v>44998</v>
      </c>
      <c r="I2767" s="1">
        <f t="shared" si="263"/>
        <v>44986</v>
      </c>
      <c r="J2767">
        <v>936324.17000000016</v>
      </c>
      <c r="K2767">
        <v>46932</v>
      </c>
      <c r="L2767">
        <f t="shared" si="259"/>
        <v>19.950655629421295</v>
      </c>
      <c r="M2767">
        <v>3911</v>
      </c>
      <c r="N2767" s="2">
        <f t="shared" si="264"/>
        <v>239.40786755305552</v>
      </c>
      <c r="O2767">
        <v>12</v>
      </c>
    </row>
    <row r="2768" spans="1:15" x14ac:dyDescent="0.25">
      <c r="A2768" t="s">
        <v>46</v>
      </c>
      <c r="B2768" t="s">
        <v>16</v>
      </c>
      <c r="C2768" t="s">
        <v>40</v>
      </c>
      <c r="D2768" t="str">
        <f t="shared" si="260"/>
        <v>FAB3_1L  Desl Deslactosada</v>
      </c>
      <c r="E2768">
        <v>2023</v>
      </c>
      <c r="F2768">
        <v>12</v>
      </c>
      <c r="G2768">
        <f t="shared" si="261"/>
        <v>3</v>
      </c>
      <c r="H2768" s="1">
        <f t="shared" si="262"/>
        <v>45005</v>
      </c>
      <c r="I2768" s="1">
        <f t="shared" si="263"/>
        <v>44986</v>
      </c>
      <c r="J2768">
        <v>15763.9</v>
      </c>
      <c r="K2768">
        <v>792</v>
      </c>
      <c r="L2768">
        <f t="shared" si="259"/>
        <v>19.903914141414141</v>
      </c>
      <c r="M2768">
        <v>66</v>
      </c>
      <c r="N2768" s="2">
        <f t="shared" si="264"/>
        <v>238.84696969696969</v>
      </c>
      <c r="O2768">
        <v>12</v>
      </c>
    </row>
    <row r="2769" spans="1:15" x14ac:dyDescent="0.25">
      <c r="A2769" t="s">
        <v>46</v>
      </c>
      <c r="B2769" t="s">
        <v>16</v>
      </c>
      <c r="C2769" t="s">
        <v>40</v>
      </c>
      <c r="D2769" t="str">
        <f t="shared" si="260"/>
        <v>FAB3_1L  Desl Deslactosada</v>
      </c>
      <c r="E2769">
        <v>2023</v>
      </c>
      <c r="F2769">
        <v>12</v>
      </c>
      <c r="G2769">
        <f t="shared" si="261"/>
        <v>3</v>
      </c>
      <c r="H2769" s="1">
        <f t="shared" si="262"/>
        <v>45005</v>
      </c>
      <c r="I2769" s="1">
        <f t="shared" si="263"/>
        <v>44986</v>
      </c>
      <c r="J2769">
        <v>861581.8400000002</v>
      </c>
      <c r="K2769">
        <v>42144</v>
      </c>
      <c r="L2769">
        <f t="shared" si="259"/>
        <v>20.44376044039484</v>
      </c>
      <c r="M2769">
        <v>3512</v>
      </c>
      <c r="N2769" s="2">
        <f t="shared" si="264"/>
        <v>245.32512528473811</v>
      </c>
      <c r="O2769">
        <v>12</v>
      </c>
    </row>
    <row r="2770" spans="1:15" x14ac:dyDescent="0.25">
      <c r="A2770" t="s">
        <v>46</v>
      </c>
      <c r="B2770" t="s">
        <v>16</v>
      </c>
      <c r="C2770" t="s">
        <v>40</v>
      </c>
      <c r="D2770" t="str">
        <f t="shared" si="260"/>
        <v>FAB3_1L  Desl Deslactosada</v>
      </c>
      <c r="E2770">
        <v>2023</v>
      </c>
      <c r="F2770">
        <v>13</v>
      </c>
      <c r="G2770">
        <f t="shared" si="261"/>
        <v>3</v>
      </c>
      <c r="H2770" s="1">
        <f t="shared" si="262"/>
        <v>45012</v>
      </c>
      <c r="I2770" s="1">
        <f t="shared" si="263"/>
        <v>44986</v>
      </c>
      <c r="J2770">
        <v>48160.26</v>
      </c>
      <c r="K2770">
        <v>2400</v>
      </c>
      <c r="L2770">
        <f t="shared" si="259"/>
        <v>20.066775</v>
      </c>
      <c r="M2770">
        <v>200</v>
      </c>
      <c r="N2770" s="2">
        <f t="shared" si="264"/>
        <v>240.8013</v>
      </c>
      <c r="O2770">
        <v>12</v>
      </c>
    </row>
    <row r="2771" spans="1:15" x14ac:dyDescent="0.25">
      <c r="A2771" t="s">
        <v>46</v>
      </c>
      <c r="B2771" t="s">
        <v>16</v>
      </c>
      <c r="C2771" t="s">
        <v>40</v>
      </c>
      <c r="D2771" t="str">
        <f t="shared" si="260"/>
        <v>FAB3_1L  Desl Deslactosada</v>
      </c>
      <c r="E2771">
        <v>2023</v>
      </c>
      <c r="F2771">
        <v>13</v>
      </c>
      <c r="G2771">
        <f t="shared" si="261"/>
        <v>3</v>
      </c>
      <c r="H2771" s="1">
        <f t="shared" si="262"/>
        <v>45012</v>
      </c>
      <c r="I2771" s="1">
        <f t="shared" si="263"/>
        <v>44986</v>
      </c>
      <c r="J2771">
        <v>786110.5400000005</v>
      </c>
      <c r="K2771">
        <v>37668</v>
      </c>
      <c r="L2771">
        <f t="shared" si="259"/>
        <v>20.86945258574919</v>
      </c>
      <c r="M2771">
        <v>3139</v>
      </c>
      <c r="N2771" s="2">
        <f t="shared" si="264"/>
        <v>250.43343102899027</v>
      </c>
      <c r="O2771">
        <v>12</v>
      </c>
    </row>
    <row r="2772" spans="1:15" x14ac:dyDescent="0.25">
      <c r="A2772" t="s">
        <v>46</v>
      </c>
      <c r="B2772" t="s">
        <v>16</v>
      </c>
      <c r="C2772" t="s">
        <v>40</v>
      </c>
      <c r="D2772" t="str">
        <f t="shared" si="260"/>
        <v>FAB3_1L  Desl Deslactosada</v>
      </c>
      <c r="E2772">
        <v>2023</v>
      </c>
      <c r="F2772">
        <v>14</v>
      </c>
      <c r="G2772">
        <f t="shared" si="261"/>
        <v>4</v>
      </c>
      <c r="H2772" s="1">
        <f t="shared" si="262"/>
        <v>45019</v>
      </c>
      <c r="I2772" s="1">
        <f t="shared" si="263"/>
        <v>45017</v>
      </c>
      <c r="J2772">
        <v>48204.920000000006</v>
      </c>
      <c r="K2772">
        <v>2448</v>
      </c>
      <c r="L2772">
        <f t="shared" si="259"/>
        <v>19.6915522875817</v>
      </c>
      <c r="M2772">
        <v>204</v>
      </c>
      <c r="N2772" s="2">
        <f t="shared" si="264"/>
        <v>236.29862745098043</v>
      </c>
      <c r="O2772">
        <v>12</v>
      </c>
    </row>
    <row r="2773" spans="1:15" x14ac:dyDescent="0.25">
      <c r="A2773" t="s">
        <v>46</v>
      </c>
      <c r="B2773" t="s">
        <v>16</v>
      </c>
      <c r="C2773" t="s">
        <v>40</v>
      </c>
      <c r="D2773" t="str">
        <f t="shared" si="260"/>
        <v>FAB3_1L  Desl Deslactosada</v>
      </c>
      <c r="E2773">
        <v>2023</v>
      </c>
      <c r="F2773">
        <v>14</v>
      </c>
      <c r="G2773">
        <f t="shared" si="261"/>
        <v>4</v>
      </c>
      <c r="H2773" s="1">
        <f t="shared" si="262"/>
        <v>45019</v>
      </c>
      <c r="I2773" s="1">
        <f t="shared" si="263"/>
        <v>45017</v>
      </c>
      <c r="J2773">
        <v>941584.43</v>
      </c>
      <c r="K2773">
        <v>45180</v>
      </c>
      <c r="L2773">
        <f t="shared" si="259"/>
        <v>20.840735502434708</v>
      </c>
      <c r="M2773">
        <v>3765</v>
      </c>
      <c r="N2773" s="2">
        <f t="shared" si="264"/>
        <v>250.08882602921648</v>
      </c>
      <c r="O2773">
        <v>12</v>
      </c>
    </row>
    <row r="2774" spans="1:15" x14ac:dyDescent="0.25">
      <c r="A2774" t="s">
        <v>46</v>
      </c>
      <c r="B2774" t="s">
        <v>16</v>
      </c>
      <c r="C2774" t="s">
        <v>40</v>
      </c>
      <c r="D2774" t="str">
        <f t="shared" si="260"/>
        <v>FAB3_1L  Desl Deslactosada</v>
      </c>
      <c r="E2774">
        <v>2023</v>
      </c>
      <c r="F2774">
        <v>15</v>
      </c>
      <c r="G2774">
        <f t="shared" si="261"/>
        <v>4</v>
      </c>
      <c r="H2774" s="1">
        <f t="shared" si="262"/>
        <v>45026</v>
      </c>
      <c r="I2774" s="1">
        <f t="shared" si="263"/>
        <v>45017</v>
      </c>
      <c r="J2774">
        <v>2983.45</v>
      </c>
      <c r="K2774">
        <v>144</v>
      </c>
      <c r="L2774">
        <f t="shared" si="259"/>
        <v>20.718402777777776</v>
      </c>
      <c r="M2774">
        <v>12</v>
      </c>
      <c r="N2774" s="2">
        <f t="shared" si="264"/>
        <v>248.62083333333331</v>
      </c>
      <c r="O2774">
        <v>12</v>
      </c>
    </row>
    <row r="2775" spans="1:15" x14ac:dyDescent="0.25">
      <c r="A2775" t="s">
        <v>46</v>
      </c>
      <c r="B2775" t="s">
        <v>16</v>
      </c>
      <c r="C2775" t="s">
        <v>40</v>
      </c>
      <c r="D2775" t="str">
        <f t="shared" si="260"/>
        <v>FAB3_1L  Desl Deslactosada</v>
      </c>
      <c r="E2775">
        <v>2023</v>
      </c>
      <c r="F2775">
        <v>15</v>
      </c>
      <c r="G2775">
        <f t="shared" si="261"/>
        <v>4</v>
      </c>
      <c r="H2775" s="1">
        <f t="shared" si="262"/>
        <v>45026</v>
      </c>
      <c r="I2775" s="1">
        <f t="shared" si="263"/>
        <v>45017</v>
      </c>
      <c r="J2775">
        <v>772294.79000000015</v>
      </c>
      <c r="K2775">
        <v>36972</v>
      </c>
      <c r="L2775">
        <f t="shared" si="259"/>
        <v>20.888639781456241</v>
      </c>
      <c r="M2775">
        <v>3081</v>
      </c>
      <c r="N2775" s="2">
        <f t="shared" si="264"/>
        <v>250.6636773774749</v>
      </c>
      <c r="O2775">
        <v>12</v>
      </c>
    </row>
    <row r="2776" spans="1:15" x14ac:dyDescent="0.25">
      <c r="A2776" t="s">
        <v>46</v>
      </c>
      <c r="B2776" t="s">
        <v>16</v>
      </c>
      <c r="C2776" t="s">
        <v>40</v>
      </c>
      <c r="D2776" t="str">
        <f t="shared" si="260"/>
        <v>FAB3_1L  Desl Deslactosada</v>
      </c>
      <c r="E2776">
        <v>2023</v>
      </c>
      <c r="F2776">
        <v>16</v>
      </c>
      <c r="G2776">
        <f t="shared" si="261"/>
        <v>4</v>
      </c>
      <c r="H2776" s="1">
        <f t="shared" si="262"/>
        <v>45033</v>
      </c>
      <c r="I2776" s="1">
        <f t="shared" si="263"/>
        <v>45017</v>
      </c>
      <c r="J2776">
        <v>25513.14</v>
      </c>
      <c r="K2776">
        <v>1224</v>
      </c>
      <c r="L2776">
        <f t="shared" si="259"/>
        <v>20.84406862745098</v>
      </c>
      <c r="M2776">
        <v>102</v>
      </c>
      <c r="N2776" s="2">
        <f t="shared" si="264"/>
        <v>250.12882352941176</v>
      </c>
      <c r="O2776">
        <v>12</v>
      </c>
    </row>
    <row r="2777" spans="1:15" x14ac:dyDescent="0.25">
      <c r="A2777" t="s">
        <v>46</v>
      </c>
      <c r="B2777" t="s">
        <v>16</v>
      </c>
      <c r="C2777" t="s">
        <v>40</v>
      </c>
      <c r="D2777" t="str">
        <f t="shared" si="260"/>
        <v>FAB3_1L  Desl Deslactosada</v>
      </c>
      <c r="E2777">
        <v>2023</v>
      </c>
      <c r="F2777">
        <v>16</v>
      </c>
      <c r="G2777">
        <f t="shared" si="261"/>
        <v>4</v>
      </c>
      <c r="H2777" s="1">
        <f t="shared" si="262"/>
        <v>45033</v>
      </c>
      <c r="I2777" s="1">
        <f t="shared" si="263"/>
        <v>45017</v>
      </c>
      <c r="J2777">
        <v>979142.49000000046</v>
      </c>
      <c r="K2777">
        <v>47088</v>
      </c>
      <c r="L2777">
        <f t="shared" si="259"/>
        <v>20.793885703363923</v>
      </c>
      <c r="M2777">
        <v>3924</v>
      </c>
      <c r="N2777" s="2">
        <f t="shared" si="264"/>
        <v>249.52662844036709</v>
      </c>
      <c r="O2777">
        <v>12</v>
      </c>
    </row>
    <row r="2778" spans="1:15" x14ac:dyDescent="0.25">
      <c r="A2778" t="s">
        <v>46</v>
      </c>
      <c r="B2778" t="s">
        <v>16</v>
      </c>
      <c r="C2778" t="s">
        <v>40</v>
      </c>
      <c r="D2778" t="str">
        <f t="shared" si="260"/>
        <v>FAB3_1L  Desl Deslactosada</v>
      </c>
      <c r="E2778">
        <v>2023</v>
      </c>
      <c r="F2778">
        <v>17</v>
      </c>
      <c r="G2778">
        <f t="shared" si="261"/>
        <v>4</v>
      </c>
      <c r="H2778" s="1">
        <f t="shared" si="262"/>
        <v>45040</v>
      </c>
      <c r="I2778" s="1">
        <f t="shared" si="263"/>
        <v>45017</v>
      </c>
      <c r="J2778">
        <v>52614.79</v>
      </c>
      <c r="K2778">
        <v>2520</v>
      </c>
      <c r="L2778">
        <f t="shared" si="259"/>
        <v>20.878884920634921</v>
      </c>
      <c r="M2778">
        <v>210</v>
      </c>
      <c r="N2778" s="2">
        <f t="shared" si="264"/>
        <v>250.54661904761906</v>
      </c>
      <c r="O2778">
        <v>12</v>
      </c>
    </row>
    <row r="2779" spans="1:15" x14ac:dyDescent="0.25">
      <c r="A2779" t="s">
        <v>46</v>
      </c>
      <c r="B2779" t="s">
        <v>16</v>
      </c>
      <c r="C2779" t="s">
        <v>40</v>
      </c>
      <c r="D2779" t="str">
        <f t="shared" si="260"/>
        <v>FAB3_1L  Desl Deslactosada</v>
      </c>
      <c r="E2779">
        <v>2023</v>
      </c>
      <c r="F2779">
        <v>17</v>
      </c>
      <c r="G2779">
        <f t="shared" si="261"/>
        <v>4</v>
      </c>
      <c r="H2779" s="1">
        <f t="shared" si="262"/>
        <v>45040</v>
      </c>
      <c r="I2779" s="1">
        <f t="shared" si="263"/>
        <v>45017</v>
      </c>
      <c r="J2779">
        <v>940889.09000000067</v>
      </c>
      <c r="K2779">
        <v>46176</v>
      </c>
      <c r="L2779">
        <f t="shared" si="259"/>
        <v>20.376149731462245</v>
      </c>
      <c r="M2779">
        <v>3848</v>
      </c>
      <c r="N2779" s="2">
        <f t="shared" si="264"/>
        <v>244.51379677754696</v>
      </c>
      <c r="O2779">
        <v>12</v>
      </c>
    </row>
    <row r="2780" spans="1:15" x14ac:dyDescent="0.25">
      <c r="A2780" t="s">
        <v>46</v>
      </c>
      <c r="B2780" t="s">
        <v>16</v>
      </c>
      <c r="C2780" t="s">
        <v>40</v>
      </c>
      <c r="D2780" t="str">
        <f t="shared" si="260"/>
        <v>FAB3_1L  Desl Deslactosada</v>
      </c>
      <c r="E2780">
        <v>2023</v>
      </c>
      <c r="F2780">
        <v>18</v>
      </c>
      <c r="G2780">
        <f t="shared" si="261"/>
        <v>5</v>
      </c>
      <c r="H2780" s="1">
        <f t="shared" si="262"/>
        <v>45047</v>
      </c>
      <c r="I2780" s="1">
        <f t="shared" si="263"/>
        <v>45047</v>
      </c>
      <c r="J2780">
        <v>39658</v>
      </c>
      <c r="K2780">
        <v>1896</v>
      </c>
      <c r="L2780">
        <f t="shared" si="259"/>
        <v>20.916666666666668</v>
      </c>
      <c r="M2780">
        <v>158</v>
      </c>
      <c r="N2780" s="2">
        <f t="shared" si="264"/>
        <v>251</v>
      </c>
      <c r="O2780">
        <v>12</v>
      </c>
    </row>
    <row r="2781" spans="1:15" x14ac:dyDescent="0.25">
      <c r="A2781" t="s">
        <v>46</v>
      </c>
      <c r="B2781" t="s">
        <v>16</v>
      </c>
      <c r="C2781" t="s">
        <v>40</v>
      </c>
      <c r="D2781" t="str">
        <f t="shared" si="260"/>
        <v>FAB3_1L  Desl Deslactosada</v>
      </c>
      <c r="E2781">
        <v>2023</v>
      </c>
      <c r="F2781">
        <v>18</v>
      </c>
      <c r="G2781">
        <f t="shared" si="261"/>
        <v>5</v>
      </c>
      <c r="H2781" s="1">
        <f t="shared" si="262"/>
        <v>45047</v>
      </c>
      <c r="I2781" s="1">
        <f t="shared" si="263"/>
        <v>45047</v>
      </c>
      <c r="J2781">
        <v>972182.10000000068</v>
      </c>
      <c r="K2781">
        <v>46776</v>
      </c>
      <c r="L2781">
        <f t="shared" si="259"/>
        <v>20.783780143663432</v>
      </c>
      <c r="M2781">
        <v>3898</v>
      </c>
      <c r="N2781" s="2">
        <f t="shared" si="264"/>
        <v>249.40536172396119</v>
      </c>
      <c r="O2781">
        <v>12</v>
      </c>
    </row>
    <row r="2782" spans="1:15" x14ac:dyDescent="0.25">
      <c r="A2782" t="s">
        <v>46</v>
      </c>
      <c r="B2782" t="s">
        <v>16</v>
      </c>
      <c r="C2782" t="s">
        <v>40</v>
      </c>
      <c r="D2782" t="str">
        <f t="shared" si="260"/>
        <v>FAB3_1L  Desl Deslactosada</v>
      </c>
      <c r="E2782">
        <v>2023</v>
      </c>
      <c r="F2782">
        <v>19</v>
      </c>
      <c r="G2782">
        <f t="shared" si="261"/>
        <v>5</v>
      </c>
      <c r="H2782" s="1">
        <f t="shared" si="262"/>
        <v>45054</v>
      </c>
      <c r="I2782" s="1">
        <f t="shared" si="263"/>
        <v>45047</v>
      </c>
      <c r="J2782">
        <v>5083.1000000000004</v>
      </c>
      <c r="K2782">
        <v>264</v>
      </c>
      <c r="L2782">
        <f t="shared" si="259"/>
        <v>19.254166666666666</v>
      </c>
      <c r="M2782">
        <v>22</v>
      </c>
      <c r="N2782" s="2">
        <f t="shared" si="264"/>
        <v>231.05</v>
      </c>
      <c r="O2782">
        <v>12</v>
      </c>
    </row>
    <row r="2783" spans="1:15" x14ac:dyDescent="0.25">
      <c r="A2783" t="s">
        <v>46</v>
      </c>
      <c r="B2783" t="s">
        <v>16</v>
      </c>
      <c r="C2783" t="s">
        <v>40</v>
      </c>
      <c r="D2783" t="str">
        <f t="shared" si="260"/>
        <v>FAB3_1L  Desl Deslactosada</v>
      </c>
      <c r="E2783">
        <v>2023</v>
      </c>
      <c r="F2783">
        <v>19</v>
      </c>
      <c r="G2783">
        <f t="shared" si="261"/>
        <v>5</v>
      </c>
      <c r="H2783" s="1">
        <f t="shared" si="262"/>
        <v>45054</v>
      </c>
      <c r="I2783" s="1">
        <f t="shared" si="263"/>
        <v>45047</v>
      </c>
      <c r="J2783">
        <v>966832.12000000011</v>
      </c>
      <c r="K2783">
        <v>47304</v>
      </c>
      <c r="L2783">
        <f t="shared" si="259"/>
        <v>20.438696938948084</v>
      </c>
      <c r="M2783">
        <v>3942</v>
      </c>
      <c r="N2783" s="2">
        <f t="shared" si="264"/>
        <v>245.26436326737701</v>
      </c>
      <c r="O2783">
        <v>12</v>
      </c>
    </row>
    <row r="2784" spans="1:15" x14ac:dyDescent="0.25">
      <c r="A2784" t="s">
        <v>46</v>
      </c>
      <c r="B2784" t="s">
        <v>16</v>
      </c>
      <c r="C2784" t="s">
        <v>40</v>
      </c>
      <c r="D2784" t="str">
        <f t="shared" si="260"/>
        <v>FAB3_1L  Desl Deslactosada</v>
      </c>
      <c r="E2784">
        <v>2023</v>
      </c>
      <c r="F2784">
        <v>20</v>
      </c>
      <c r="G2784">
        <f t="shared" si="261"/>
        <v>5</v>
      </c>
      <c r="H2784" s="1">
        <f t="shared" si="262"/>
        <v>45061</v>
      </c>
      <c r="I2784" s="1">
        <f t="shared" si="263"/>
        <v>45047</v>
      </c>
      <c r="J2784">
        <v>792689.57000000018</v>
      </c>
      <c r="K2784">
        <v>38052</v>
      </c>
      <c r="L2784">
        <f t="shared" si="259"/>
        <v>20.831745243351207</v>
      </c>
      <c r="M2784">
        <v>3171</v>
      </c>
      <c r="N2784" s="2">
        <f t="shared" si="264"/>
        <v>249.98094292021449</v>
      </c>
      <c r="O2784">
        <v>12</v>
      </c>
    </row>
    <row r="2785" spans="1:15" x14ac:dyDescent="0.25">
      <c r="A2785" t="s">
        <v>46</v>
      </c>
      <c r="B2785" t="s">
        <v>16</v>
      </c>
      <c r="C2785" t="s">
        <v>40</v>
      </c>
      <c r="D2785" t="str">
        <f t="shared" si="260"/>
        <v>FAB3_1L  Desl Deslactosada</v>
      </c>
      <c r="E2785">
        <v>2023</v>
      </c>
      <c r="F2785">
        <v>21</v>
      </c>
      <c r="G2785">
        <f t="shared" si="261"/>
        <v>5</v>
      </c>
      <c r="H2785" s="1">
        <f t="shared" si="262"/>
        <v>45068</v>
      </c>
      <c r="I2785" s="1">
        <f t="shared" si="263"/>
        <v>45047</v>
      </c>
      <c r="J2785">
        <v>716894.57000000018</v>
      </c>
      <c r="K2785">
        <v>34788</v>
      </c>
      <c r="L2785">
        <f t="shared" si="259"/>
        <v>20.607524721168225</v>
      </c>
      <c r="M2785">
        <v>2899</v>
      </c>
      <c r="N2785" s="2">
        <f t="shared" si="264"/>
        <v>247.2902966540187</v>
      </c>
      <c r="O2785">
        <v>12</v>
      </c>
    </row>
    <row r="2786" spans="1:15" x14ac:dyDescent="0.25">
      <c r="A2786" t="s">
        <v>46</v>
      </c>
      <c r="B2786" t="s">
        <v>16</v>
      </c>
      <c r="C2786" t="s">
        <v>40</v>
      </c>
      <c r="D2786" t="str">
        <f t="shared" si="260"/>
        <v>FAB3_1L  Desl Deslactosada</v>
      </c>
      <c r="E2786">
        <v>2023</v>
      </c>
      <c r="F2786">
        <v>22</v>
      </c>
      <c r="G2786">
        <f t="shared" si="261"/>
        <v>6</v>
      </c>
      <c r="H2786" s="1">
        <f t="shared" si="262"/>
        <v>45075</v>
      </c>
      <c r="I2786" s="1">
        <f t="shared" si="263"/>
        <v>45078</v>
      </c>
      <c r="J2786">
        <v>868242.4600000002</v>
      </c>
      <c r="K2786">
        <v>41568</v>
      </c>
      <c r="L2786">
        <f t="shared" si="259"/>
        <v>20.887280119322561</v>
      </c>
      <c r="M2786">
        <v>3464</v>
      </c>
      <c r="N2786" s="2">
        <f t="shared" si="264"/>
        <v>250.64736143187073</v>
      </c>
      <c r="O2786">
        <v>12</v>
      </c>
    </row>
    <row r="2787" spans="1:15" x14ac:dyDescent="0.25">
      <c r="A2787" t="s">
        <v>46</v>
      </c>
      <c r="B2787" t="s">
        <v>16</v>
      </c>
      <c r="C2787" t="s">
        <v>40</v>
      </c>
      <c r="D2787" t="str">
        <f t="shared" si="260"/>
        <v>FAB3_1L  Desl Deslactosada</v>
      </c>
      <c r="E2787">
        <v>2023</v>
      </c>
      <c r="F2787">
        <v>23</v>
      </c>
      <c r="G2787">
        <f t="shared" si="261"/>
        <v>6</v>
      </c>
      <c r="H2787" s="1">
        <f t="shared" si="262"/>
        <v>45082</v>
      </c>
      <c r="I2787" s="1">
        <f t="shared" si="263"/>
        <v>45078</v>
      </c>
      <c r="J2787">
        <v>251</v>
      </c>
      <c r="K2787">
        <v>12</v>
      </c>
      <c r="L2787">
        <f t="shared" si="259"/>
        <v>20.916666666666668</v>
      </c>
      <c r="M2787">
        <v>1</v>
      </c>
      <c r="N2787" s="2">
        <f t="shared" si="264"/>
        <v>251</v>
      </c>
      <c r="O2787">
        <v>12</v>
      </c>
    </row>
    <row r="2788" spans="1:15" x14ac:dyDescent="0.25">
      <c r="A2788" t="s">
        <v>46</v>
      </c>
      <c r="B2788" t="s">
        <v>16</v>
      </c>
      <c r="C2788" t="s">
        <v>40</v>
      </c>
      <c r="D2788" t="str">
        <f t="shared" si="260"/>
        <v>FAB3_1L  Desl Deslactosada</v>
      </c>
      <c r="E2788">
        <v>2023</v>
      </c>
      <c r="F2788">
        <v>23</v>
      </c>
      <c r="G2788">
        <f t="shared" si="261"/>
        <v>6</v>
      </c>
      <c r="H2788" s="1">
        <f t="shared" si="262"/>
        <v>45082</v>
      </c>
      <c r="I2788" s="1">
        <f t="shared" si="263"/>
        <v>45078</v>
      </c>
      <c r="J2788">
        <v>956777.95000000054</v>
      </c>
      <c r="K2788">
        <v>45780</v>
      </c>
      <c r="L2788">
        <f t="shared" si="259"/>
        <v>20.899474661424215</v>
      </c>
      <c r="M2788">
        <v>3815</v>
      </c>
      <c r="N2788" s="2">
        <f t="shared" si="264"/>
        <v>250.79369593709058</v>
      </c>
      <c r="O2788">
        <v>12</v>
      </c>
    </row>
    <row r="2789" spans="1:15" x14ac:dyDescent="0.25">
      <c r="A2789" t="s">
        <v>46</v>
      </c>
      <c r="B2789" t="s">
        <v>16</v>
      </c>
      <c r="C2789" t="s">
        <v>40</v>
      </c>
      <c r="D2789" t="str">
        <f t="shared" si="260"/>
        <v>FAB3_1L  Desl Deslactosada</v>
      </c>
      <c r="E2789">
        <v>2023</v>
      </c>
      <c r="F2789">
        <v>24</v>
      </c>
      <c r="G2789">
        <f t="shared" si="261"/>
        <v>6</v>
      </c>
      <c r="H2789" s="1">
        <f t="shared" si="262"/>
        <v>45089</v>
      </c>
      <c r="I2789" s="1">
        <f t="shared" si="263"/>
        <v>45078</v>
      </c>
      <c r="J2789">
        <v>422400</v>
      </c>
      <c r="K2789">
        <v>23040</v>
      </c>
      <c r="L2789">
        <f t="shared" si="259"/>
        <v>18.333333333333332</v>
      </c>
      <c r="M2789">
        <v>1920</v>
      </c>
      <c r="N2789" s="2">
        <f t="shared" si="264"/>
        <v>220</v>
      </c>
      <c r="O2789">
        <v>12</v>
      </c>
    </row>
    <row r="2790" spans="1:15" x14ac:dyDescent="0.25">
      <c r="A2790" t="s">
        <v>46</v>
      </c>
      <c r="B2790" t="s">
        <v>16</v>
      </c>
      <c r="C2790" t="s">
        <v>40</v>
      </c>
      <c r="D2790" t="str">
        <f t="shared" si="260"/>
        <v>FAB3_1L  Desl Deslactosada</v>
      </c>
      <c r="E2790">
        <v>2023</v>
      </c>
      <c r="F2790">
        <v>24</v>
      </c>
      <c r="G2790">
        <f t="shared" si="261"/>
        <v>6</v>
      </c>
      <c r="H2790" s="1">
        <f t="shared" si="262"/>
        <v>45089</v>
      </c>
      <c r="I2790" s="1">
        <f t="shared" si="263"/>
        <v>45078</v>
      </c>
      <c r="J2790">
        <v>845745.75000000035</v>
      </c>
      <c r="K2790">
        <v>40452</v>
      </c>
      <c r="L2790">
        <f t="shared" si="259"/>
        <v>20.907390240284791</v>
      </c>
      <c r="M2790">
        <v>3371</v>
      </c>
      <c r="N2790" s="2">
        <f t="shared" si="264"/>
        <v>250.88868288341749</v>
      </c>
      <c r="O2790">
        <v>12</v>
      </c>
    </row>
    <row r="2791" spans="1:15" x14ac:dyDescent="0.25">
      <c r="A2791" t="s">
        <v>46</v>
      </c>
      <c r="B2791" t="s">
        <v>16</v>
      </c>
      <c r="C2791" t="s">
        <v>40</v>
      </c>
      <c r="D2791" t="str">
        <f t="shared" si="260"/>
        <v>FAB3_1L  Desl Deslactosada</v>
      </c>
      <c r="E2791">
        <v>2023</v>
      </c>
      <c r="F2791">
        <v>25</v>
      </c>
      <c r="G2791">
        <f t="shared" si="261"/>
        <v>6</v>
      </c>
      <c r="H2791" s="1">
        <f t="shared" si="262"/>
        <v>45096</v>
      </c>
      <c r="I2791" s="1">
        <f t="shared" si="263"/>
        <v>45078</v>
      </c>
      <c r="J2791">
        <v>422400</v>
      </c>
      <c r="K2791">
        <v>23040</v>
      </c>
      <c r="L2791">
        <f t="shared" si="259"/>
        <v>18.333333333333332</v>
      </c>
      <c r="M2791">
        <v>1920</v>
      </c>
      <c r="N2791" s="2">
        <f t="shared" si="264"/>
        <v>220</v>
      </c>
      <c r="O2791">
        <v>12</v>
      </c>
    </row>
    <row r="2792" spans="1:15" x14ac:dyDescent="0.25">
      <c r="A2792" t="s">
        <v>46</v>
      </c>
      <c r="B2792" t="s">
        <v>16</v>
      </c>
      <c r="C2792" t="s">
        <v>40</v>
      </c>
      <c r="D2792" t="str">
        <f t="shared" si="260"/>
        <v>FAB3_1L  Desl Deslactosada</v>
      </c>
      <c r="E2792">
        <v>2023</v>
      </c>
      <c r="F2792">
        <v>25</v>
      </c>
      <c r="G2792">
        <f t="shared" si="261"/>
        <v>6</v>
      </c>
      <c r="H2792" s="1">
        <f t="shared" si="262"/>
        <v>45096</v>
      </c>
      <c r="I2792" s="1">
        <f t="shared" si="263"/>
        <v>45078</v>
      </c>
      <c r="J2792">
        <v>1035935.4500000005</v>
      </c>
      <c r="K2792">
        <v>51000</v>
      </c>
      <c r="L2792">
        <f t="shared" si="259"/>
        <v>20.31245980392158</v>
      </c>
      <c r="M2792">
        <v>4250</v>
      </c>
      <c r="N2792" s="2">
        <f t="shared" si="264"/>
        <v>243.74951764705895</v>
      </c>
      <c r="O2792">
        <v>12</v>
      </c>
    </row>
    <row r="2793" spans="1:15" x14ac:dyDescent="0.25">
      <c r="A2793" t="s">
        <v>46</v>
      </c>
      <c r="B2793" t="s">
        <v>16</v>
      </c>
      <c r="C2793" t="s">
        <v>40</v>
      </c>
      <c r="D2793" t="str">
        <f t="shared" si="260"/>
        <v>FAB3_1L  Desl Deslactosada</v>
      </c>
      <c r="E2793">
        <v>2023</v>
      </c>
      <c r="F2793">
        <v>26</v>
      </c>
      <c r="G2793">
        <f t="shared" si="261"/>
        <v>6</v>
      </c>
      <c r="H2793" s="1">
        <f t="shared" si="262"/>
        <v>45103</v>
      </c>
      <c r="I2793" s="1">
        <f t="shared" si="263"/>
        <v>45078</v>
      </c>
      <c r="J2793">
        <v>753241.21000000043</v>
      </c>
      <c r="K2793">
        <v>36024</v>
      </c>
      <c r="L2793">
        <f t="shared" si="259"/>
        <v>20.909427326226972</v>
      </c>
      <c r="M2793">
        <v>3002</v>
      </c>
      <c r="N2793" s="2">
        <f t="shared" si="264"/>
        <v>250.91312791472367</v>
      </c>
      <c r="O2793">
        <v>12</v>
      </c>
    </row>
    <row r="2794" spans="1:15" x14ac:dyDescent="0.25">
      <c r="A2794" t="s">
        <v>46</v>
      </c>
      <c r="B2794" t="s">
        <v>16</v>
      </c>
      <c r="C2794" t="s">
        <v>40</v>
      </c>
      <c r="D2794" t="str">
        <f t="shared" si="260"/>
        <v>FAB3_1L  Desl Deslactosada</v>
      </c>
      <c r="E2794">
        <v>2023</v>
      </c>
      <c r="F2794">
        <v>27</v>
      </c>
      <c r="G2794">
        <f t="shared" si="261"/>
        <v>7</v>
      </c>
      <c r="H2794" s="1">
        <f t="shared" si="262"/>
        <v>45110</v>
      </c>
      <c r="I2794" s="1">
        <f t="shared" si="263"/>
        <v>45108</v>
      </c>
      <c r="J2794">
        <v>999303.43000000052</v>
      </c>
      <c r="K2794">
        <v>47232</v>
      </c>
      <c r="L2794">
        <f t="shared" si="259"/>
        <v>21.157338880420067</v>
      </c>
      <c r="M2794">
        <v>3936</v>
      </c>
      <c r="N2794" s="2">
        <f t="shared" si="264"/>
        <v>253.88806656504079</v>
      </c>
      <c r="O2794">
        <v>12</v>
      </c>
    </row>
    <row r="2795" spans="1:15" x14ac:dyDescent="0.25">
      <c r="A2795" t="s">
        <v>46</v>
      </c>
      <c r="B2795" t="s">
        <v>16</v>
      </c>
      <c r="C2795" t="s">
        <v>40</v>
      </c>
      <c r="D2795" t="str">
        <f t="shared" si="260"/>
        <v>FAB3_1L  Desl Deslactosada</v>
      </c>
      <c r="E2795">
        <v>2023</v>
      </c>
      <c r="F2795">
        <v>28</v>
      </c>
      <c r="G2795">
        <f t="shared" si="261"/>
        <v>7</v>
      </c>
      <c r="H2795" s="1">
        <f t="shared" si="262"/>
        <v>45117</v>
      </c>
      <c r="I2795" s="1">
        <f t="shared" si="263"/>
        <v>45108</v>
      </c>
      <c r="J2795">
        <v>437688.56</v>
      </c>
      <c r="K2795">
        <v>23604</v>
      </c>
      <c r="L2795">
        <f t="shared" si="259"/>
        <v>18.542982545331299</v>
      </c>
      <c r="M2795">
        <v>1967</v>
      </c>
      <c r="N2795" s="2">
        <f t="shared" si="264"/>
        <v>222.51579054397558</v>
      </c>
      <c r="O2795">
        <v>12</v>
      </c>
    </row>
    <row r="2796" spans="1:15" x14ac:dyDescent="0.25">
      <c r="A2796" t="s">
        <v>46</v>
      </c>
      <c r="B2796" t="s">
        <v>16</v>
      </c>
      <c r="C2796" t="s">
        <v>40</v>
      </c>
      <c r="D2796" t="str">
        <f t="shared" si="260"/>
        <v>FAB3_1L  Desl Deslactosada</v>
      </c>
      <c r="E2796">
        <v>2023</v>
      </c>
      <c r="F2796">
        <v>28</v>
      </c>
      <c r="G2796">
        <f t="shared" si="261"/>
        <v>7</v>
      </c>
      <c r="H2796" s="1">
        <f t="shared" si="262"/>
        <v>45117</v>
      </c>
      <c r="I2796" s="1">
        <f t="shared" si="263"/>
        <v>45108</v>
      </c>
      <c r="J2796">
        <v>845482.42</v>
      </c>
      <c r="K2796">
        <v>38856</v>
      </c>
      <c r="L2796">
        <f t="shared" si="259"/>
        <v>21.759378731727406</v>
      </c>
      <c r="M2796">
        <v>3238</v>
      </c>
      <c r="N2796" s="2">
        <f t="shared" si="264"/>
        <v>261.11254478072885</v>
      </c>
      <c r="O2796">
        <v>12</v>
      </c>
    </row>
    <row r="2797" spans="1:15" x14ac:dyDescent="0.25">
      <c r="A2797" t="s">
        <v>46</v>
      </c>
      <c r="B2797" t="s">
        <v>16</v>
      </c>
      <c r="C2797" t="s">
        <v>40</v>
      </c>
      <c r="D2797" t="str">
        <f t="shared" si="260"/>
        <v>FAB3_1L  Desl Deslactosada</v>
      </c>
      <c r="E2797">
        <v>2023</v>
      </c>
      <c r="F2797">
        <v>29</v>
      </c>
      <c r="G2797">
        <f t="shared" si="261"/>
        <v>7</v>
      </c>
      <c r="H2797" s="1">
        <f t="shared" si="262"/>
        <v>45124</v>
      </c>
      <c r="I2797" s="1">
        <f t="shared" si="263"/>
        <v>45108</v>
      </c>
      <c r="J2797">
        <v>3373</v>
      </c>
      <c r="K2797">
        <v>156</v>
      </c>
      <c r="L2797">
        <f t="shared" si="259"/>
        <v>21.621794871794872</v>
      </c>
      <c r="M2797">
        <v>13</v>
      </c>
      <c r="N2797" s="2">
        <f t="shared" si="264"/>
        <v>259.46153846153845</v>
      </c>
      <c r="O2797">
        <v>12</v>
      </c>
    </row>
    <row r="2798" spans="1:15" x14ac:dyDescent="0.25">
      <c r="A2798" t="s">
        <v>46</v>
      </c>
      <c r="B2798" t="s">
        <v>16</v>
      </c>
      <c r="C2798" t="s">
        <v>40</v>
      </c>
      <c r="D2798" t="str">
        <f t="shared" si="260"/>
        <v>FAB3_1L  Desl Deslactosada</v>
      </c>
      <c r="E2798">
        <v>2023</v>
      </c>
      <c r="F2798">
        <v>29</v>
      </c>
      <c r="G2798">
        <f t="shared" si="261"/>
        <v>7</v>
      </c>
      <c r="H2798" s="1">
        <f t="shared" si="262"/>
        <v>45124</v>
      </c>
      <c r="I2798" s="1">
        <f t="shared" si="263"/>
        <v>45108</v>
      </c>
      <c r="J2798">
        <v>917669.16</v>
      </c>
      <c r="K2798">
        <v>42072</v>
      </c>
      <c r="L2798">
        <f t="shared" si="259"/>
        <v>21.811873930405021</v>
      </c>
      <c r="M2798">
        <v>3506</v>
      </c>
      <c r="N2798" s="2">
        <f t="shared" si="264"/>
        <v>261.74248716486022</v>
      </c>
      <c r="O2798">
        <v>12</v>
      </c>
    </row>
    <row r="2799" spans="1:15" x14ac:dyDescent="0.25">
      <c r="A2799" t="s">
        <v>46</v>
      </c>
      <c r="B2799" t="s">
        <v>16</v>
      </c>
      <c r="C2799" t="s">
        <v>40</v>
      </c>
      <c r="D2799" t="str">
        <f t="shared" si="260"/>
        <v>FAB3_1L  Desl Deslactosada</v>
      </c>
      <c r="E2799">
        <v>2023</v>
      </c>
      <c r="F2799">
        <v>30</v>
      </c>
      <c r="G2799">
        <f t="shared" si="261"/>
        <v>7</v>
      </c>
      <c r="H2799" s="1">
        <f t="shared" si="262"/>
        <v>45131</v>
      </c>
      <c r="I2799" s="1">
        <f t="shared" si="263"/>
        <v>45108</v>
      </c>
      <c r="J2799">
        <v>19991</v>
      </c>
      <c r="K2799">
        <v>924</v>
      </c>
      <c r="L2799">
        <f t="shared" si="259"/>
        <v>21.635281385281385</v>
      </c>
      <c r="M2799">
        <v>77</v>
      </c>
      <c r="N2799" s="2">
        <f t="shared" si="264"/>
        <v>259.6233766233766</v>
      </c>
      <c r="O2799">
        <v>12</v>
      </c>
    </row>
    <row r="2800" spans="1:15" x14ac:dyDescent="0.25">
      <c r="A2800" t="s">
        <v>46</v>
      </c>
      <c r="B2800" t="s">
        <v>16</v>
      </c>
      <c r="C2800" t="s">
        <v>40</v>
      </c>
      <c r="D2800" t="str">
        <f t="shared" si="260"/>
        <v>FAB3_1L  Desl Deslactosada</v>
      </c>
      <c r="E2800">
        <v>2023</v>
      </c>
      <c r="F2800">
        <v>30</v>
      </c>
      <c r="G2800">
        <f t="shared" si="261"/>
        <v>7</v>
      </c>
      <c r="H2800" s="1">
        <f t="shared" si="262"/>
        <v>45131</v>
      </c>
      <c r="I2800" s="1">
        <f t="shared" si="263"/>
        <v>45108</v>
      </c>
      <c r="J2800">
        <v>768128.91999999993</v>
      </c>
      <c r="K2800">
        <v>35256</v>
      </c>
      <c r="L2800">
        <f t="shared" si="259"/>
        <v>21.787182890855455</v>
      </c>
      <c r="M2800">
        <v>2938</v>
      </c>
      <c r="N2800" s="2">
        <f t="shared" si="264"/>
        <v>261.44619469026549</v>
      </c>
      <c r="O2800">
        <v>12</v>
      </c>
    </row>
    <row r="2801" spans="1:15" x14ac:dyDescent="0.25">
      <c r="A2801" t="s">
        <v>46</v>
      </c>
      <c r="B2801" t="s">
        <v>16</v>
      </c>
      <c r="C2801" t="s">
        <v>40</v>
      </c>
      <c r="D2801" t="str">
        <f t="shared" si="260"/>
        <v>FAB3_1L  Desl Deslactosada</v>
      </c>
      <c r="E2801">
        <v>2023</v>
      </c>
      <c r="F2801">
        <v>31</v>
      </c>
      <c r="G2801">
        <f t="shared" si="261"/>
        <v>8</v>
      </c>
      <c r="H2801" s="1">
        <f t="shared" si="262"/>
        <v>45138</v>
      </c>
      <c r="I2801" s="1">
        <f t="shared" si="263"/>
        <v>45139</v>
      </c>
      <c r="J2801">
        <v>39520.86</v>
      </c>
      <c r="K2801">
        <v>1848</v>
      </c>
      <c r="L2801">
        <f t="shared" si="259"/>
        <v>21.385746753246753</v>
      </c>
      <c r="M2801">
        <v>154</v>
      </c>
      <c r="N2801" s="2">
        <f t="shared" si="264"/>
        <v>256.62896103896105</v>
      </c>
      <c r="O2801">
        <v>12</v>
      </c>
    </row>
    <row r="2802" spans="1:15" x14ac:dyDescent="0.25">
      <c r="A2802" t="s">
        <v>46</v>
      </c>
      <c r="B2802" t="s">
        <v>16</v>
      </c>
      <c r="C2802" t="s">
        <v>40</v>
      </c>
      <c r="D2802" t="str">
        <f t="shared" si="260"/>
        <v>FAB3_1L  Desl Deslactosada</v>
      </c>
      <c r="E2802">
        <v>2023</v>
      </c>
      <c r="F2802">
        <v>31</v>
      </c>
      <c r="G2802">
        <f t="shared" si="261"/>
        <v>8</v>
      </c>
      <c r="H2802" s="1">
        <f t="shared" si="262"/>
        <v>45138</v>
      </c>
      <c r="I2802" s="1">
        <f t="shared" si="263"/>
        <v>45139</v>
      </c>
      <c r="J2802">
        <v>1141913.3700000003</v>
      </c>
      <c r="K2802">
        <v>54072</v>
      </c>
      <c r="L2802">
        <f t="shared" si="259"/>
        <v>21.118386040834448</v>
      </c>
      <c r="M2802">
        <v>4506</v>
      </c>
      <c r="N2802" s="2">
        <f t="shared" si="264"/>
        <v>253.42063249001339</v>
      </c>
      <c r="O2802">
        <v>12</v>
      </c>
    </row>
    <row r="2803" spans="1:15" x14ac:dyDescent="0.25">
      <c r="A2803" t="s">
        <v>46</v>
      </c>
      <c r="B2803" t="s">
        <v>16</v>
      </c>
      <c r="C2803" t="s">
        <v>40</v>
      </c>
      <c r="D2803" t="str">
        <f t="shared" si="260"/>
        <v>FAB3_1L  Desl Deslactosada</v>
      </c>
      <c r="E2803">
        <v>2023</v>
      </c>
      <c r="F2803">
        <v>32</v>
      </c>
      <c r="G2803">
        <f t="shared" si="261"/>
        <v>8</v>
      </c>
      <c r="H2803" s="1">
        <f t="shared" si="262"/>
        <v>45145</v>
      </c>
      <c r="I2803" s="1">
        <f t="shared" si="263"/>
        <v>45139</v>
      </c>
      <c r="J2803">
        <v>22332.059999999998</v>
      </c>
      <c r="K2803">
        <v>1044</v>
      </c>
      <c r="L2803">
        <f t="shared" si="259"/>
        <v>21.390862068965514</v>
      </c>
      <c r="M2803">
        <v>87</v>
      </c>
      <c r="N2803" s="2">
        <f t="shared" si="264"/>
        <v>256.69034482758616</v>
      </c>
      <c r="O2803">
        <v>12</v>
      </c>
    </row>
    <row r="2804" spans="1:15" x14ac:dyDescent="0.25">
      <c r="A2804" t="s">
        <v>46</v>
      </c>
      <c r="B2804" t="s">
        <v>16</v>
      </c>
      <c r="C2804" t="s">
        <v>40</v>
      </c>
      <c r="D2804" t="str">
        <f t="shared" si="260"/>
        <v>FAB3_1L  Desl Deslactosada</v>
      </c>
      <c r="E2804">
        <v>2023</v>
      </c>
      <c r="F2804">
        <v>32</v>
      </c>
      <c r="G2804">
        <f t="shared" si="261"/>
        <v>8</v>
      </c>
      <c r="H2804" s="1">
        <f t="shared" si="262"/>
        <v>45145</v>
      </c>
      <c r="I2804" s="1">
        <f t="shared" si="263"/>
        <v>45139</v>
      </c>
      <c r="J2804">
        <v>1163090.1200000008</v>
      </c>
      <c r="K2804">
        <v>56736</v>
      </c>
      <c r="L2804">
        <f t="shared" si="259"/>
        <v>20.500037366046264</v>
      </c>
      <c r="M2804">
        <v>4728</v>
      </c>
      <c r="N2804" s="2">
        <f t="shared" si="264"/>
        <v>246.00044839255517</v>
      </c>
      <c r="O2804">
        <v>12</v>
      </c>
    </row>
    <row r="2805" spans="1:15" x14ac:dyDescent="0.25">
      <c r="A2805" t="s">
        <v>46</v>
      </c>
      <c r="B2805" t="s">
        <v>16</v>
      </c>
      <c r="C2805" t="s">
        <v>40</v>
      </c>
      <c r="D2805" t="str">
        <f t="shared" si="260"/>
        <v>FAB3_1L  Desl Deslactosada</v>
      </c>
      <c r="E2805">
        <v>2023</v>
      </c>
      <c r="F2805">
        <v>33</v>
      </c>
      <c r="G2805">
        <f t="shared" si="261"/>
        <v>8</v>
      </c>
      <c r="H2805" s="1">
        <f t="shared" si="262"/>
        <v>45152</v>
      </c>
      <c r="I2805" s="1">
        <f t="shared" si="263"/>
        <v>45139</v>
      </c>
      <c r="J2805">
        <v>623174</v>
      </c>
      <c r="K2805">
        <v>33048</v>
      </c>
      <c r="L2805">
        <f t="shared" si="259"/>
        <v>18.856632776567416</v>
      </c>
      <c r="M2805">
        <v>2754</v>
      </c>
      <c r="N2805" s="2">
        <f t="shared" si="264"/>
        <v>226.27959331880899</v>
      </c>
      <c r="O2805">
        <v>12</v>
      </c>
    </row>
    <row r="2806" spans="1:15" x14ac:dyDescent="0.25">
      <c r="A2806" t="s">
        <v>46</v>
      </c>
      <c r="B2806" t="s">
        <v>16</v>
      </c>
      <c r="C2806" t="s">
        <v>40</v>
      </c>
      <c r="D2806" t="str">
        <f t="shared" si="260"/>
        <v>FAB3_1L  Desl Deslactosada</v>
      </c>
      <c r="E2806">
        <v>2023</v>
      </c>
      <c r="F2806">
        <v>33</v>
      </c>
      <c r="G2806">
        <f t="shared" si="261"/>
        <v>8</v>
      </c>
      <c r="H2806" s="1">
        <f t="shared" si="262"/>
        <v>45152</v>
      </c>
      <c r="I2806" s="1">
        <f t="shared" si="263"/>
        <v>45139</v>
      </c>
      <c r="J2806">
        <v>1266256.4000000008</v>
      </c>
      <c r="K2806">
        <v>62064</v>
      </c>
      <c r="L2806">
        <f t="shared" si="259"/>
        <v>20.402429749935564</v>
      </c>
      <c r="M2806">
        <v>5172</v>
      </c>
      <c r="N2806" s="2">
        <f t="shared" si="264"/>
        <v>244.82915699922677</v>
      </c>
      <c r="O2806">
        <v>12</v>
      </c>
    </row>
    <row r="2807" spans="1:15" x14ac:dyDescent="0.25">
      <c r="A2807" t="s">
        <v>46</v>
      </c>
      <c r="B2807" t="s">
        <v>16</v>
      </c>
      <c r="C2807" t="s">
        <v>40</v>
      </c>
      <c r="D2807" t="str">
        <f t="shared" si="260"/>
        <v>FAB3_1L  Desl Deslactosada</v>
      </c>
      <c r="E2807">
        <v>2023</v>
      </c>
      <c r="F2807">
        <v>34</v>
      </c>
      <c r="G2807">
        <f t="shared" si="261"/>
        <v>8</v>
      </c>
      <c r="H2807" s="1">
        <f t="shared" si="262"/>
        <v>45159</v>
      </c>
      <c r="I2807" s="1">
        <f t="shared" si="263"/>
        <v>45139</v>
      </c>
      <c r="J2807">
        <v>20483</v>
      </c>
      <c r="K2807">
        <v>960</v>
      </c>
      <c r="L2807">
        <f t="shared" si="259"/>
        <v>21.336458333333333</v>
      </c>
      <c r="M2807">
        <v>80</v>
      </c>
      <c r="N2807" s="2">
        <f t="shared" si="264"/>
        <v>256.03750000000002</v>
      </c>
      <c r="O2807">
        <v>12</v>
      </c>
    </row>
    <row r="2808" spans="1:15" x14ac:dyDescent="0.25">
      <c r="A2808" t="s">
        <v>46</v>
      </c>
      <c r="B2808" t="s">
        <v>16</v>
      </c>
      <c r="C2808" t="s">
        <v>40</v>
      </c>
      <c r="D2808" t="str">
        <f t="shared" si="260"/>
        <v>FAB3_1L  Desl Deslactosada</v>
      </c>
      <c r="E2808">
        <v>2023</v>
      </c>
      <c r="F2808">
        <v>34</v>
      </c>
      <c r="G2808">
        <f t="shared" si="261"/>
        <v>8</v>
      </c>
      <c r="H2808" s="1">
        <f t="shared" si="262"/>
        <v>45159</v>
      </c>
      <c r="I2808" s="1">
        <f t="shared" si="263"/>
        <v>45139</v>
      </c>
      <c r="J2808">
        <v>1041691.3</v>
      </c>
      <c r="K2808">
        <v>49584</v>
      </c>
      <c r="L2808">
        <f t="shared" si="259"/>
        <v>21.008617699257826</v>
      </c>
      <c r="M2808">
        <v>4132</v>
      </c>
      <c r="N2808" s="2">
        <f t="shared" si="264"/>
        <v>252.10341239109391</v>
      </c>
      <c r="O2808">
        <v>12</v>
      </c>
    </row>
    <row r="2809" spans="1:15" x14ac:dyDescent="0.25">
      <c r="A2809" t="s">
        <v>46</v>
      </c>
      <c r="B2809" t="s">
        <v>16</v>
      </c>
      <c r="C2809" t="s">
        <v>40</v>
      </c>
      <c r="D2809" t="str">
        <f t="shared" si="260"/>
        <v>FAB3_1L  Desl Deslactosada</v>
      </c>
      <c r="E2809">
        <v>2023</v>
      </c>
      <c r="F2809">
        <v>35</v>
      </c>
      <c r="G2809">
        <f t="shared" si="261"/>
        <v>8</v>
      </c>
      <c r="H2809" s="1">
        <f t="shared" si="262"/>
        <v>45166</v>
      </c>
      <c r="I2809" s="1">
        <f t="shared" si="263"/>
        <v>45139</v>
      </c>
      <c r="J2809">
        <v>90000</v>
      </c>
      <c r="K2809">
        <v>4800</v>
      </c>
      <c r="L2809">
        <f t="shared" si="259"/>
        <v>18.75</v>
      </c>
      <c r="M2809">
        <v>400</v>
      </c>
      <c r="N2809" s="2">
        <f t="shared" si="264"/>
        <v>225</v>
      </c>
      <c r="O2809">
        <v>12</v>
      </c>
    </row>
    <row r="2810" spans="1:15" x14ac:dyDescent="0.25">
      <c r="A2810" t="s">
        <v>46</v>
      </c>
      <c r="B2810" t="s">
        <v>16</v>
      </c>
      <c r="C2810" t="s">
        <v>40</v>
      </c>
      <c r="D2810" t="str">
        <f t="shared" si="260"/>
        <v>FAB3_1L  Desl Deslactosada</v>
      </c>
      <c r="E2810">
        <v>2023</v>
      </c>
      <c r="F2810">
        <v>35</v>
      </c>
      <c r="G2810">
        <f t="shared" si="261"/>
        <v>8</v>
      </c>
      <c r="H2810" s="1">
        <f t="shared" si="262"/>
        <v>45166</v>
      </c>
      <c r="I2810" s="1">
        <f t="shared" si="263"/>
        <v>45139</v>
      </c>
      <c r="J2810">
        <v>970930.18999999983</v>
      </c>
      <c r="K2810">
        <v>44496</v>
      </c>
      <c r="L2810">
        <f t="shared" si="259"/>
        <v>21.820617358863714</v>
      </c>
      <c r="M2810">
        <v>3708</v>
      </c>
      <c r="N2810" s="2">
        <f t="shared" si="264"/>
        <v>261.84740830636457</v>
      </c>
      <c r="O2810">
        <v>12</v>
      </c>
    </row>
    <row r="2811" spans="1:15" x14ac:dyDescent="0.25">
      <c r="A2811" t="s">
        <v>46</v>
      </c>
      <c r="B2811" t="s">
        <v>16</v>
      </c>
      <c r="C2811" t="s">
        <v>40</v>
      </c>
      <c r="D2811" t="str">
        <f t="shared" si="260"/>
        <v>FAB3_1L  Desl Deslactosada</v>
      </c>
      <c r="E2811">
        <v>2023</v>
      </c>
      <c r="F2811">
        <v>36</v>
      </c>
      <c r="G2811">
        <f t="shared" si="261"/>
        <v>9</v>
      </c>
      <c r="H2811" s="1">
        <f t="shared" si="262"/>
        <v>45173</v>
      </c>
      <c r="I2811" s="1">
        <f t="shared" si="263"/>
        <v>45170</v>
      </c>
      <c r="J2811">
        <v>20811.199999999997</v>
      </c>
      <c r="K2811">
        <v>972</v>
      </c>
      <c r="L2811">
        <f t="shared" si="259"/>
        <v>21.410699588477364</v>
      </c>
      <c r="M2811">
        <v>81</v>
      </c>
      <c r="N2811" s="2">
        <f t="shared" si="264"/>
        <v>256.92839506172834</v>
      </c>
      <c r="O2811">
        <v>12</v>
      </c>
    </row>
    <row r="2812" spans="1:15" x14ac:dyDescent="0.25">
      <c r="A2812" t="s">
        <v>46</v>
      </c>
      <c r="B2812" t="s">
        <v>16</v>
      </c>
      <c r="C2812" t="s">
        <v>40</v>
      </c>
      <c r="D2812" t="str">
        <f t="shared" si="260"/>
        <v>FAB3_1L  Desl Deslactosada</v>
      </c>
      <c r="E2812">
        <v>2023</v>
      </c>
      <c r="F2812">
        <v>36</v>
      </c>
      <c r="G2812">
        <f t="shared" si="261"/>
        <v>9</v>
      </c>
      <c r="H2812" s="1">
        <f t="shared" si="262"/>
        <v>45173</v>
      </c>
      <c r="I2812" s="1">
        <f t="shared" si="263"/>
        <v>45170</v>
      </c>
      <c r="J2812">
        <v>1084899.46</v>
      </c>
      <c r="K2812">
        <v>49680</v>
      </c>
      <c r="L2812">
        <f t="shared" si="259"/>
        <v>21.837750805152979</v>
      </c>
      <c r="M2812">
        <v>4140</v>
      </c>
      <c r="N2812" s="2">
        <f t="shared" si="264"/>
        <v>262.05300966183574</v>
      </c>
      <c r="O2812">
        <v>12</v>
      </c>
    </row>
    <row r="2813" spans="1:15" x14ac:dyDescent="0.25">
      <c r="A2813" t="s">
        <v>46</v>
      </c>
      <c r="B2813" t="s">
        <v>16</v>
      </c>
      <c r="C2813" t="s">
        <v>40</v>
      </c>
      <c r="D2813" t="str">
        <f t="shared" si="260"/>
        <v>FAB3_1L  Desl Deslactosada</v>
      </c>
      <c r="E2813">
        <v>2023</v>
      </c>
      <c r="F2813">
        <v>37</v>
      </c>
      <c r="G2813">
        <f t="shared" si="261"/>
        <v>9</v>
      </c>
      <c r="H2813" s="1">
        <f t="shared" si="262"/>
        <v>45180</v>
      </c>
      <c r="I2813" s="1">
        <f t="shared" si="263"/>
        <v>45170</v>
      </c>
      <c r="J2813">
        <v>220768.43</v>
      </c>
      <c r="K2813">
        <v>11124</v>
      </c>
      <c r="L2813">
        <f t="shared" si="259"/>
        <v>19.846137180870191</v>
      </c>
      <c r="M2813">
        <v>927</v>
      </c>
      <c r="N2813" s="2">
        <f t="shared" si="264"/>
        <v>238.15364617044227</v>
      </c>
      <c r="O2813">
        <v>12</v>
      </c>
    </row>
    <row r="2814" spans="1:15" x14ac:dyDescent="0.25">
      <c r="A2814" t="s">
        <v>46</v>
      </c>
      <c r="B2814" t="s">
        <v>16</v>
      </c>
      <c r="C2814" t="s">
        <v>40</v>
      </c>
      <c r="D2814" t="str">
        <f t="shared" si="260"/>
        <v>FAB3_1L  Desl Deslactosada</v>
      </c>
      <c r="E2814">
        <v>2023</v>
      </c>
      <c r="F2814">
        <v>37</v>
      </c>
      <c r="G2814">
        <f t="shared" si="261"/>
        <v>9</v>
      </c>
      <c r="H2814" s="1">
        <f t="shared" si="262"/>
        <v>45180</v>
      </c>
      <c r="I2814" s="1">
        <f t="shared" si="263"/>
        <v>45170</v>
      </c>
      <c r="J2814">
        <v>1050576.6999999997</v>
      </c>
      <c r="K2814">
        <v>48504</v>
      </c>
      <c r="L2814">
        <f t="shared" ref="L2814:L2877" si="265">J2814/(M2814*O2814)</f>
        <v>21.65958889988454</v>
      </c>
      <c r="M2814">
        <v>4042</v>
      </c>
      <c r="N2814" s="2">
        <f t="shared" si="264"/>
        <v>259.91506679861448</v>
      </c>
      <c r="O2814">
        <v>12</v>
      </c>
    </row>
    <row r="2815" spans="1:15" x14ac:dyDescent="0.25">
      <c r="A2815" t="s">
        <v>46</v>
      </c>
      <c r="B2815" t="s">
        <v>16</v>
      </c>
      <c r="C2815" t="s">
        <v>40</v>
      </c>
      <c r="D2815" t="str">
        <f t="shared" si="260"/>
        <v>FAB3_1L  Desl Deslactosada</v>
      </c>
      <c r="E2815">
        <v>2023</v>
      </c>
      <c r="F2815">
        <v>38</v>
      </c>
      <c r="G2815">
        <f t="shared" si="261"/>
        <v>9</v>
      </c>
      <c r="H2815" s="1">
        <f t="shared" si="262"/>
        <v>45187</v>
      </c>
      <c r="I2815" s="1">
        <f t="shared" si="263"/>
        <v>45170</v>
      </c>
      <c r="J2815">
        <v>513.58000000000004</v>
      </c>
      <c r="K2815">
        <v>24</v>
      </c>
      <c r="L2815">
        <f t="shared" si="265"/>
        <v>21.39916666666667</v>
      </c>
      <c r="M2815">
        <v>2</v>
      </c>
      <c r="N2815" s="2">
        <f t="shared" si="264"/>
        <v>256.79000000000002</v>
      </c>
      <c r="O2815">
        <v>12</v>
      </c>
    </row>
    <row r="2816" spans="1:15" x14ac:dyDescent="0.25">
      <c r="A2816" t="s">
        <v>46</v>
      </c>
      <c r="B2816" t="s">
        <v>16</v>
      </c>
      <c r="C2816" t="s">
        <v>40</v>
      </c>
      <c r="D2816" t="str">
        <f t="shared" si="260"/>
        <v>FAB3_1L  Desl Deslactosada</v>
      </c>
      <c r="E2816">
        <v>2023</v>
      </c>
      <c r="F2816">
        <v>38</v>
      </c>
      <c r="G2816">
        <f t="shared" si="261"/>
        <v>9</v>
      </c>
      <c r="H2816" s="1">
        <f t="shared" si="262"/>
        <v>45187</v>
      </c>
      <c r="I2816" s="1">
        <f t="shared" si="263"/>
        <v>45170</v>
      </c>
      <c r="J2816">
        <v>982556.40000000014</v>
      </c>
      <c r="K2816">
        <v>45576</v>
      </c>
      <c r="L2816">
        <f t="shared" si="265"/>
        <v>21.558636124275939</v>
      </c>
      <c r="M2816">
        <v>3798</v>
      </c>
      <c r="N2816" s="2">
        <f t="shared" si="264"/>
        <v>258.70363349131128</v>
      </c>
      <c r="O2816">
        <v>12</v>
      </c>
    </row>
    <row r="2817" spans="1:15" x14ac:dyDescent="0.25">
      <c r="A2817" t="s">
        <v>46</v>
      </c>
      <c r="B2817" t="s">
        <v>16</v>
      </c>
      <c r="C2817" t="s">
        <v>40</v>
      </c>
      <c r="D2817" t="str">
        <f t="shared" si="260"/>
        <v>FAB3_1L  Desl Deslactosada</v>
      </c>
      <c r="E2817">
        <v>2023</v>
      </c>
      <c r="F2817">
        <v>39</v>
      </c>
      <c r="G2817">
        <f t="shared" si="261"/>
        <v>9</v>
      </c>
      <c r="H2817" s="1">
        <f t="shared" si="262"/>
        <v>45194</v>
      </c>
      <c r="I2817" s="1">
        <f t="shared" si="263"/>
        <v>45170</v>
      </c>
      <c r="J2817">
        <v>23117.9</v>
      </c>
      <c r="K2817">
        <v>1080</v>
      </c>
      <c r="L2817">
        <f t="shared" si="265"/>
        <v>21.405462962962964</v>
      </c>
      <c r="M2817">
        <v>90</v>
      </c>
      <c r="N2817" s="2">
        <f t="shared" si="264"/>
        <v>256.86555555555555</v>
      </c>
      <c r="O2817">
        <v>12</v>
      </c>
    </row>
    <row r="2818" spans="1:15" x14ac:dyDescent="0.25">
      <c r="A2818" t="s">
        <v>46</v>
      </c>
      <c r="B2818" t="s">
        <v>16</v>
      </c>
      <c r="C2818" t="s">
        <v>40</v>
      </c>
      <c r="D2818" t="str">
        <f t="shared" si="260"/>
        <v>FAB3_1L  Desl Deslactosada</v>
      </c>
      <c r="E2818">
        <v>2023</v>
      </c>
      <c r="F2818">
        <v>39</v>
      </c>
      <c r="G2818">
        <f t="shared" si="261"/>
        <v>9</v>
      </c>
      <c r="H2818" s="1">
        <f t="shared" si="262"/>
        <v>45194</v>
      </c>
      <c r="I2818" s="1">
        <f t="shared" si="263"/>
        <v>45170</v>
      </c>
      <c r="J2818">
        <v>859800.94000000018</v>
      </c>
      <c r="K2818">
        <v>40068</v>
      </c>
      <c r="L2818">
        <f t="shared" si="265"/>
        <v>21.458543975242094</v>
      </c>
      <c r="M2818">
        <v>3339</v>
      </c>
      <c r="N2818" s="2">
        <f t="shared" si="264"/>
        <v>257.50252770290513</v>
      </c>
      <c r="O2818">
        <v>12</v>
      </c>
    </row>
    <row r="2819" spans="1:15" x14ac:dyDescent="0.25">
      <c r="A2819" t="s">
        <v>46</v>
      </c>
      <c r="B2819" t="s">
        <v>16</v>
      </c>
      <c r="C2819" t="s">
        <v>40</v>
      </c>
      <c r="D2819" t="str">
        <f t="shared" ref="D2819:D2882" si="266">B2819&amp;"_"&amp;C2819</f>
        <v>FAB3_1L  Desl Deslactosada</v>
      </c>
      <c r="E2819">
        <v>2023</v>
      </c>
      <c r="F2819">
        <v>40</v>
      </c>
      <c r="G2819">
        <f t="shared" ref="G2819:G2882" si="267">MONTH(DATE(E2819,1,4)+(F2819-1)*7-WEEKDAY(DATE(E2819,1,4),2)+4)</f>
        <v>10</v>
      </c>
      <c r="H2819" s="1">
        <f t="shared" ref="H2819:H2882" si="268">DATE(E2819,1,-2)-WEEKDAY(DATE(E2819,1,3))+F2819*7</f>
        <v>45201</v>
      </c>
      <c r="I2819" s="1">
        <f t="shared" ref="I2819:I2882" si="269">DATE(E2819,G2819,1)</f>
        <v>45200</v>
      </c>
      <c r="J2819">
        <v>23966.29</v>
      </c>
      <c r="K2819">
        <v>1116</v>
      </c>
      <c r="L2819">
        <f t="shared" si="265"/>
        <v>21.47517025089606</v>
      </c>
      <c r="M2819">
        <v>93</v>
      </c>
      <c r="N2819" s="2">
        <f t="shared" ref="N2819:N2882" si="270">J2819/M2819</f>
        <v>257.70204301075267</v>
      </c>
      <c r="O2819">
        <v>12</v>
      </c>
    </row>
    <row r="2820" spans="1:15" x14ac:dyDescent="0.25">
      <c r="A2820" t="s">
        <v>46</v>
      </c>
      <c r="B2820" t="s">
        <v>16</v>
      </c>
      <c r="C2820" t="s">
        <v>40</v>
      </c>
      <c r="D2820" t="str">
        <f t="shared" si="266"/>
        <v>FAB3_1L  Desl Deslactosada</v>
      </c>
      <c r="E2820">
        <v>2023</v>
      </c>
      <c r="F2820">
        <v>40</v>
      </c>
      <c r="G2820">
        <f t="shared" si="267"/>
        <v>10</v>
      </c>
      <c r="H2820" s="1">
        <f t="shared" si="268"/>
        <v>45201</v>
      </c>
      <c r="I2820" s="1">
        <f t="shared" si="269"/>
        <v>45200</v>
      </c>
      <c r="J2820">
        <v>1208097.82</v>
      </c>
      <c r="K2820">
        <v>56220</v>
      </c>
      <c r="L2820">
        <f t="shared" si="265"/>
        <v>21.488755247242974</v>
      </c>
      <c r="M2820">
        <v>4685</v>
      </c>
      <c r="N2820" s="2">
        <f t="shared" si="270"/>
        <v>257.86506296691573</v>
      </c>
      <c r="O2820">
        <v>12</v>
      </c>
    </row>
    <row r="2821" spans="1:15" x14ac:dyDescent="0.25">
      <c r="A2821" t="s">
        <v>46</v>
      </c>
      <c r="B2821" t="s">
        <v>16</v>
      </c>
      <c r="C2821" t="s">
        <v>40</v>
      </c>
      <c r="D2821" t="str">
        <f t="shared" si="266"/>
        <v>FAB3_1L  Desl Deslactosada</v>
      </c>
      <c r="E2821">
        <v>2023</v>
      </c>
      <c r="F2821">
        <v>41</v>
      </c>
      <c r="G2821">
        <f t="shared" si="267"/>
        <v>10</v>
      </c>
      <c r="H2821" s="1">
        <f t="shared" si="268"/>
        <v>45208</v>
      </c>
      <c r="I2821" s="1">
        <f t="shared" si="269"/>
        <v>45200</v>
      </c>
      <c r="J2821">
        <v>60010</v>
      </c>
      <c r="K2821">
        <v>2760</v>
      </c>
      <c r="L2821">
        <f t="shared" si="265"/>
        <v>21.742753623188406</v>
      </c>
      <c r="M2821">
        <v>230</v>
      </c>
      <c r="N2821" s="2">
        <f t="shared" si="270"/>
        <v>260.91304347826087</v>
      </c>
      <c r="O2821">
        <v>12</v>
      </c>
    </row>
    <row r="2822" spans="1:15" x14ac:dyDescent="0.25">
      <c r="A2822" t="s">
        <v>46</v>
      </c>
      <c r="B2822" t="s">
        <v>16</v>
      </c>
      <c r="C2822" t="s">
        <v>40</v>
      </c>
      <c r="D2822" t="str">
        <f t="shared" si="266"/>
        <v>FAB3_1L  Desl Deslactosada</v>
      </c>
      <c r="E2822">
        <v>2023</v>
      </c>
      <c r="F2822">
        <v>41</v>
      </c>
      <c r="G2822">
        <f t="shared" si="267"/>
        <v>10</v>
      </c>
      <c r="H2822" s="1">
        <f t="shared" si="268"/>
        <v>45208</v>
      </c>
      <c r="I2822" s="1">
        <f t="shared" si="269"/>
        <v>45200</v>
      </c>
      <c r="J2822">
        <v>1277839.1599999999</v>
      </c>
      <c r="K2822">
        <v>61488</v>
      </c>
      <c r="L2822">
        <f t="shared" si="265"/>
        <v>20.781927530575071</v>
      </c>
      <c r="M2822">
        <v>5124</v>
      </c>
      <c r="N2822" s="2">
        <f t="shared" si="270"/>
        <v>249.38313036690084</v>
      </c>
      <c r="O2822">
        <v>12</v>
      </c>
    </row>
    <row r="2823" spans="1:15" x14ac:dyDescent="0.25">
      <c r="A2823" t="s">
        <v>46</v>
      </c>
      <c r="B2823" t="s">
        <v>16</v>
      </c>
      <c r="C2823" t="s">
        <v>40</v>
      </c>
      <c r="D2823" t="str">
        <f t="shared" si="266"/>
        <v>FAB3_1L  Desl Deslactosada</v>
      </c>
      <c r="E2823">
        <v>2023</v>
      </c>
      <c r="F2823">
        <v>42</v>
      </c>
      <c r="G2823">
        <f t="shared" si="267"/>
        <v>10</v>
      </c>
      <c r="H2823" s="1">
        <f t="shared" si="268"/>
        <v>45215</v>
      </c>
      <c r="I2823" s="1">
        <f t="shared" si="269"/>
        <v>45200</v>
      </c>
      <c r="J2823">
        <v>35912.99</v>
      </c>
      <c r="K2823">
        <v>1680</v>
      </c>
      <c r="L2823">
        <f t="shared" si="265"/>
        <v>21.376779761904761</v>
      </c>
      <c r="M2823">
        <v>140</v>
      </c>
      <c r="N2823" s="2">
        <f t="shared" si="270"/>
        <v>256.52135714285714</v>
      </c>
      <c r="O2823">
        <v>12</v>
      </c>
    </row>
    <row r="2824" spans="1:15" x14ac:dyDescent="0.25">
      <c r="A2824" t="s">
        <v>46</v>
      </c>
      <c r="B2824" t="s">
        <v>16</v>
      </c>
      <c r="C2824" t="s">
        <v>40</v>
      </c>
      <c r="D2824" t="str">
        <f t="shared" si="266"/>
        <v>FAB3_1L  Desl Deslactosada</v>
      </c>
      <c r="E2824">
        <v>2023</v>
      </c>
      <c r="F2824">
        <v>42</v>
      </c>
      <c r="G2824">
        <f t="shared" si="267"/>
        <v>10</v>
      </c>
      <c r="H2824" s="1">
        <f t="shared" si="268"/>
        <v>45215</v>
      </c>
      <c r="I2824" s="1">
        <f t="shared" si="269"/>
        <v>45200</v>
      </c>
      <c r="J2824">
        <v>1669162.540000001</v>
      </c>
      <c r="K2824">
        <v>82764</v>
      </c>
      <c r="L2824">
        <f t="shared" si="265"/>
        <v>20.167736455463739</v>
      </c>
      <c r="M2824">
        <v>6897</v>
      </c>
      <c r="N2824" s="2">
        <f t="shared" si="270"/>
        <v>242.01283746556487</v>
      </c>
      <c r="O2824">
        <v>12</v>
      </c>
    </row>
    <row r="2825" spans="1:15" x14ac:dyDescent="0.25">
      <c r="A2825" t="s">
        <v>46</v>
      </c>
      <c r="B2825" t="s">
        <v>16</v>
      </c>
      <c r="C2825" t="s">
        <v>40</v>
      </c>
      <c r="D2825" t="str">
        <f t="shared" si="266"/>
        <v>FAB3_1L  Desl Deslactosada</v>
      </c>
      <c r="E2825">
        <v>2023</v>
      </c>
      <c r="F2825">
        <v>43</v>
      </c>
      <c r="G2825">
        <f t="shared" si="267"/>
        <v>10</v>
      </c>
      <c r="H2825" s="1">
        <f t="shared" si="268"/>
        <v>45222</v>
      </c>
      <c r="I2825" s="1">
        <f t="shared" si="269"/>
        <v>45200</v>
      </c>
      <c r="J2825">
        <v>4716</v>
      </c>
      <c r="K2825">
        <v>216</v>
      </c>
      <c r="L2825">
        <f t="shared" si="265"/>
        <v>21.833333333333332</v>
      </c>
      <c r="M2825">
        <v>18</v>
      </c>
      <c r="N2825" s="2">
        <f t="shared" si="270"/>
        <v>262</v>
      </c>
      <c r="O2825">
        <v>12</v>
      </c>
    </row>
    <row r="2826" spans="1:15" x14ac:dyDescent="0.25">
      <c r="A2826" t="s">
        <v>46</v>
      </c>
      <c r="B2826" t="s">
        <v>16</v>
      </c>
      <c r="C2826" t="s">
        <v>40</v>
      </c>
      <c r="D2826" t="str">
        <f t="shared" si="266"/>
        <v>FAB3_1L  Desl Deslactosada</v>
      </c>
      <c r="E2826">
        <v>2023</v>
      </c>
      <c r="F2826">
        <v>43</v>
      </c>
      <c r="G2826">
        <f t="shared" si="267"/>
        <v>10</v>
      </c>
      <c r="H2826" s="1">
        <f t="shared" si="268"/>
        <v>45222</v>
      </c>
      <c r="I2826" s="1">
        <f t="shared" si="269"/>
        <v>45200</v>
      </c>
      <c r="J2826">
        <v>849980.66000000015</v>
      </c>
      <c r="K2826">
        <v>40224</v>
      </c>
      <c r="L2826">
        <f t="shared" si="265"/>
        <v>21.131181881463807</v>
      </c>
      <c r="M2826">
        <v>3352</v>
      </c>
      <c r="N2826" s="2">
        <f t="shared" si="270"/>
        <v>253.57418257756567</v>
      </c>
      <c r="O2826">
        <v>12</v>
      </c>
    </row>
    <row r="2827" spans="1:15" x14ac:dyDescent="0.25">
      <c r="A2827" t="s">
        <v>46</v>
      </c>
      <c r="B2827" t="s">
        <v>16</v>
      </c>
      <c r="C2827" t="s">
        <v>40</v>
      </c>
      <c r="D2827" t="str">
        <f t="shared" si="266"/>
        <v>FAB3_1L  Desl Deslactosada</v>
      </c>
      <c r="E2827">
        <v>2023</v>
      </c>
      <c r="F2827">
        <v>44</v>
      </c>
      <c r="G2827">
        <f t="shared" si="267"/>
        <v>11</v>
      </c>
      <c r="H2827" s="1">
        <f t="shared" si="268"/>
        <v>45229</v>
      </c>
      <c r="I2827" s="1">
        <f t="shared" si="269"/>
        <v>45231</v>
      </c>
      <c r="J2827">
        <v>26133.08</v>
      </c>
      <c r="K2827">
        <v>1272</v>
      </c>
      <c r="L2827">
        <f t="shared" si="265"/>
        <v>20.544874213836479</v>
      </c>
      <c r="M2827">
        <v>106</v>
      </c>
      <c r="N2827" s="2">
        <f t="shared" si="270"/>
        <v>246.53849056603775</v>
      </c>
      <c r="O2827">
        <v>12</v>
      </c>
    </row>
    <row r="2828" spans="1:15" x14ac:dyDescent="0.25">
      <c r="A2828" t="s">
        <v>46</v>
      </c>
      <c r="B2828" t="s">
        <v>16</v>
      </c>
      <c r="C2828" t="s">
        <v>40</v>
      </c>
      <c r="D2828" t="str">
        <f t="shared" si="266"/>
        <v>FAB3_1L  Desl Deslactosada</v>
      </c>
      <c r="E2828">
        <v>2023</v>
      </c>
      <c r="F2828">
        <v>44</v>
      </c>
      <c r="G2828">
        <f t="shared" si="267"/>
        <v>11</v>
      </c>
      <c r="H2828" s="1">
        <f t="shared" si="268"/>
        <v>45229</v>
      </c>
      <c r="I2828" s="1">
        <f t="shared" si="269"/>
        <v>45231</v>
      </c>
      <c r="J2828">
        <v>1050000.3000000005</v>
      </c>
      <c r="K2828">
        <v>47916</v>
      </c>
      <c r="L2828">
        <f t="shared" si="265"/>
        <v>21.913354620586038</v>
      </c>
      <c r="M2828">
        <v>3993</v>
      </c>
      <c r="N2828" s="2">
        <f t="shared" si="270"/>
        <v>262.96025544703241</v>
      </c>
      <c r="O2828">
        <v>12</v>
      </c>
    </row>
    <row r="2829" spans="1:15" x14ac:dyDescent="0.25">
      <c r="A2829" t="s">
        <v>46</v>
      </c>
      <c r="B2829" t="s">
        <v>16</v>
      </c>
      <c r="C2829" t="s">
        <v>40</v>
      </c>
      <c r="D2829" t="str">
        <f t="shared" si="266"/>
        <v>FAB3_1L  Desl Deslactosada</v>
      </c>
      <c r="E2829">
        <v>2023</v>
      </c>
      <c r="F2829">
        <v>45</v>
      </c>
      <c r="G2829">
        <f t="shared" si="267"/>
        <v>11</v>
      </c>
      <c r="H2829" s="1">
        <f t="shared" si="268"/>
        <v>45236</v>
      </c>
      <c r="I2829" s="1">
        <f t="shared" si="269"/>
        <v>45231</v>
      </c>
      <c r="J2829">
        <v>35303.08</v>
      </c>
      <c r="K2829">
        <v>1572</v>
      </c>
      <c r="L2829">
        <f t="shared" si="265"/>
        <v>22.457430025445294</v>
      </c>
      <c r="M2829">
        <v>131</v>
      </c>
      <c r="N2829" s="2">
        <f t="shared" si="270"/>
        <v>269.48916030534355</v>
      </c>
      <c r="O2829">
        <v>12</v>
      </c>
    </row>
    <row r="2830" spans="1:15" x14ac:dyDescent="0.25">
      <c r="A2830" t="s">
        <v>46</v>
      </c>
      <c r="B2830" t="s">
        <v>16</v>
      </c>
      <c r="C2830" t="s">
        <v>40</v>
      </c>
      <c r="D2830" t="str">
        <f t="shared" si="266"/>
        <v>FAB3_1L  Desl Deslactosada</v>
      </c>
      <c r="E2830">
        <v>2023</v>
      </c>
      <c r="F2830">
        <v>45</v>
      </c>
      <c r="G2830">
        <f t="shared" si="267"/>
        <v>11</v>
      </c>
      <c r="H2830" s="1">
        <f t="shared" si="268"/>
        <v>45236</v>
      </c>
      <c r="I2830" s="1">
        <f t="shared" si="269"/>
        <v>45231</v>
      </c>
      <c r="J2830">
        <v>981573.40999999957</v>
      </c>
      <c r="K2830">
        <v>43620</v>
      </c>
      <c r="L2830">
        <f t="shared" si="265"/>
        <v>22.502829206785869</v>
      </c>
      <c r="M2830">
        <v>3635</v>
      </c>
      <c r="N2830" s="2">
        <f t="shared" si="270"/>
        <v>270.0339504814304</v>
      </c>
      <c r="O2830">
        <v>12</v>
      </c>
    </row>
    <row r="2831" spans="1:15" x14ac:dyDescent="0.25">
      <c r="A2831" t="s">
        <v>46</v>
      </c>
      <c r="B2831" t="s">
        <v>16</v>
      </c>
      <c r="C2831" t="s">
        <v>40</v>
      </c>
      <c r="D2831" t="str">
        <f t="shared" si="266"/>
        <v>FAB3_1L  Desl Deslactosada</v>
      </c>
      <c r="E2831">
        <v>2023</v>
      </c>
      <c r="F2831">
        <v>46</v>
      </c>
      <c r="G2831">
        <f t="shared" si="267"/>
        <v>11</v>
      </c>
      <c r="H2831" s="1">
        <f t="shared" si="268"/>
        <v>45243</v>
      </c>
      <c r="I2831" s="1">
        <f t="shared" si="269"/>
        <v>45231</v>
      </c>
      <c r="J2831">
        <v>46980</v>
      </c>
      <c r="K2831">
        <v>2088</v>
      </c>
      <c r="L2831">
        <f t="shared" si="265"/>
        <v>22.5</v>
      </c>
      <c r="M2831">
        <v>174</v>
      </c>
      <c r="N2831" s="2">
        <f t="shared" si="270"/>
        <v>270</v>
      </c>
      <c r="O2831">
        <v>12</v>
      </c>
    </row>
    <row r="2832" spans="1:15" x14ac:dyDescent="0.25">
      <c r="A2832" t="s">
        <v>46</v>
      </c>
      <c r="B2832" t="s">
        <v>16</v>
      </c>
      <c r="C2832" t="s">
        <v>40</v>
      </c>
      <c r="D2832" t="str">
        <f t="shared" si="266"/>
        <v>FAB3_1L  Desl Deslactosada</v>
      </c>
      <c r="E2832">
        <v>2023</v>
      </c>
      <c r="F2832">
        <v>46</v>
      </c>
      <c r="G2832">
        <f t="shared" si="267"/>
        <v>11</v>
      </c>
      <c r="H2832" s="1">
        <f t="shared" si="268"/>
        <v>45243</v>
      </c>
      <c r="I2832" s="1">
        <f t="shared" si="269"/>
        <v>45231</v>
      </c>
      <c r="J2832">
        <v>1000741.2299999997</v>
      </c>
      <c r="K2832">
        <v>44460</v>
      </c>
      <c r="L2832">
        <f t="shared" si="265"/>
        <v>22.508799595141696</v>
      </c>
      <c r="M2832">
        <v>3705</v>
      </c>
      <c r="N2832" s="2">
        <f t="shared" si="270"/>
        <v>270.10559514170035</v>
      </c>
      <c r="O2832">
        <v>12</v>
      </c>
    </row>
    <row r="2833" spans="1:15" x14ac:dyDescent="0.25">
      <c r="A2833" t="s">
        <v>46</v>
      </c>
      <c r="B2833" t="s">
        <v>16</v>
      </c>
      <c r="C2833" t="s">
        <v>40</v>
      </c>
      <c r="D2833" t="str">
        <f t="shared" si="266"/>
        <v>FAB3_1L  Desl Deslactosada</v>
      </c>
      <c r="E2833">
        <v>2023</v>
      </c>
      <c r="F2833">
        <v>47</v>
      </c>
      <c r="G2833">
        <f t="shared" si="267"/>
        <v>11</v>
      </c>
      <c r="H2833" s="1">
        <f t="shared" si="268"/>
        <v>45250</v>
      </c>
      <c r="I2833" s="1">
        <f t="shared" si="269"/>
        <v>45231</v>
      </c>
      <c r="J2833">
        <v>270</v>
      </c>
      <c r="K2833">
        <v>12</v>
      </c>
      <c r="L2833">
        <f t="shared" si="265"/>
        <v>22.5</v>
      </c>
      <c r="M2833">
        <v>1</v>
      </c>
      <c r="N2833" s="2">
        <f t="shared" si="270"/>
        <v>270</v>
      </c>
      <c r="O2833">
        <v>12</v>
      </c>
    </row>
    <row r="2834" spans="1:15" x14ac:dyDescent="0.25">
      <c r="A2834" t="s">
        <v>46</v>
      </c>
      <c r="B2834" t="s">
        <v>16</v>
      </c>
      <c r="C2834" t="s">
        <v>40</v>
      </c>
      <c r="D2834" t="str">
        <f t="shared" si="266"/>
        <v>FAB3_1L  Desl Deslactosada</v>
      </c>
      <c r="E2834">
        <v>2023</v>
      </c>
      <c r="F2834">
        <v>47</v>
      </c>
      <c r="G2834">
        <f t="shared" si="267"/>
        <v>11</v>
      </c>
      <c r="H2834" s="1">
        <f t="shared" si="268"/>
        <v>45250</v>
      </c>
      <c r="I2834" s="1">
        <f t="shared" si="269"/>
        <v>45231</v>
      </c>
      <c r="J2834">
        <v>1344041.4099999995</v>
      </c>
      <c r="K2834">
        <v>59736</v>
      </c>
      <c r="L2834">
        <f t="shared" si="265"/>
        <v>22.499688797375107</v>
      </c>
      <c r="M2834">
        <v>4978</v>
      </c>
      <c r="N2834" s="2">
        <f t="shared" si="270"/>
        <v>269.99626556850131</v>
      </c>
      <c r="O2834">
        <v>12</v>
      </c>
    </row>
    <row r="2835" spans="1:15" x14ac:dyDescent="0.25">
      <c r="A2835" t="s">
        <v>46</v>
      </c>
      <c r="B2835" t="s">
        <v>16</v>
      </c>
      <c r="C2835" t="s">
        <v>40</v>
      </c>
      <c r="D2835" t="str">
        <f t="shared" si="266"/>
        <v>FAB3_1L  Desl Deslactosada</v>
      </c>
      <c r="E2835">
        <v>2023</v>
      </c>
      <c r="F2835">
        <v>48</v>
      </c>
      <c r="G2835">
        <f t="shared" si="267"/>
        <v>11</v>
      </c>
      <c r="H2835" s="1">
        <f t="shared" si="268"/>
        <v>45257</v>
      </c>
      <c r="I2835" s="1">
        <f t="shared" si="269"/>
        <v>45231</v>
      </c>
      <c r="J2835">
        <v>881164.01999999979</v>
      </c>
      <c r="K2835">
        <v>39216</v>
      </c>
      <c r="L2835">
        <f t="shared" si="265"/>
        <v>22.469502753977963</v>
      </c>
      <c r="M2835">
        <v>3268</v>
      </c>
      <c r="N2835" s="2">
        <f t="shared" si="270"/>
        <v>269.63403304773556</v>
      </c>
      <c r="O2835">
        <v>12</v>
      </c>
    </row>
    <row r="2836" spans="1:15" x14ac:dyDescent="0.25">
      <c r="A2836" t="s">
        <v>46</v>
      </c>
      <c r="B2836" t="s">
        <v>16</v>
      </c>
      <c r="C2836" t="s">
        <v>40</v>
      </c>
      <c r="D2836" t="str">
        <f t="shared" si="266"/>
        <v>FAB3_1L  Desl Deslactosada</v>
      </c>
      <c r="E2836">
        <v>2023</v>
      </c>
      <c r="F2836">
        <v>49</v>
      </c>
      <c r="G2836">
        <f t="shared" si="267"/>
        <v>12</v>
      </c>
      <c r="H2836" s="1">
        <f t="shared" si="268"/>
        <v>45264</v>
      </c>
      <c r="I2836" s="1">
        <f t="shared" si="269"/>
        <v>45261</v>
      </c>
      <c r="J2836">
        <v>987051.2699999992</v>
      </c>
      <c r="K2836">
        <v>43920</v>
      </c>
      <c r="L2836">
        <f t="shared" si="265"/>
        <v>22.473844945355172</v>
      </c>
      <c r="M2836">
        <v>3660</v>
      </c>
      <c r="N2836" s="2">
        <f t="shared" si="270"/>
        <v>269.68613934426207</v>
      </c>
      <c r="O2836">
        <v>12</v>
      </c>
    </row>
    <row r="2837" spans="1:15" x14ac:dyDescent="0.25">
      <c r="A2837" t="s">
        <v>46</v>
      </c>
      <c r="B2837" t="s">
        <v>16</v>
      </c>
      <c r="C2837" t="s">
        <v>40</v>
      </c>
      <c r="D2837" t="str">
        <f t="shared" si="266"/>
        <v>FAB3_1L  Desl Deslactosada</v>
      </c>
      <c r="E2837">
        <v>2023</v>
      </c>
      <c r="F2837">
        <v>50</v>
      </c>
      <c r="G2837">
        <f t="shared" si="267"/>
        <v>12</v>
      </c>
      <c r="H2837" s="1">
        <f t="shared" si="268"/>
        <v>45271</v>
      </c>
      <c r="I2837" s="1">
        <f t="shared" si="269"/>
        <v>45261</v>
      </c>
      <c r="J2837">
        <v>472320</v>
      </c>
      <c r="K2837">
        <v>23040</v>
      </c>
      <c r="L2837">
        <f t="shared" si="265"/>
        <v>20.5</v>
      </c>
      <c r="M2837">
        <v>1920</v>
      </c>
      <c r="N2837" s="2">
        <f t="shared" si="270"/>
        <v>246</v>
      </c>
      <c r="O2837">
        <v>12</v>
      </c>
    </row>
    <row r="2838" spans="1:15" x14ac:dyDescent="0.25">
      <c r="A2838" t="s">
        <v>46</v>
      </c>
      <c r="B2838" t="s">
        <v>16</v>
      </c>
      <c r="C2838" t="s">
        <v>40</v>
      </c>
      <c r="D2838" t="str">
        <f t="shared" si="266"/>
        <v>FAB3_1L  Desl Deslactosada</v>
      </c>
      <c r="E2838">
        <v>2023</v>
      </c>
      <c r="F2838">
        <v>50</v>
      </c>
      <c r="G2838">
        <f t="shared" si="267"/>
        <v>12</v>
      </c>
      <c r="H2838" s="1">
        <f t="shared" si="268"/>
        <v>45271</v>
      </c>
      <c r="I2838" s="1">
        <f t="shared" si="269"/>
        <v>45261</v>
      </c>
      <c r="J2838">
        <v>1398180.689999999</v>
      </c>
      <c r="K2838">
        <v>63492</v>
      </c>
      <c r="L2838">
        <f t="shared" si="265"/>
        <v>22.021367888867875</v>
      </c>
      <c r="M2838">
        <v>5291</v>
      </c>
      <c r="N2838" s="2">
        <f t="shared" si="270"/>
        <v>264.25641466641446</v>
      </c>
      <c r="O2838">
        <v>12</v>
      </c>
    </row>
    <row r="2839" spans="1:15" x14ac:dyDescent="0.25">
      <c r="A2839" t="s">
        <v>46</v>
      </c>
      <c r="B2839" t="s">
        <v>16</v>
      </c>
      <c r="C2839" t="s">
        <v>40</v>
      </c>
      <c r="D2839" t="str">
        <f t="shared" si="266"/>
        <v>FAB3_1L  Desl Deslactosada</v>
      </c>
      <c r="E2839">
        <v>2023</v>
      </c>
      <c r="F2839">
        <v>51</v>
      </c>
      <c r="G2839">
        <f t="shared" si="267"/>
        <v>12</v>
      </c>
      <c r="H2839" s="1">
        <f t="shared" si="268"/>
        <v>45278</v>
      </c>
      <c r="I2839" s="1">
        <f t="shared" si="269"/>
        <v>45261</v>
      </c>
      <c r="J2839">
        <v>1065694.5699999996</v>
      </c>
      <c r="K2839">
        <v>47448</v>
      </c>
      <c r="L2839">
        <f t="shared" si="265"/>
        <v>22.460263235542058</v>
      </c>
      <c r="M2839">
        <v>3954</v>
      </c>
      <c r="N2839" s="2">
        <f t="shared" si="270"/>
        <v>269.5231588265047</v>
      </c>
      <c r="O2839">
        <v>12</v>
      </c>
    </row>
    <row r="2840" spans="1:15" x14ac:dyDescent="0.25">
      <c r="A2840" t="s">
        <v>46</v>
      </c>
      <c r="B2840" t="s">
        <v>16</v>
      </c>
      <c r="C2840" t="s">
        <v>40</v>
      </c>
      <c r="D2840" t="str">
        <f t="shared" si="266"/>
        <v>FAB3_1L  Desl Deslactosada</v>
      </c>
      <c r="E2840">
        <v>2023</v>
      </c>
      <c r="F2840">
        <v>52</v>
      </c>
      <c r="G2840">
        <f t="shared" si="267"/>
        <v>12</v>
      </c>
      <c r="H2840" s="1">
        <f t="shared" si="268"/>
        <v>45285</v>
      </c>
      <c r="I2840" s="1">
        <f t="shared" si="269"/>
        <v>45261</v>
      </c>
      <c r="J2840">
        <v>1268700.4299999995</v>
      </c>
      <c r="K2840">
        <v>59016</v>
      </c>
      <c r="L2840">
        <f t="shared" si="265"/>
        <v>21.497567269892901</v>
      </c>
      <c r="M2840">
        <v>4918</v>
      </c>
      <c r="N2840" s="2">
        <f t="shared" si="270"/>
        <v>257.97080723871483</v>
      </c>
      <c r="O2840">
        <v>12</v>
      </c>
    </row>
    <row r="2841" spans="1:15" x14ac:dyDescent="0.25">
      <c r="A2841" t="s">
        <v>46</v>
      </c>
      <c r="B2841" t="s">
        <v>16</v>
      </c>
      <c r="C2841" t="s">
        <v>40</v>
      </c>
      <c r="D2841" t="str">
        <f t="shared" si="266"/>
        <v>FAB3_1L  Desl Deslactosada</v>
      </c>
      <c r="E2841">
        <v>2024</v>
      </c>
      <c r="F2841">
        <v>1</v>
      </c>
      <c r="G2841">
        <f t="shared" si="267"/>
        <v>1</v>
      </c>
      <c r="H2841" s="1">
        <f t="shared" si="268"/>
        <v>45292</v>
      </c>
      <c r="I2841" s="1">
        <f t="shared" si="269"/>
        <v>45292</v>
      </c>
      <c r="J2841">
        <v>466560</v>
      </c>
      <c r="K2841">
        <v>23040</v>
      </c>
      <c r="L2841">
        <f t="shared" si="265"/>
        <v>20.25</v>
      </c>
      <c r="M2841">
        <v>1920</v>
      </c>
      <c r="N2841" s="2">
        <f t="shared" si="270"/>
        <v>243</v>
      </c>
      <c r="O2841">
        <v>12</v>
      </c>
    </row>
    <row r="2842" spans="1:15" x14ac:dyDescent="0.25">
      <c r="A2842" t="s">
        <v>46</v>
      </c>
      <c r="B2842" t="s">
        <v>16</v>
      </c>
      <c r="C2842" t="s">
        <v>40</v>
      </c>
      <c r="D2842" t="str">
        <f t="shared" si="266"/>
        <v>FAB3_1L  Desl Deslactosada</v>
      </c>
      <c r="E2842">
        <v>2024</v>
      </c>
      <c r="F2842">
        <v>1</v>
      </c>
      <c r="G2842">
        <f t="shared" si="267"/>
        <v>1</v>
      </c>
      <c r="H2842" s="1">
        <f t="shared" si="268"/>
        <v>45292</v>
      </c>
      <c r="I2842" s="1">
        <f t="shared" si="269"/>
        <v>45292</v>
      </c>
      <c r="J2842">
        <v>1611318.5800000015</v>
      </c>
      <c r="K2842">
        <v>77112</v>
      </c>
      <c r="L2842">
        <f t="shared" si="265"/>
        <v>20.895821402635146</v>
      </c>
      <c r="M2842">
        <v>6426</v>
      </c>
      <c r="N2842" s="2">
        <f t="shared" si="270"/>
        <v>250.74985683162177</v>
      </c>
      <c r="O2842">
        <v>12</v>
      </c>
    </row>
    <row r="2843" spans="1:15" x14ac:dyDescent="0.25">
      <c r="A2843" t="s">
        <v>46</v>
      </c>
      <c r="B2843" t="s">
        <v>16</v>
      </c>
      <c r="C2843" t="s">
        <v>40</v>
      </c>
      <c r="D2843" t="str">
        <f t="shared" si="266"/>
        <v>FAB3_1L  Desl Deslactosada</v>
      </c>
      <c r="E2843">
        <v>2024</v>
      </c>
      <c r="F2843">
        <v>2</v>
      </c>
      <c r="G2843">
        <f t="shared" si="267"/>
        <v>1</v>
      </c>
      <c r="H2843" s="1">
        <f t="shared" si="268"/>
        <v>45299</v>
      </c>
      <c r="I2843" s="1">
        <f t="shared" si="269"/>
        <v>45292</v>
      </c>
      <c r="J2843">
        <v>18510</v>
      </c>
      <c r="K2843">
        <v>828</v>
      </c>
      <c r="L2843">
        <f t="shared" si="265"/>
        <v>22.355072463768117</v>
      </c>
      <c r="M2843">
        <v>69</v>
      </c>
      <c r="N2843" s="2">
        <f t="shared" si="270"/>
        <v>268.26086956521738</v>
      </c>
      <c r="O2843">
        <v>12</v>
      </c>
    </row>
    <row r="2844" spans="1:15" x14ac:dyDescent="0.25">
      <c r="A2844" t="s">
        <v>46</v>
      </c>
      <c r="B2844" t="s">
        <v>16</v>
      </c>
      <c r="C2844" t="s">
        <v>40</v>
      </c>
      <c r="D2844" t="str">
        <f t="shared" si="266"/>
        <v>FAB3_1L  Desl Deslactosada</v>
      </c>
      <c r="E2844">
        <v>2024</v>
      </c>
      <c r="F2844">
        <v>2</v>
      </c>
      <c r="G2844">
        <f t="shared" si="267"/>
        <v>1</v>
      </c>
      <c r="H2844" s="1">
        <f t="shared" si="268"/>
        <v>45299</v>
      </c>
      <c r="I2844" s="1">
        <f t="shared" si="269"/>
        <v>45292</v>
      </c>
      <c r="J2844">
        <v>1369148.7199999995</v>
      </c>
      <c r="K2844">
        <v>65304</v>
      </c>
      <c r="L2844">
        <f t="shared" si="265"/>
        <v>20.965771162562774</v>
      </c>
      <c r="M2844">
        <v>5442</v>
      </c>
      <c r="N2844" s="2">
        <f t="shared" si="270"/>
        <v>251.58925395075332</v>
      </c>
      <c r="O2844">
        <v>12</v>
      </c>
    </row>
    <row r="2845" spans="1:15" x14ac:dyDescent="0.25">
      <c r="A2845" t="s">
        <v>46</v>
      </c>
      <c r="B2845" t="s">
        <v>16</v>
      </c>
      <c r="C2845" t="s">
        <v>40</v>
      </c>
      <c r="D2845" t="str">
        <f t="shared" si="266"/>
        <v>FAB3_1L  Desl Deslactosada</v>
      </c>
      <c r="E2845">
        <v>2024</v>
      </c>
      <c r="F2845">
        <v>3</v>
      </c>
      <c r="G2845">
        <f t="shared" si="267"/>
        <v>1</v>
      </c>
      <c r="H2845" s="1">
        <f t="shared" si="268"/>
        <v>45306</v>
      </c>
      <c r="I2845" s="1">
        <f t="shared" si="269"/>
        <v>45292</v>
      </c>
      <c r="J2845">
        <v>81</v>
      </c>
      <c r="K2845">
        <v>12</v>
      </c>
      <c r="L2845">
        <f t="shared" si="265"/>
        <v>6.75</v>
      </c>
      <c r="M2845">
        <v>1</v>
      </c>
      <c r="N2845" s="2">
        <f t="shared" si="270"/>
        <v>81</v>
      </c>
      <c r="O2845">
        <v>12</v>
      </c>
    </row>
    <row r="2846" spans="1:15" x14ac:dyDescent="0.25">
      <c r="A2846" t="s">
        <v>46</v>
      </c>
      <c r="B2846" t="s">
        <v>16</v>
      </c>
      <c r="C2846" t="s">
        <v>40</v>
      </c>
      <c r="D2846" t="str">
        <f t="shared" si="266"/>
        <v>FAB3_1L  Desl Deslactosada</v>
      </c>
      <c r="E2846">
        <v>2024</v>
      </c>
      <c r="F2846">
        <v>3</v>
      </c>
      <c r="G2846">
        <f t="shared" si="267"/>
        <v>1</v>
      </c>
      <c r="H2846" s="1">
        <f t="shared" si="268"/>
        <v>45306</v>
      </c>
      <c r="I2846" s="1">
        <f t="shared" si="269"/>
        <v>45292</v>
      </c>
      <c r="J2846">
        <v>2097995.1900000009</v>
      </c>
      <c r="K2846">
        <v>104196</v>
      </c>
      <c r="L2846">
        <f t="shared" si="265"/>
        <v>20.135083784406319</v>
      </c>
      <c r="M2846">
        <v>8683</v>
      </c>
      <c r="N2846" s="2">
        <f t="shared" si="270"/>
        <v>241.62100541287583</v>
      </c>
      <c r="O2846">
        <v>12</v>
      </c>
    </row>
    <row r="2847" spans="1:15" x14ac:dyDescent="0.25">
      <c r="A2847" t="s">
        <v>46</v>
      </c>
      <c r="B2847" t="s">
        <v>16</v>
      </c>
      <c r="C2847" t="s">
        <v>40</v>
      </c>
      <c r="D2847" t="str">
        <f t="shared" si="266"/>
        <v>FAB3_1L  Desl Deslactosada</v>
      </c>
      <c r="E2847">
        <v>2024</v>
      </c>
      <c r="F2847">
        <v>4</v>
      </c>
      <c r="G2847">
        <f t="shared" si="267"/>
        <v>1</v>
      </c>
      <c r="H2847" s="1">
        <f t="shared" si="268"/>
        <v>45313</v>
      </c>
      <c r="I2847" s="1">
        <f t="shared" si="269"/>
        <v>45292</v>
      </c>
      <c r="J2847">
        <v>468468.63</v>
      </c>
      <c r="K2847">
        <v>23124</v>
      </c>
      <c r="L2847">
        <f t="shared" si="265"/>
        <v>20.258978982874936</v>
      </c>
      <c r="M2847">
        <v>1927</v>
      </c>
      <c r="N2847" s="2">
        <f t="shared" si="270"/>
        <v>243.10774779449923</v>
      </c>
      <c r="O2847">
        <v>12</v>
      </c>
    </row>
    <row r="2848" spans="1:15" x14ac:dyDescent="0.25">
      <c r="A2848" t="s">
        <v>46</v>
      </c>
      <c r="B2848" t="s">
        <v>16</v>
      </c>
      <c r="C2848" t="s">
        <v>40</v>
      </c>
      <c r="D2848" t="str">
        <f t="shared" si="266"/>
        <v>FAB3_1L  Desl Deslactosada</v>
      </c>
      <c r="E2848">
        <v>2024</v>
      </c>
      <c r="F2848">
        <v>4</v>
      </c>
      <c r="G2848">
        <f t="shared" si="267"/>
        <v>1</v>
      </c>
      <c r="H2848" s="1">
        <f t="shared" si="268"/>
        <v>45313</v>
      </c>
      <c r="I2848" s="1">
        <f t="shared" si="269"/>
        <v>45292</v>
      </c>
      <c r="J2848">
        <v>982751.19999999972</v>
      </c>
      <c r="K2848">
        <v>45144</v>
      </c>
      <c r="L2848">
        <f t="shared" si="265"/>
        <v>21.769253942938146</v>
      </c>
      <c r="M2848">
        <v>3762</v>
      </c>
      <c r="N2848" s="2">
        <f t="shared" si="270"/>
        <v>261.23104731525774</v>
      </c>
      <c r="O2848">
        <v>12</v>
      </c>
    </row>
    <row r="2849" spans="1:15" x14ac:dyDescent="0.25">
      <c r="A2849" t="s">
        <v>46</v>
      </c>
      <c r="B2849" t="s">
        <v>16</v>
      </c>
      <c r="C2849" t="s">
        <v>40</v>
      </c>
      <c r="D2849" t="str">
        <f t="shared" si="266"/>
        <v>FAB3_1L  Desl Deslactosada</v>
      </c>
      <c r="E2849">
        <v>2024</v>
      </c>
      <c r="F2849">
        <v>5</v>
      </c>
      <c r="G2849">
        <f t="shared" si="267"/>
        <v>2</v>
      </c>
      <c r="H2849" s="1">
        <f t="shared" si="268"/>
        <v>45320</v>
      </c>
      <c r="I2849" s="1">
        <f t="shared" si="269"/>
        <v>45323</v>
      </c>
      <c r="J2849">
        <v>1134</v>
      </c>
      <c r="K2849">
        <v>168</v>
      </c>
      <c r="L2849">
        <f t="shared" si="265"/>
        <v>6.75</v>
      </c>
      <c r="M2849">
        <v>14</v>
      </c>
      <c r="N2849" s="2">
        <f t="shared" si="270"/>
        <v>81</v>
      </c>
      <c r="O2849">
        <v>12</v>
      </c>
    </row>
    <row r="2850" spans="1:15" x14ac:dyDescent="0.25">
      <c r="A2850" t="s">
        <v>46</v>
      </c>
      <c r="B2850" t="s">
        <v>16</v>
      </c>
      <c r="C2850" t="s">
        <v>40</v>
      </c>
      <c r="D2850" t="str">
        <f t="shared" si="266"/>
        <v>FAB3_1L  Desl Deslactosada</v>
      </c>
      <c r="E2850">
        <v>2024</v>
      </c>
      <c r="F2850">
        <v>5</v>
      </c>
      <c r="G2850">
        <f t="shared" si="267"/>
        <v>2</v>
      </c>
      <c r="H2850" s="1">
        <f t="shared" si="268"/>
        <v>45320</v>
      </c>
      <c r="I2850" s="1">
        <f t="shared" si="269"/>
        <v>45323</v>
      </c>
      <c r="J2850">
        <v>1210671.7399999993</v>
      </c>
      <c r="K2850">
        <v>53808</v>
      </c>
      <c r="L2850">
        <f t="shared" si="265"/>
        <v>22.499846491228055</v>
      </c>
      <c r="M2850">
        <v>4484</v>
      </c>
      <c r="N2850" s="2">
        <f t="shared" si="270"/>
        <v>269.99815789473666</v>
      </c>
      <c r="O2850">
        <v>12</v>
      </c>
    </row>
    <row r="2851" spans="1:15" x14ac:dyDescent="0.25">
      <c r="A2851" t="s">
        <v>46</v>
      </c>
      <c r="B2851" t="s">
        <v>16</v>
      </c>
      <c r="C2851" t="s">
        <v>40</v>
      </c>
      <c r="D2851" t="str">
        <f t="shared" si="266"/>
        <v>FAB3_1L  Desl Deslactosada</v>
      </c>
      <c r="E2851">
        <v>2024</v>
      </c>
      <c r="F2851">
        <v>6</v>
      </c>
      <c r="G2851">
        <f t="shared" si="267"/>
        <v>2</v>
      </c>
      <c r="H2851" s="1">
        <f t="shared" si="268"/>
        <v>45327</v>
      </c>
      <c r="I2851" s="1">
        <f t="shared" si="269"/>
        <v>45323</v>
      </c>
      <c r="J2851">
        <v>1072815.6399999992</v>
      </c>
      <c r="K2851">
        <v>47676</v>
      </c>
      <c r="L2851">
        <f t="shared" si="265"/>
        <v>22.502215789915244</v>
      </c>
      <c r="M2851">
        <v>3973</v>
      </c>
      <c r="N2851" s="2">
        <f t="shared" si="270"/>
        <v>270.02658947898294</v>
      </c>
      <c r="O2851">
        <v>12</v>
      </c>
    </row>
    <row r="2852" spans="1:15" x14ac:dyDescent="0.25">
      <c r="A2852" t="s">
        <v>46</v>
      </c>
      <c r="B2852" t="s">
        <v>16</v>
      </c>
      <c r="C2852" t="s">
        <v>40</v>
      </c>
      <c r="D2852" t="str">
        <f t="shared" si="266"/>
        <v>FAB3_1L  Desl Deslactosada</v>
      </c>
      <c r="E2852">
        <v>2024</v>
      </c>
      <c r="F2852">
        <v>7</v>
      </c>
      <c r="G2852">
        <f t="shared" si="267"/>
        <v>2</v>
      </c>
      <c r="H2852" s="1">
        <f t="shared" si="268"/>
        <v>45334</v>
      </c>
      <c r="I2852" s="1">
        <f t="shared" si="269"/>
        <v>45323</v>
      </c>
      <c r="J2852">
        <v>432992.18</v>
      </c>
      <c r="K2852">
        <v>23640</v>
      </c>
      <c r="L2852">
        <f t="shared" si="265"/>
        <v>18.316082064297799</v>
      </c>
      <c r="M2852">
        <v>1970</v>
      </c>
      <c r="N2852" s="2">
        <f t="shared" si="270"/>
        <v>219.7929847715736</v>
      </c>
      <c r="O2852">
        <v>12</v>
      </c>
    </row>
    <row r="2853" spans="1:15" x14ac:dyDescent="0.25">
      <c r="A2853" t="s">
        <v>46</v>
      </c>
      <c r="B2853" t="s">
        <v>16</v>
      </c>
      <c r="C2853" t="s">
        <v>40</v>
      </c>
      <c r="D2853" t="str">
        <f t="shared" si="266"/>
        <v>FAB3_1L  Desl Deslactosada</v>
      </c>
      <c r="E2853">
        <v>2024</v>
      </c>
      <c r="F2853">
        <v>7</v>
      </c>
      <c r="G2853">
        <f t="shared" si="267"/>
        <v>2</v>
      </c>
      <c r="H2853" s="1">
        <f t="shared" si="268"/>
        <v>45334</v>
      </c>
      <c r="I2853" s="1">
        <f t="shared" si="269"/>
        <v>45323</v>
      </c>
      <c r="J2853">
        <v>1362631.3299999998</v>
      </c>
      <c r="K2853">
        <v>62496</v>
      </c>
      <c r="L2853">
        <f t="shared" si="265"/>
        <v>21.80349670378904</v>
      </c>
      <c r="M2853">
        <v>5208</v>
      </c>
      <c r="N2853" s="2">
        <f t="shared" si="270"/>
        <v>261.6419604454685</v>
      </c>
      <c r="O2853">
        <v>12</v>
      </c>
    </row>
    <row r="2854" spans="1:15" x14ac:dyDescent="0.25">
      <c r="A2854" t="s">
        <v>46</v>
      </c>
      <c r="B2854" t="s">
        <v>16</v>
      </c>
      <c r="C2854" t="s">
        <v>40</v>
      </c>
      <c r="D2854" t="str">
        <f t="shared" si="266"/>
        <v>FAB3_1L  Desl Deslactosada</v>
      </c>
      <c r="E2854">
        <v>2024</v>
      </c>
      <c r="F2854">
        <v>8</v>
      </c>
      <c r="G2854">
        <f t="shared" si="267"/>
        <v>2</v>
      </c>
      <c r="H2854" s="1">
        <f t="shared" si="268"/>
        <v>45341</v>
      </c>
      <c r="I2854" s="1">
        <f t="shared" si="269"/>
        <v>45323</v>
      </c>
      <c r="J2854">
        <v>840960</v>
      </c>
      <c r="K2854">
        <v>46080</v>
      </c>
      <c r="L2854">
        <f t="shared" si="265"/>
        <v>18.25</v>
      </c>
      <c r="M2854">
        <v>3840</v>
      </c>
      <c r="N2854" s="2">
        <f t="shared" si="270"/>
        <v>219</v>
      </c>
      <c r="O2854">
        <v>12</v>
      </c>
    </row>
    <row r="2855" spans="1:15" x14ac:dyDescent="0.25">
      <c r="A2855" t="s">
        <v>46</v>
      </c>
      <c r="B2855" t="s">
        <v>16</v>
      </c>
      <c r="C2855" t="s">
        <v>40</v>
      </c>
      <c r="D2855" t="str">
        <f t="shared" si="266"/>
        <v>FAB3_1L  Desl Deslactosada</v>
      </c>
      <c r="E2855">
        <v>2024</v>
      </c>
      <c r="F2855">
        <v>8</v>
      </c>
      <c r="G2855">
        <f t="shared" si="267"/>
        <v>2</v>
      </c>
      <c r="H2855" s="1">
        <f t="shared" si="268"/>
        <v>45341</v>
      </c>
      <c r="I2855" s="1">
        <f t="shared" si="269"/>
        <v>45323</v>
      </c>
      <c r="J2855">
        <v>1305739.9499999995</v>
      </c>
      <c r="K2855">
        <v>60504</v>
      </c>
      <c r="L2855">
        <f t="shared" si="265"/>
        <v>21.581051666005546</v>
      </c>
      <c r="M2855">
        <v>5042</v>
      </c>
      <c r="N2855" s="2">
        <f t="shared" si="270"/>
        <v>258.97261999206654</v>
      </c>
      <c r="O2855">
        <v>12</v>
      </c>
    </row>
    <row r="2856" spans="1:15" x14ac:dyDescent="0.25">
      <c r="A2856" t="s">
        <v>46</v>
      </c>
      <c r="B2856" t="s">
        <v>16</v>
      </c>
      <c r="C2856" t="s">
        <v>40</v>
      </c>
      <c r="D2856" t="str">
        <f t="shared" si="266"/>
        <v>FAB3_1L  Desl Deslactosada</v>
      </c>
      <c r="E2856">
        <v>2024</v>
      </c>
      <c r="F2856">
        <v>9</v>
      </c>
      <c r="G2856">
        <f t="shared" si="267"/>
        <v>2</v>
      </c>
      <c r="H2856" s="1">
        <f t="shared" si="268"/>
        <v>45348</v>
      </c>
      <c r="I2856" s="1">
        <f t="shared" si="269"/>
        <v>45323</v>
      </c>
      <c r="J2856">
        <v>11421</v>
      </c>
      <c r="K2856">
        <v>516</v>
      </c>
      <c r="L2856">
        <f t="shared" si="265"/>
        <v>22.13372093023256</v>
      </c>
      <c r="M2856">
        <v>43</v>
      </c>
      <c r="N2856" s="2">
        <f t="shared" si="270"/>
        <v>265.60465116279067</v>
      </c>
      <c r="O2856">
        <v>12</v>
      </c>
    </row>
    <row r="2857" spans="1:15" x14ac:dyDescent="0.25">
      <c r="A2857" t="s">
        <v>46</v>
      </c>
      <c r="B2857" t="s">
        <v>16</v>
      </c>
      <c r="C2857" t="s">
        <v>40</v>
      </c>
      <c r="D2857" t="str">
        <f t="shared" si="266"/>
        <v>FAB3_1L  Desl Deslactosada</v>
      </c>
      <c r="E2857">
        <v>2024</v>
      </c>
      <c r="F2857">
        <v>9</v>
      </c>
      <c r="G2857">
        <f t="shared" si="267"/>
        <v>2</v>
      </c>
      <c r="H2857" s="1">
        <f t="shared" si="268"/>
        <v>45348</v>
      </c>
      <c r="I2857" s="1">
        <f t="shared" si="269"/>
        <v>45323</v>
      </c>
      <c r="J2857">
        <v>1094024.8799999994</v>
      </c>
      <c r="K2857">
        <v>48588</v>
      </c>
      <c r="L2857">
        <f t="shared" si="265"/>
        <v>22.516359594961706</v>
      </c>
      <c r="M2857">
        <v>4049</v>
      </c>
      <c r="N2857" s="2">
        <f t="shared" si="270"/>
        <v>270.1963151395405</v>
      </c>
      <c r="O2857">
        <v>12</v>
      </c>
    </row>
    <row r="2858" spans="1:15" x14ac:dyDescent="0.25">
      <c r="A2858" t="s">
        <v>46</v>
      </c>
      <c r="B2858" t="s">
        <v>16</v>
      </c>
      <c r="C2858" t="s">
        <v>40</v>
      </c>
      <c r="D2858" t="str">
        <f t="shared" si="266"/>
        <v>FAB3_1L  Desl Deslactosada</v>
      </c>
      <c r="E2858">
        <v>2024</v>
      </c>
      <c r="F2858">
        <v>10</v>
      </c>
      <c r="G2858">
        <f t="shared" si="267"/>
        <v>3</v>
      </c>
      <c r="H2858" s="1">
        <f t="shared" si="268"/>
        <v>45355</v>
      </c>
      <c r="I2858" s="1">
        <f t="shared" si="269"/>
        <v>45352</v>
      </c>
      <c r="J2858">
        <v>11070</v>
      </c>
      <c r="K2858">
        <v>492</v>
      </c>
      <c r="L2858">
        <f t="shared" si="265"/>
        <v>22.5</v>
      </c>
      <c r="M2858">
        <v>41</v>
      </c>
      <c r="N2858" s="2">
        <f t="shared" si="270"/>
        <v>270</v>
      </c>
      <c r="O2858">
        <v>12</v>
      </c>
    </row>
    <row r="2859" spans="1:15" x14ac:dyDescent="0.25">
      <c r="A2859" t="s">
        <v>46</v>
      </c>
      <c r="B2859" t="s">
        <v>16</v>
      </c>
      <c r="C2859" t="s">
        <v>40</v>
      </c>
      <c r="D2859" t="str">
        <f t="shared" si="266"/>
        <v>FAB3_1L  Desl Deslactosada</v>
      </c>
      <c r="E2859">
        <v>2024</v>
      </c>
      <c r="F2859">
        <v>10</v>
      </c>
      <c r="G2859">
        <f t="shared" si="267"/>
        <v>3</v>
      </c>
      <c r="H2859" s="1">
        <f t="shared" si="268"/>
        <v>45355</v>
      </c>
      <c r="I2859" s="1">
        <f t="shared" si="269"/>
        <v>45352</v>
      </c>
      <c r="J2859">
        <v>1414974.8099999989</v>
      </c>
      <c r="K2859">
        <v>64284</v>
      </c>
      <c r="L2859">
        <f t="shared" si="265"/>
        <v>22.011306234832912</v>
      </c>
      <c r="M2859">
        <v>5357</v>
      </c>
      <c r="N2859" s="2">
        <f t="shared" si="270"/>
        <v>264.13567481799492</v>
      </c>
      <c r="O2859">
        <v>12</v>
      </c>
    </row>
    <row r="2860" spans="1:15" x14ac:dyDescent="0.25">
      <c r="A2860" t="s">
        <v>46</v>
      </c>
      <c r="B2860" t="s">
        <v>16</v>
      </c>
      <c r="C2860" t="s">
        <v>40</v>
      </c>
      <c r="D2860" t="str">
        <f t="shared" si="266"/>
        <v>FAB3_1L  Desl Deslactosada</v>
      </c>
      <c r="E2860">
        <v>2024</v>
      </c>
      <c r="F2860">
        <v>11</v>
      </c>
      <c r="G2860">
        <f t="shared" si="267"/>
        <v>3</v>
      </c>
      <c r="H2860" s="1">
        <f t="shared" si="268"/>
        <v>45362</v>
      </c>
      <c r="I2860" s="1">
        <f t="shared" si="269"/>
        <v>45352</v>
      </c>
      <c r="J2860">
        <v>15336.21</v>
      </c>
      <c r="K2860">
        <v>684</v>
      </c>
      <c r="L2860">
        <f t="shared" si="265"/>
        <v>22.421359649122806</v>
      </c>
      <c r="M2860">
        <v>57</v>
      </c>
      <c r="N2860" s="2">
        <f t="shared" si="270"/>
        <v>269.05631578947367</v>
      </c>
      <c r="O2860">
        <v>12</v>
      </c>
    </row>
    <row r="2861" spans="1:15" x14ac:dyDescent="0.25">
      <c r="A2861" t="s">
        <v>46</v>
      </c>
      <c r="B2861" t="s">
        <v>16</v>
      </c>
      <c r="C2861" t="s">
        <v>40</v>
      </c>
      <c r="D2861" t="str">
        <f t="shared" si="266"/>
        <v>FAB3_1L  Desl Deslactosada</v>
      </c>
      <c r="E2861">
        <v>2024</v>
      </c>
      <c r="F2861">
        <v>11</v>
      </c>
      <c r="G2861">
        <f t="shared" si="267"/>
        <v>3</v>
      </c>
      <c r="H2861" s="1">
        <f t="shared" si="268"/>
        <v>45362</v>
      </c>
      <c r="I2861" s="1">
        <f t="shared" si="269"/>
        <v>45352</v>
      </c>
      <c r="J2861">
        <v>1534859.8500000003</v>
      </c>
      <c r="K2861">
        <v>72204</v>
      </c>
      <c r="L2861">
        <f t="shared" si="265"/>
        <v>21.257268987867711</v>
      </c>
      <c r="M2861">
        <v>6017</v>
      </c>
      <c r="N2861" s="2">
        <f t="shared" si="270"/>
        <v>255.08722785441256</v>
      </c>
      <c r="O2861">
        <v>12</v>
      </c>
    </row>
    <row r="2862" spans="1:15" x14ac:dyDescent="0.25">
      <c r="A2862" t="s">
        <v>46</v>
      </c>
      <c r="B2862" t="s">
        <v>16</v>
      </c>
      <c r="C2862" t="s">
        <v>40</v>
      </c>
      <c r="D2862" t="str">
        <f t="shared" si="266"/>
        <v>FAB3_1L  Desl Deslactosada</v>
      </c>
      <c r="E2862">
        <v>2024</v>
      </c>
      <c r="F2862">
        <v>12</v>
      </c>
      <c r="G2862">
        <f t="shared" si="267"/>
        <v>3</v>
      </c>
      <c r="H2862" s="1">
        <f t="shared" si="268"/>
        <v>45369</v>
      </c>
      <c r="I2862" s="1">
        <f t="shared" si="269"/>
        <v>45352</v>
      </c>
      <c r="J2862">
        <v>1190011.4799999991</v>
      </c>
      <c r="K2862">
        <v>55920</v>
      </c>
      <c r="L2862">
        <f t="shared" si="265"/>
        <v>21.280605865522158</v>
      </c>
      <c r="M2862">
        <v>4660</v>
      </c>
      <c r="N2862" s="2">
        <f t="shared" si="270"/>
        <v>255.36727038626589</v>
      </c>
      <c r="O2862">
        <v>12</v>
      </c>
    </row>
    <row r="2863" spans="1:15" x14ac:dyDescent="0.25">
      <c r="A2863" t="s">
        <v>46</v>
      </c>
      <c r="B2863" t="s">
        <v>16</v>
      </c>
      <c r="C2863" t="s">
        <v>40</v>
      </c>
      <c r="D2863" t="str">
        <f t="shared" si="266"/>
        <v>FAB3_1L  Desl Deslactosada</v>
      </c>
      <c r="E2863">
        <v>2024</v>
      </c>
      <c r="F2863">
        <v>13</v>
      </c>
      <c r="G2863">
        <f t="shared" si="267"/>
        <v>3</v>
      </c>
      <c r="H2863" s="1">
        <f t="shared" si="268"/>
        <v>45376</v>
      </c>
      <c r="I2863" s="1">
        <f t="shared" si="269"/>
        <v>45352</v>
      </c>
      <c r="J2863">
        <v>1309200.379999999</v>
      </c>
      <c r="K2863">
        <v>61236</v>
      </c>
      <c r="L2863">
        <f t="shared" si="265"/>
        <v>21.379586844339915</v>
      </c>
      <c r="M2863">
        <v>5103</v>
      </c>
      <c r="N2863" s="2">
        <f t="shared" si="270"/>
        <v>256.55504213207894</v>
      </c>
      <c r="O2863">
        <v>12</v>
      </c>
    </row>
    <row r="2864" spans="1:15" x14ac:dyDescent="0.25">
      <c r="A2864" t="s">
        <v>46</v>
      </c>
      <c r="B2864" t="s">
        <v>16</v>
      </c>
      <c r="C2864" t="s">
        <v>40</v>
      </c>
      <c r="D2864" t="str">
        <f t="shared" si="266"/>
        <v>FAB3_1L  Desl Deslactosada</v>
      </c>
      <c r="E2864">
        <v>2024</v>
      </c>
      <c r="F2864">
        <v>14</v>
      </c>
      <c r="G2864">
        <f t="shared" si="267"/>
        <v>4</v>
      </c>
      <c r="H2864" s="1">
        <f t="shared" si="268"/>
        <v>45383</v>
      </c>
      <c r="I2864" s="1">
        <f t="shared" si="269"/>
        <v>45383</v>
      </c>
      <c r="J2864">
        <v>494640</v>
      </c>
      <c r="K2864">
        <v>24288</v>
      </c>
      <c r="L2864">
        <f t="shared" si="265"/>
        <v>20.365612648221344</v>
      </c>
      <c r="M2864">
        <v>2024</v>
      </c>
      <c r="N2864" s="2">
        <f t="shared" si="270"/>
        <v>244.38735177865613</v>
      </c>
      <c r="O2864">
        <v>12</v>
      </c>
    </row>
    <row r="2865" spans="1:15" x14ac:dyDescent="0.25">
      <c r="A2865" t="s">
        <v>46</v>
      </c>
      <c r="B2865" t="s">
        <v>16</v>
      </c>
      <c r="C2865" t="s">
        <v>40</v>
      </c>
      <c r="D2865" t="str">
        <f t="shared" si="266"/>
        <v>FAB3_1L  Desl Deslactosada</v>
      </c>
      <c r="E2865">
        <v>2024</v>
      </c>
      <c r="F2865">
        <v>14</v>
      </c>
      <c r="G2865">
        <f t="shared" si="267"/>
        <v>4</v>
      </c>
      <c r="H2865" s="1">
        <f t="shared" si="268"/>
        <v>45383</v>
      </c>
      <c r="I2865" s="1">
        <f t="shared" si="269"/>
        <v>45383</v>
      </c>
      <c r="J2865">
        <v>1375501.3099999991</v>
      </c>
      <c r="K2865">
        <v>61320</v>
      </c>
      <c r="L2865">
        <f t="shared" si="265"/>
        <v>22.431528212654911</v>
      </c>
      <c r="M2865">
        <v>5110</v>
      </c>
      <c r="N2865" s="2">
        <f t="shared" si="270"/>
        <v>269.17833855185893</v>
      </c>
      <c r="O2865">
        <v>12</v>
      </c>
    </row>
    <row r="2866" spans="1:15" x14ac:dyDescent="0.25">
      <c r="A2866" t="s">
        <v>46</v>
      </c>
      <c r="B2866" t="s">
        <v>16</v>
      </c>
      <c r="C2866" t="s">
        <v>40</v>
      </c>
      <c r="D2866" t="str">
        <f t="shared" si="266"/>
        <v>FAB3_1L  Desl Deslactosada</v>
      </c>
      <c r="E2866">
        <v>2024</v>
      </c>
      <c r="F2866">
        <v>15</v>
      </c>
      <c r="G2866">
        <f t="shared" si="267"/>
        <v>4</v>
      </c>
      <c r="H2866" s="1">
        <f t="shared" si="268"/>
        <v>45390</v>
      </c>
      <c r="I2866" s="1">
        <f t="shared" si="269"/>
        <v>45383</v>
      </c>
      <c r="J2866">
        <v>489780</v>
      </c>
      <c r="K2866">
        <v>24072</v>
      </c>
      <c r="L2866">
        <f t="shared" si="265"/>
        <v>20.346460618145564</v>
      </c>
      <c r="M2866">
        <v>2006</v>
      </c>
      <c r="N2866" s="2">
        <f t="shared" si="270"/>
        <v>244.15752741774676</v>
      </c>
      <c r="O2866">
        <v>12</v>
      </c>
    </row>
    <row r="2867" spans="1:15" x14ac:dyDescent="0.25">
      <c r="A2867" t="s">
        <v>46</v>
      </c>
      <c r="B2867" t="s">
        <v>16</v>
      </c>
      <c r="C2867" t="s">
        <v>40</v>
      </c>
      <c r="D2867" t="str">
        <f t="shared" si="266"/>
        <v>FAB3_1L  Desl Deslactosada</v>
      </c>
      <c r="E2867">
        <v>2024</v>
      </c>
      <c r="F2867">
        <v>15</v>
      </c>
      <c r="G2867">
        <f t="shared" si="267"/>
        <v>4</v>
      </c>
      <c r="H2867" s="1">
        <f t="shared" si="268"/>
        <v>45390</v>
      </c>
      <c r="I2867" s="1">
        <f t="shared" si="269"/>
        <v>45383</v>
      </c>
      <c r="J2867">
        <v>1064013.0700000003</v>
      </c>
      <c r="K2867">
        <v>47544</v>
      </c>
      <c r="L2867">
        <f t="shared" si="265"/>
        <v>22.379544632340576</v>
      </c>
      <c r="M2867">
        <v>3962</v>
      </c>
      <c r="N2867" s="2">
        <f t="shared" si="270"/>
        <v>268.55453558808688</v>
      </c>
      <c r="O2867">
        <v>12</v>
      </c>
    </row>
    <row r="2868" spans="1:15" x14ac:dyDescent="0.25">
      <c r="A2868" t="s">
        <v>46</v>
      </c>
      <c r="B2868" t="s">
        <v>16</v>
      </c>
      <c r="C2868" t="s">
        <v>40</v>
      </c>
      <c r="D2868" t="str">
        <f t="shared" si="266"/>
        <v>FAB3_1L  Desl Deslactosada</v>
      </c>
      <c r="E2868">
        <v>2024</v>
      </c>
      <c r="F2868">
        <v>16</v>
      </c>
      <c r="G2868">
        <f t="shared" si="267"/>
        <v>4</v>
      </c>
      <c r="H2868" s="1">
        <f t="shared" si="268"/>
        <v>45397</v>
      </c>
      <c r="I2868" s="1">
        <f t="shared" si="269"/>
        <v>45383</v>
      </c>
      <c r="J2868">
        <v>1403730</v>
      </c>
      <c r="K2868">
        <v>69300</v>
      </c>
      <c r="L2868">
        <f t="shared" si="265"/>
        <v>20.255844155844155</v>
      </c>
      <c r="M2868">
        <v>5775</v>
      </c>
      <c r="N2868" s="2">
        <f t="shared" si="270"/>
        <v>243.07012987012988</v>
      </c>
      <c r="O2868">
        <v>12</v>
      </c>
    </row>
    <row r="2869" spans="1:15" x14ac:dyDescent="0.25">
      <c r="A2869" t="s">
        <v>46</v>
      </c>
      <c r="B2869" t="s">
        <v>16</v>
      </c>
      <c r="C2869" t="s">
        <v>40</v>
      </c>
      <c r="D2869" t="str">
        <f t="shared" si="266"/>
        <v>FAB3_1L  Desl Deslactosada</v>
      </c>
      <c r="E2869">
        <v>2024</v>
      </c>
      <c r="F2869">
        <v>16</v>
      </c>
      <c r="G2869">
        <f t="shared" si="267"/>
        <v>4</v>
      </c>
      <c r="H2869" s="1">
        <f t="shared" si="268"/>
        <v>45397</v>
      </c>
      <c r="I2869" s="1">
        <f t="shared" si="269"/>
        <v>45383</v>
      </c>
      <c r="J2869">
        <v>1397618.719999999</v>
      </c>
      <c r="K2869">
        <v>62928</v>
      </c>
      <c r="L2869">
        <f t="shared" si="265"/>
        <v>22.209806763285009</v>
      </c>
      <c r="M2869">
        <v>5244</v>
      </c>
      <c r="N2869" s="2">
        <f t="shared" si="270"/>
        <v>266.51768115942008</v>
      </c>
      <c r="O2869">
        <v>12</v>
      </c>
    </row>
    <row r="2870" spans="1:15" x14ac:dyDescent="0.25">
      <c r="A2870" t="s">
        <v>46</v>
      </c>
      <c r="B2870" t="s">
        <v>16</v>
      </c>
      <c r="C2870" t="s">
        <v>40</v>
      </c>
      <c r="D2870" t="str">
        <f t="shared" si="266"/>
        <v>FAB3_1L  Desl Deslactosada</v>
      </c>
      <c r="E2870">
        <v>2024</v>
      </c>
      <c r="F2870">
        <v>17</v>
      </c>
      <c r="G2870">
        <f t="shared" si="267"/>
        <v>4</v>
      </c>
      <c r="H2870" s="1">
        <f t="shared" si="268"/>
        <v>45404</v>
      </c>
      <c r="I2870" s="1">
        <f t="shared" si="269"/>
        <v>45383</v>
      </c>
      <c r="J2870">
        <v>-1057320</v>
      </c>
      <c r="K2870">
        <v>-46992</v>
      </c>
      <c r="L2870">
        <f t="shared" si="265"/>
        <v>22.5</v>
      </c>
      <c r="M2870">
        <v>-3916</v>
      </c>
      <c r="N2870" s="2">
        <f t="shared" si="270"/>
        <v>270</v>
      </c>
      <c r="O2870">
        <v>12</v>
      </c>
    </row>
    <row r="2871" spans="1:15" x14ac:dyDescent="0.25">
      <c r="A2871" t="s">
        <v>46</v>
      </c>
      <c r="B2871" t="s">
        <v>16</v>
      </c>
      <c r="C2871" t="s">
        <v>40</v>
      </c>
      <c r="D2871" t="str">
        <f t="shared" si="266"/>
        <v>FAB3_1L  Desl Deslactosada</v>
      </c>
      <c r="E2871">
        <v>2024</v>
      </c>
      <c r="F2871">
        <v>17</v>
      </c>
      <c r="G2871">
        <f t="shared" si="267"/>
        <v>4</v>
      </c>
      <c r="H2871" s="1">
        <f t="shared" si="268"/>
        <v>45404</v>
      </c>
      <c r="I2871" s="1">
        <f t="shared" si="269"/>
        <v>45383</v>
      </c>
      <c r="J2871">
        <v>1265969.9900000012</v>
      </c>
      <c r="K2871">
        <v>58596</v>
      </c>
      <c r="L2871">
        <f t="shared" si="265"/>
        <v>21.60505819509866</v>
      </c>
      <c r="M2871">
        <v>4883</v>
      </c>
      <c r="N2871" s="2">
        <f t="shared" si="270"/>
        <v>259.26069834118391</v>
      </c>
      <c r="O2871">
        <v>12</v>
      </c>
    </row>
    <row r="2872" spans="1:15" x14ac:dyDescent="0.25">
      <c r="A2872" t="s">
        <v>46</v>
      </c>
      <c r="B2872" t="s">
        <v>16</v>
      </c>
      <c r="C2872" t="s">
        <v>40</v>
      </c>
      <c r="D2872" t="str">
        <f t="shared" si="266"/>
        <v>FAB3_1L  Desl Deslactosada</v>
      </c>
      <c r="E2872">
        <v>2024</v>
      </c>
      <c r="F2872">
        <v>18</v>
      </c>
      <c r="G2872">
        <f t="shared" si="267"/>
        <v>5</v>
      </c>
      <c r="H2872" s="1">
        <f t="shared" si="268"/>
        <v>45411</v>
      </c>
      <c r="I2872" s="1">
        <f t="shared" si="269"/>
        <v>45413</v>
      </c>
      <c r="J2872">
        <v>1077570</v>
      </c>
      <c r="K2872">
        <v>47892</v>
      </c>
      <c r="L2872">
        <f t="shared" si="265"/>
        <v>22.5</v>
      </c>
      <c r="M2872">
        <v>3991</v>
      </c>
      <c r="N2872" s="2">
        <f t="shared" si="270"/>
        <v>270</v>
      </c>
      <c r="O2872">
        <v>12</v>
      </c>
    </row>
    <row r="2873" spans="1:15" x14ac:dyDescent="0.25">
      <c r="A2873" t="s">
        <v>46</v>
      </c>
      <c r="B2873" t="s">
        <v>16</v>
      </c>
      <c r="C2873" t="s">
        <v>40</v>
      </c>
      <c r="D2873" t="str">
        <f t="shared" si="266"/>
        <v>FAB3_1L  Desl Deslactosada</v>
      </c>
      <c r="E2873">
        <v>2024</v>
      </c>
      <c r="F2873">
        <v>18</v>
      </c>
      <c r="G2873">
        <f t="shared" si="267"/>
        <v>5</v>
      </c>
      <c r="H2873" s="1">
        <f t="shared" si="268"/>
        <v>45411</v>
      </c>
      <c r="I2873" s="1">
        <f t="shared" si="269"/>
        <v>45413</v>
      </c>
      <c r="J2873">
        <v>1356372.4100000004</v>
      </c>
      <c r="K2873">
        <v>61092</v>
      </c>
      <c r="L2873">
        <f t="shared" si="265"/>
        <v>22.20212810187914</v>
      </c>
      <c r="M2873">
        <v>5091</v>
      </c>
      <c r="N2873" s="2">
        <f t="shared" si="270"/>
        <v>266.42553722254968</v>
      </c>
      <c r="O2873">
        <v>12</v>
      </c>
    </row>
    <row r="2874" spans="1:15" x14ac:dyDescent="0.25">
      <c r="A2874" t="s">
        <v>46</v>
      </c>
      <c r="B2874" t="s">
        <v>16</v>
      </c>
      <c r="C2874" t="s">
        <v>40</v>
      </c>
      <c r="D2874" t="str">
        <f t="shared" si="266"/>
        <v>FAB3_1L  Desl Deslactosada</v>
      </c>
      <c r="E2874">
        <v>2024</v>
      </c>
      <c r="F2874">
        <v>19</v>
      </c>
      <c r="G2874">
        <f t="shared" si="267"/>
        <v>5</v>
      </c>
      <c r="H2874" s="1">
        <f t="shared" si="268"/>
        <v>45418</v>
      </c>
      <c r="I2874" s="1">
        <f t="shared" si="269"/>
        <v>45413</v>
      </c>
      <c r="J2874">
        <v>665009.3600000001</v>
      </c>
      <c r="K2874">
        <v>27456</v>
      </c>
      <c r="L2874">
        <f t="shared" si="265"/>
        <v>24.220912004662008</v>
      </c>
      <c r="M2874">
        <v>2288</v>
      </c>
      <c r="N2874" s="2">
        <f t="shared" si="270"/>
        <v>290.65094405594408</v>
      </c>
      <c r="O2874">
        <v>12</v>
      </c>
    </row>
    <row r="2875" spans="1:15" x14ac:dyDescent="0.25">
      <c r="A2875" t="s">
        <v>46</v>
      </c>
      <c r="B2875" t="s">
        <v>16</v>
      </c>
      <c r="C2875" t="s">
        <v>40</v>
      </c>
      <c r="D2875" t="str">
        <f t="shared" si="266"/>
        <v>FAB3_1L  Desl Deslactosada</v>
      </c>
      <c r="E2875">
        <v>2024</v>
      </c>
      <c r="F2875">
        <v>20</v>
      </c>
      <c r="G2875">
        <f t="shared" si="267"/>
        <v>5</v>
      </c>
      <c r="H2875" s="1">
        <f t="shared" si="268"/>
        <v>45425</v>
      </c>
      <c r="I2875" s="1">
        <f t="shared" si="269"/>
        <v>45413</v>
      </c>
      <c r="J2875">
        <v>5900</v>
      </c>
      <c r="K2875">
        <v>264</v>
      </c>
      <c r="L2875">
        <f t="shared" si="265"/>
        <v>22.348484848484848</v>
      </c>
      <c r="M2875">
        <v>22</v>
      </c>
      <c r="N2875" s="2">
        <f t="shared" si="270"/>
        <v>268.18181818181819</v>
      </c>
      <c r="O2875">
        <v>12</v>
      </c>
    </row>
    <row r="2876" spans="1:15" x14ac:dyDescent="0.25">
      <c r="A2876" t="s">
        <v>46</v>
      </c>
      <c r="B2876" t="s">
        <v>16</v>
      </c>
      <c r="C2876" t="s">
        <v>40</v>
      </c>
      <c r="D2876" t="str">
        <f t="shared" si="266"/>
        <v>FAB3_1L  Desl Deslactosada</v>
      </c>
      <c r="E2876">
        <v>2024</v>
      </c>
      <c r="F2876">
        <v>20</v>
      </c>
      <c r="G2876">
        <f t="shared" si="267"/>
        <v>5</v>
      </c>
      <c r="H2876" s="1">
        <f t="shared" si="268"/>
        <v>45425</v>
      </c>
      <c r="I2876" s="1">
        <f t="shared" si="269"/>
        <v>45413</v>
      </c>
      <c r="J2876">
        <v>1170007.5100000007</v>
      </c>
      <c r="K2876">
        <v>48996</v>
      </c>
      <c r="L2876">
        <f t="shared" si="265"/>
        <v>23.879653645195539</v>
      </c>
      <c r="M2876">
        <v>4083</v>
      </c>
      <c r="N2876" s="2">
        <f t="shared" si="270"/>
        <v>286.5558437423465</v>
      </c>
      <c r="O2876">
        <v>12</v>
      </c>
    </row>
    <row r="2877" spans="1:15" x14ac:dyDescent="0.25">
      <c r="A2877" t="s">
        <v>46</v>
      </c>
      <c r="B2877" t="s">
        <v>16</v>
      </c>
      <c r="C2877" t="s">
        <v>40</v>
      </c>
      <c r="D2877" t="str">
        <f t="shared" si="266"/>
        <v>FAB3_1L  Desl Deslactosada</v>
      </c>
      <c r="E2877">
        <v>2024</v>
      </c>
      <c r="F2877">
        <v>21</v>
      </c>
      <c r="G2877">
        <f t="shared" si="267"/>
        <v>5</v>
      </c>
      <c r="H2877" s="1">
        <f t="shared" si="268"/>
        <v>45432</v>
      </c>
      <c r="I2877" s="1">
        <f t="shared" si="269"/>
        <v>45413</v>
      </c>
      <c r="J2877">
        <v>466861.78</v>
      </c>
      <c r="K2877">
        <v>23052</v>
      </c>
      <c r="L2877">
        <f t="shared" si="265"/>
        <v>20.252549887211522</v>
      </c>
      <c r="M2877">
        <v>1921</v>
      </c>
      <c r="N2877" s="2">
        <f t="shared" si="270"/>
        <v>243.03059864653827</v>
      </c>
      <c r="O2877">
        <v>12</v>
      </c>
    </row>
    <row r="2878" spans="1:15" x14ac:dyDescent="0.25">
      <c r="A2878" t="s">
        <v>46</v>
      </c>
      <c r="B2878" t="s">
        <v>16</v>
      </c>
      <c r="C2878" t="s">
        <v>40</v>
      </c>
      <c r="D2878" t="str">
        <f t="shared" si="266"/>
        <v>FAB3_1L  Desl Deslactosada</v>
      </c>
      <c r="E2878">
        <v>2024</v>
      </c>
      <c r="F2878">
        <v>21</v>
      </c>
      <c r="G2878">
        <f t="shared" si="267"/>
        <v>5</v>
      </c>
      <c r="H2878" s="1">
        <f t="shared" si="268"/>
        <v>45432</v>
      </c>
      <c r="I2878" s="1">
        <f t="shared" si="269"/>
        <v>45413</v>
      </c>
      <c r="J2878">
        <v>1076296.9000000004</v>
      </c>
      <c r="K2878">
        <v>45360</v>
      </c>
      <c r="L2878">
        <f t="shared" ref="L2878:L2941" si="271">J2878/(M2878*O2878)</f>
        <v>23.727885802469142</v>
      </c>
      <c r="M2878">
        <v>3780</v>
      </c>
      <c r="N2878" s="2">
        <f t="shared" si="270"/>
        <v>284.73462962962975</v>
      </c>
      <c r="O2878">
        <v>12</v>
      </c>
    </row>
    <row r="2879" spans="1:15" x14ac:dyDescent="0.25">
      <c r="A2879" t="s">
        <v>46</v>
      </c>
      <c r="B2879" t="s">
        <v>16</v>
      </c>
      <c r="C2879" t="s">
        <v>40</v>
      </c>
      <c r="D2879" t="str">
        <f t="shared" si="266"/>
        <v>FAB3_1L  Desl Deslactosada</v>
      </c>
      <c r="E2879">
        <v>2024</v>
      </c>
      <c r="F2879">
        <v>22</v>
      </c>
      <c r="G2879">
        <f t="shared" si="267"/>
        <v>5</v>
      </c>
      <c r="H2879" s="1">
        <f t="shared" si="268"/>
        <v>45439</v>
      </c>
      <c r="I2879" s="1">
        <f t="shared" si="269"/>
        <v>45413</v>
      </c>
      <c r="J2879">
        <v>1282605.6300000022</v>
      </c>
      <c r="K2879">
        <v>55512</v>
      </c>
      <c r="L2879">
        <f t="shared" si="271"/>
        <v>23.105015672287113</v>
      </c>
      <c r="M2879">
        <v>4626</v>
      </c>
      <c r="N2879" s="2">
        <f t="shared" si="270"/>
        <v>277.26018806744537</v>
      </c>
      <c r="O2879">
        <v>12</v>
      </c>
    </row>
    <row r="2880" spans="1:15" x14ac:dyDescent="0.25">
      <c r="A2880" t="s">
        <v>46</v>
      </c>
      <c r="B2880" t="s">
        <v>16</v>
      </c>
      <c r="C2880" t="s">
        <v>40</v>
      </c>
      <c r="D2880" t="str">
        <f t="shared" si="266"/>
        <v>FAB3_1L  Desl Deslactosada</v>
      </c>
      <c r="E2880">
        <v>2024</v>
      </c>
      <c r="F2880">
        <v>23</v>
      </c>
      <c r="G2880">
        <f t="shared" si="267"/>
        <v>6</v>
      </c>
      <c r="H2880" s="1">
        <f t="shared" si="268"/>
        <v>45446</v>
      </c>
      <c r="I2880" s="1">
        <f t="shared" si="269"/>
        <v>45444</v>
      </c>
      <c r="J2880">
        <v>1388939.1400000018</v>
      </c>
      <c r="K2880">
        <v>59820</v>
      </c>
      <c r="L2880">
        <f t="shared" si="271"/>
        <v>23.21864159144102</v>
      </c>
      <c r="M2880">
        <v>4985</v>
      </c>
      <c r="N2880" s="2">
        <f t="shared" si="270"/>
        <v>278.62369909729222</v>
      </c>
      <c r="O2880">
        <v>12</v>
      </c>
    </row>
    <row r="2881" spans="1:15" x14ac:dyDescent="0.25">
      <c r="A2881" t="s">
        <v>46</v>
      </c>
      <c r="B2881" t="s">
        <v>16</v>
      </c>
      <c r="C2881" t="s">
        <v>40</v>
      </c>
      <c r="D2881" t="str">
        <f t="shared" si="266"/>
        <v>FAB3_1L  Desl Deslactosada</v>
      </c>
      <c r="E2881">
        <v>2024</v>
      </c>
      <c r="F2881">
        <v>24</v>
      </c>
      <c r="G2881">
        <f t="shared" si="267"/>
        <v>6</v>
      </c>
      <c r="H2881" s="1">
        <f t="shared" si="268"/>
        <v>45453</v>
      </c>
      <c r="I2881" s="1">
        <f t="shared" si="269"/>
        <v>45444</v>
      </c>
      <c r="J2881">
        <v>1124904.9200000011</v>
      </c>
      <c r="K2881">
        <v>47760</v>
      </c>
      <c r="L2881">
        <f t="shared" si="271"/>
        <v>23.553285594639888</v>
      </c>
      <c r="M2881">
        <v>3980</v>
      </c>
      <c r="N2881" s="2">
        <f t="shared" si="270"/>
        <v>282.63942713567866</v>
      </c>
      <c r="O2881">
        <v>12</v>
      </c>
    </row>
    <row r="2882" spans="1:15" x14ac:dyDescent="0.25">
      <c r="A2882" t="s">
        <v>46</v>
      </c>
      <c r="B2882" t="s">
        <v>16</v>
      </c>
      <c r="C2882" t="s">
        <v>40</v>
      </c>
      <c r="D2882" t="str">
        <f t="shared" si="266"/>
        <v>FAB3_1L  Desl Deslactosada</v>
      </c>
      <c r="E2882">
        <v>2024</v>
      </c>
      <c r="F2882">
        <v>25</v>
      </c>
      <c r="G2882">
        <f t="shared" si="267"/>
        <v>6</v>
      </c>
      <c r="H2882" s="1">
        <f t="shared" si="268"/>
        <v>45460</v>
      </c>
      <c r="I2882" s="1">
        <f t="shared" si="269"/>
        <v>45444</v>
      </c>
      <c r="J2882">
        <v>891.78</v>
      </c>
      <c r="K2882">
        <v>36</v>
      </c>
      <c r="L2882">
        <f t="shared" si="271"/>
        <v>24.771666666666665</v>
      </c>
      <c r="M2882">
        <v>3</v>
      </c>
      <c r="N2882" s="2">
        <f t="shared" si="270"/>
        <v>297.26</v>
      </c>
      <c r="O2882">
        <v>12</v>
      </c>
    </row>
    <row r="2883" spans="1:15" x14ac:dyDescent="0.25">
      <c r="A2883" t="s">
        <v>46</v>
      </c>
      <c r="B2883" t="s">
        <v>16</v>
      </c>
      <c r="C2883" t="s">
        <v>40</v>
      </c>
      <c r="D2883" t="str">
        <f t="shared" ref="D2883:D2946" si="272">B2883&amp;"_"&amp;C2883</f>
        <v>FAB3_1L  Desl Deslactosada</v>
      </c>
      <c r="E2883">
        <v>2024</v>
      </c>
      <c r="F2883">
        <v>25</v>
      </c>
      <c r="G2883">
        <f t="shared" ref="G2883:G2946" si="273">MONTH(DATE(E2883,1,4)+(F2883-1)*7-WEEKDAY(DATE(E2883,1,4),2)+4)</f>
        <v>6</v>
      </c>
      <c r="H2883" s="1">
        <f t="shared" ref="H2883:H2946" si="274">DATE(E2883,1,-2)-WEEKDAY(DATE(E2883,1,3))+F2883*7</f>
        <v>45460</v>
      </c>
      <c r="I2883" s="1">
        <f t="shared" ref="I2883:I2946" si="275">DATE(E2883,G2883,1)</f>
        <v>45444</v>
      </c>
      <c r="J2883">
        <v>1506144.2400000014</v>
      </c>
      <c r="K2883">
        <v>66180</v>
      </c>
      <c r="L2883">
        <f t="shared" si="271"/>
        <v>22.758299184043537</v>
      </c>
      <c r="M2883">
        <v>5515</v>
      </c>
      <c r="N2883" s="2">
        <f t="shared" ref="N2883:N2946" si="276">J2883/M2883</f>
        <v>273.09959020852244</v>
      </c>
      <c r="O2883">
        <v>12</v>
      </c>
    </row>
    <row r="2884" spans="1:15" x14ac:dyDescent="0.25">
      <c r="A2884" t="s">
        <v>46</v>
      </c>
      <c r="B2884" t="s">
        <v>16</v>
      </c>
      <c r="C2884" t="s">
        <v>40</v>
      </c>
      <c r="D2884" t="str">
        <f t="shared" si="272"/>
        <v>FAB3_1L  Desl Deslactosada</v>
      </c>
      <c r="E2884">
        <v>2024</v>
      </c>
      <c r="F2884">
        <v>26</v>
      </c>
      <c r="G2884">
        <f t="shared" si="273"/>
        <v>6</v>
      </c>
      <c r="H2884" s="1">
        <f t="shared" si="274"/>
        <v>45467</v>
      </c>
      <c r="I2884" s="1">
        <f t="shared" si="275"/>
        <v>45444</v>
      </c>
      <c r="J2884">
        <v>14407.119999999999</v>
      </c>
      <c r="K2884">
        <v>588</v>
      </c>
      <c r="L2884">
        <f t="shared" si="271"/>
        <v>24.501904761904761</v>
      </c>
      <c r="M2884">
        <v>49</v>
      </c>
      <c r="N2884" s="2">
        <f t="shared" si="276"/>
        <v>294.02285714285711</v>
      </c>
      <c r="O2884">
        <v>12</v>
      </c>
    </row>
    <row r="2885" spans="1:15" x14ac:dyDescent="0.25">
      <c r="A2885" t="s">
        <v>46</v>
      </c>
      <c r="B2885" t="s">
        <v>16</v>
      </c>
      <c r="C2885" t="s">
        <v>40</v>
      </c>
      <c r="D2885" t="str">
        <f t="shared" si="272"/>
        <v>FAB3_1L  Desl Deslactosada</v>
      </c>
      <c r="E2885">
        <v>2024</v>
      </c>
      <c r="F2885">
        <v>26</v>
      </c>
      <c r="G2885">
        <f t="shared" si="273"/>
        <v>6</v>
      </c>
      <c r="H2885" s="1">
        <f t="shared" si="274"/>
        <v>45467</v>
      </c>
      <c r="I2885" s="1">
        <f t="shared" si="275"/>
        <v>45444</v>
      </c>
      <c r="J2885">
        <v>914348.83000000007</v>
      </c>
      <c r="K2885">
        <v>38952</v>
      </c>
      <c r="L2885">
        <f t="shared" si="271"/>
        <v>23.473732542616556</v>
      </c>
      <c r="M2885">
        <v>3246</v>
      </c>
      <c r="N2885" s="2">
        <f t="shared" si="276"/>
        <v>281.68479051139866</v>
      </c>
      <c r="O2885">
        <v>12</v>
      </c>
    </row>
    <row r="2886" spans="1:15" x14ac:dyDescent="0.25">
      <c r="A2886" t="s">
        <v>46</v>
      </c>
      <c r="B2886" t="s">
        <v>16</v>
      </c>
      <c r="C2886" t="s">
        <v>40</v>
      </c>
      <c r="D2886" t="str">
        <f t="shared" si="272"/>
        <v>FAB3_1L  Desl Deslactosada</v>
      </c>
      <c r="E2886">
        <v>2024</v>
      </c>
      <c r="F2886">
        <v>27</v>
      </c>
      <c r="G2886">
        <f t="shared" si="273"/>
        <v>7</v>
      </c>
      <c r="H2886" s="1">
        <f t="shared" si="274"/>
        <v>45474</v>
      </c>
      <c r="I2886" s="1">
        <f t="shared" si="275"/>
        <v>45474</v>
      </c>
      <c r="J2886">
        <v>63435.8</v>
      </c>
      <c r="K2886">
        <v>2592</v>
      </c>
      <c r="L2886">
        <f t="shared" si="271"/>
        <v>24.473688271604939</v>
      </c>
      <c r="M2886">
        <v>216</v>
      </c>
      <c r="N2886" s="2">
        <f t="shared" si="276"/>
        <v>293.68425925925925</v>
      </c>
      <c r="O2886">
        <v>12</v>
      </c>
    </row>
    <row r="2887" spans="1:15" x14ac:dyDescent="0.25">
      <c r="A2887" t="s">
        <v>46</v>
      </c>
      <c r="B2887" t="s">
        <v>16</v>
      </c>
      <c r="C2887" t="s">
        <v>40</v>
      </c>
      <c r="D2887" t="str">
        <f t="shared" si="272"/>
        <v>FAB3_1L  Desl Deslactosada</v>
      </c>
      <c r="E2887">
        <v>2024</v>
      </c>
      <c r="F2887">
        <v>27</v>
      </c>
      <c r="G2887">
        <f t="shared" si="273"/>
        <v>7</v>
      </c>
      <c r="H2887" s="1">
        <f t="shared" si="274"/>
        <v>45474</v>
      </c>
      <c r="I2887" s="1">
        <f t="shared" si="275"/>
        <v>45474</v>
      </c>
      <c r="J2887">
        <v>1127701.0500000005</v>
      </c>
      <c r="K2887">
        <v>47568</v>
      </c>
      <c r="L2887">
        <f t="shared" si="271"/>
        <v>23.707136099899103</v>
      </c>
      <c r="M2887">
        <v>3964</v>
      </c>
      <c r="N2887" s="2">
        <f t="shared" si="276"/>
        <v>284.48563319878923</v>
      </c>
      <c r="O2887">
        <v>12</v>
      </c>
    </row>
    <row r="2888" spans="1:15" x14ac:dyDescent="0.25">
      <c r="A2888" t="s">
        <v>46</v>
      </c>
      <c r="B2888" t="s">
        <v>16</v>
      </c>
      <c r="C2888" t="s">
        <v>40</v>
      </c>
      <c r="D2888" t="str">
        <f t="shared" si="272"/>
        <v>FAB3_1L  Desl Deslactosada</v>
      </c>
      <c r="E2888">
        <v>2024</v>
      </c>
      <c r="F2888">
        <v>28</v>
      </c>
      <c r="G2888">
        <f t="shared" si="273"/>
        <v>7</v>
      </c>
      <c r="H2888" s="1">
        <f t="shared" si="274"/>
        <v>45481</v>
      </c>
      <c r="I2888" s="1">
        <f t="shared" si="275"/>
        <v>45474</v>
      </c>
      <c r="J2888">
        <v>19395</v>
      </c>
      <c r="K2888">
        <v>792</v>
      </c>
      <c r="L2888">
        <f t="shared" si="271"/>
        <v>24.488636363636363</v>
      </c>
      <c r="M2888">
        <v>66</v>
      </c>
      <c r="N2888" s="2">
        <f t="shared" si="276"/>
        <v>293.86363636363637</v>
      </c>
      <c r="O2888">
        <v>12</v>
      </c>
    </row>
    <row r="2889" spans="1:15" x14ac:dyDescent="0.25">
      <c r="A2889" t="s">
        <v>46</v>
      </c>
      <c r="B2889" t="s">
        <v>16</v>
      </c>
      <c r="C2889" t="s">
        <v>40</v>
      </c>
      <c r="D2889" t="str">
        <f t="shared" si="272"/>
        <v>FAB3_1L  Desl Deslactosada</v>
      </c>
      <c r="E2889">
        <v>2024</v>
      </c>
      <c r="F2889">
        <v>28</v>
      </c>
      <c r="G2889">
        <f t="shared" si="273"/>
        <v>7</v>
      </c>
      <c r="H2889" s="1">
        <f t="shared" si="274"/>
        <v>45481</v>
      </c>
      <c r="I2889" s="1">
        <f t="shared" si="275"/>
        <v>45474</v>
      </c>
      <c r="J2889">
        <v>1024198.7600000001</v>
      </c>
      <c r="K2889">
        <v>44508</v>
      </c>
      <c r="L2889">
        <f t="shared" si="271"/>
        <v>23.011565561247419</v>
      </c>
      <c r="M2889">
        <v>3709</v>
      </c>
      <c r="N2889" s="2">
        <f t="shared" si="276"/>
        <v>276.13878673496902</v>
      </c>
      <c r="O2889">
        <v>12</v>
      </c>
    </row>
    <row r="2890" spans="1:15" x14ac:dyDescent="0.25">
      <c r="A2890" t="s">
        <v>46</v>
      </c>
      <c r="B2890" t="s">
        <v>16</v>
      </c>
      <c r="C2890" t="s">
        <v>40</v>
      </c>
      <c r="D2890" t="str">
        <f t="shared" si="272"/>
        <v>FAB3_1L  Desl Deslactosada</v>
      </c>
      <c r="E2890">
        <v>2024</v>
      </c>
      <c r="F2890">
        <v>29</v>
      </c>
      <c r="G2890">
        <f t="shared" si="273"/>
        <v>7</v>
      </c>
      <c r="H2890" s="1">
        <f t="shared" si="274"/>
        <v>45488</v>
      </c>
      <c r="I2890" s="1">
        <f t="shared" si="275"/>
        <v>45474</v>
      </c>
      <c r="J2890">
        <v>15624</v>
      </c>
      <c r="K2890">
        <v>672</v>
      </c>
      <c r="L2890">
        <f t="shared" si="271"/>
        <v>23.25</v>
      </c>
      <c r="M2890">
        <v>56</v>
      </c>
      <c r="N2890" s="2">
        <f t="shared" si="276"/>
        <v>279</v>
      </c>
      <c r="O2890">
        <v>12</v>
      </c>
    </row>
    <row r="2891" spans="1:15" x14ac:dyDescent="0.25">
      <c r="A2891" t="s">
        <v>46</v>
      </c>
      <c r="B2891" t="s">
        <v>16</v>
      </c>
      <c r="C2891" t="s">
        <v>40</v>
      </c>
      <c r="D2891" t="str">
        <f t="shared" si="272"/>
        <v>FAB3_1L  Desl Deslactosada</v>
      </c>
      <c r="E2891">
        <v>2024</v>
      </c>
      <c r="F2891">
        <v>29</v>
      </c>
      <c r="G2891">
        <f t="shared" si="273"/>
        <v>7</v>
      </c>
      <c r="H2891" s="1">
        <f t="shared" si="274"/>
        <v>45488</v>
      </c>
      <c r="I2891" s="1">
        <f t="shared" si="275"/>
        <v>45474</v>
      </c>
      <c r="J2891">
        <v>1189790.6600000001</v>
      </c>
      <c r="K2891">
        <v>51420</v>
      </c>
      <c r="L2891">
        <f t="shared" si="271"/>
        <v>23.138674834694676</v>
      </c>
      <c r="M2891">
        <v>4285</v>
      </c>
      <c r="N2891" s="2">
        <f t="shared" si="276"/>
        <v>277.66409801633608</v>
      </c>
      <c r="O2891">
        <v>12</v>
      </c>
    </row>
    <row r="2892" spans="1:15" x14ac:dyDescent="0.25">
      <c r="A2892" t="s">
        <v>46</v>
      </c>
      <c r="B2892" t="s">
        <v>16</v>
      </c>
      <c r="C2892" t="s">
        <v>40</v>
      </c>
      <c r="D2892" t="str">
        <f t="shared" si="272"/>
        <v>FAB3_1L  Desl Deslactosada</v>
      </c>
      <c r="E2892">
        <v>2024</v>
      </c>
      <c r="F2892">
        <v>30</v>
      </c>
      <c r="G2892">
        <f t="shared" si="273"/>
        <v>7</v>
      </c>
      <c r="H2892" s="1">
        <f t="shared" si="274"/>
        <v>45495</v>
      </c>
      <c r="I2892" s="1">
        <f t="shared" si="275"/>
        <v>45474</v>
      </c>
      <c r="J2892">
        <v>38030</v>
      </c>
      <c r="K2892">
        <v>1548</v>
      </c>
      <c r="L2892">
        <f t="shared" si="271"/>
        <v>24.567183462532299</v>
      </c>
      <c r="M2892">
        <v>129</v>
      </c>
      <c r="N2892" s="2">
        <f t="shared" si="276"/>
        <v>294.80620155038758</v>
      </c>
      <c r="O2892">
        <v>12</v>
      </c>
    </row>
    <row r="2893" spans="1:15" x14ac:dyDescent="0.25">
      <c r="A2893" t="s">
        <v>46</v>
      </c>
      <c r="B2893" t="s">
        <v>16</v>
      </c>
      <c r="C2893" t="s">
        <v>40</v>
      </c>
      <c r="D2893" t="str">
        <f t="shared" si="272"/>
        <v>FAB3_1L  Desl Deslactosada</v>
      </c>
      <c r="E2893">
        <v>2024</v>
      </c>
      <c r="F2893">
        <v>30</v>
      </c>
      <c r="G2893">
        <f t="shared" si="273"/>
        <v>7</v>
      </c>
      <c r="H2893" s="1">
        <f t="shared" si="274"/>
        <v>45495</v>
      </c>
      <c r="I2893" s="1">
        <f t="shared" si="275"/>
        <v>45474</v>
      </c>
      <c r="J2893">
        <v>1164967.0900000003</v>
      </c>
      <c r="K2893">
        <v>50856</v>
      </c>
      <c r="L2893">
        <f t="shared" si="271"/>
        <v>22.907171031933309</v>
      </c>
      <c r="M2893">
        <v>4238</v>
      </c>
      <c r="N2893" s="2">
        <f t="shared" si="276"/>
        <v>274.88605238319968</v>
      </c>
      <c r="O2893">
        <v>12</v>
      </c>
    </row>
    <row r="2894" spans="1:15" x14ac:dyDescent="0.25">
      <c r="A2894" t="s">
        <v>46</v>
      </c>
      <c r="B2894" t="s">
        <v>16</v>
      </c>
      <c r="C2894" t="s">
        <v>40</v>
      </c>
      <c r="D2894" t="str">
        <f t="shared" si="272"/>
        <v>FAB3_1L  Desl Deslactosada</v>
      </c>
      <c r="E2894">
        <v>2024</v>
      </c>
      <c r="F2894">
        <v>31</v>
      </c>
      <c r="G2894">
        <f t="shared" si="273"/>
        <v>8</v>
      </c>
      <c r="H2894" s="1">
        <f t="shared" si="274"/>
        <v>45502</v>
      </c>
      <c r="I2894" s="1">
        <f t="shared" si="275"/>
        <v>45505</v>
      </c>
      <c r="J2894">
        <v>73621.679999999993</v>
      </c>
      <c r="K2894">
        <v>3072</v>
      </c>
      <c r="L2894">
        <f t="shared" si="271"/>
        <v>23.965390624999998</v>
      </c>
      <c r="M2894">
        <v>256</v>
      </c>
      <c r="N2894" s="2">
        <f t="shared" si="276"/>
        <v>287.58468749999997</v>
      </c>
      <c r="O2894">
        <v>12</v>
      </c>
    </row>
    <row r="2895" spans="1:15" x14ac:dyDescent="0.25">
      <c r="A2895" t="s">
        <v>46</v>
      </c>
      <c r="B2895" t="s">
        <v>16</v>
      </c>
      <c r="C2895" t="s">
        <v>40</v>
      </c>
      <c r="D2895" t="str">
        <f t="shared" si="272"/>
        <v>FAB3_1L  Desl Deslactosada</v>
      </c>
      <c r="E2895">
        <v>2024</v>
      </c>
      <c r="F2895">
        <v>31</v>
      </c>
      <c r="G2895">
        <f t="shared" si="273"/>
        <v>8</v>
      </c>
      <c r="H2895" s="1">
        <f t="shared" si="274"/>
        <v>45502</v>
      </c>
      <c r="I2895" s="1">
        <f t="shared" si="275"/>
        <v>45505</v>
      </c>
      <c r="J2895">
        <v>1205487.7300000004</v>
      </c>
      <c r="K2895">
        <v>52092</v>
      </c>
      <c r="L2895">
        <f t="shared" si="271"/>
        <v>23.141513668125633</v>
      </c>
      <c r="M2895">
        <v>4341</v>
      </c>
      <c r="N2895" s="2">
        <f t="shared" si="276"/>
        <v>277.69816401750757</v>
      </c>
      <c r="O2895">
        <v>12</v>
      </c>
    </row>
    <row r="2896" spans="1:15" x14ac:dyDescent="0.25">
      <c r="A2896" t="s">
        <v>46</v>
      </c>
      <c r="B2896" t="s">
        <v>16</v>
      </c>
      <c r="C2896" t="s">
        <v>40</v>
      </c>
      <c r="D2896" t="str">
        <f t="shared" si="272"/>
        <v>FAB3_1L  Desl Deslactosada</v>
      </c>
      <c r="E2896">
        <v>2024</v>
      </c>
      <c r="F2896">
        <v>32</v>
      </c>
      <c r="G2896">
        <f t="shared" si="273"/>
        <v>8</v>
      </c>
      <c r="H2896" s="1">
        <f t="shared" si="274"/>
        <v>45509</v>
      </c>
      <c r="I2896" s="1">
        <f t="shared" si="275"/>
        <v>45505</v>
      </c>
      <c r="J2896">
        <v>37317.97</v>
      </c>
      <c r="K2896">
        <v>1608</v>
      </c>
      <c r="L2896">
        <f t="shared" si="271"/>
        <v>23.207692786069654</v>
      </c>
      <c r="M2896">
        <v>134</v>
      </c>
      <c r="N2896" s="2">
        <f t="shared" si="276"/>
        <v>278.49231343283583</v>
      </c>
      <c r="O2896">
        <v>12</v>
      </c>
    </row>
    <row r="2897" spans="1:15" x14ac:dyDescent="0.25">
      <c r="A2897" t="s">
        <v>46</v>
      </c>
      <c r="B2897" t="s">
        <v>16</v>
      </c>
      <c r="C2897" t="s">
        <v>40</v>
      </c>
      <c r="D2897" t="str">
        <f t="shared" si="272"/>
        <v>FAB3_1L  Desl Deslactosada</v>
      </c>
      <c r="E2897">
        <v>2024</v>
      </c>
      <c r="F2897">
        <v>32</v>
      </c>
      <c r="G2897">
        <f t="shared" si="273"/>
        <v>8</v>
      </c>
      <c r="H2897" s="1">
        <f t="shared" si="274"/>
        <v>45509</v>
      </c>
      <c r="I2897" s="1">
        <f t="shared" si="275"/>
        <v>45505</v>
      </c>
      <c r="J2897">
        <v>2533787.5500000003</v>
      </c>
      <c r="K2897">
        <v>119784</v>
      </c>
      <c r="L2897">
        <f t="shared" si="271"/>
        <v>21.152971598877983</v>
      </c>
      <c r="M2897">
        <v>9982</v>
      </c>
      <c r="N2897" s="2">
        <f t="shared" si="276"/>
        <v>253.83565918653579</v>
      </c>
      <c r="O2897">
        <v>12</v>
      </c>
    </row>
    <row r="2898" spans="1:15" x14ac:dyDescent="0.25">
      <c r="A2898" t="s">
        <v>46</v>
      </c>
      <c r="B2898" t="s">
        <v>16</v>
      </c>
      <c r="C2898" t="s">
        <v>40</v>
      </c>
      <c r="D2898" t="str">
        <f t="shared" si="272"/>
        <v>FAB3_1L  Desl Deslactosada</v>
      </c>
      <c r="E2898">
        <v>2024</v>
      </c>
      <c r="F2898">
        <v>33</v>
      </c>
      <c r="G2898">
        <f t="shared" si="273"/>
        <v>8</v>
      </c>
      <c r="H2898" s="1">
        <f t="shared" si="274"/>
        <v>45516</v>
      </c>
      <c r="I2898" s="1">
        <f t="shared" si="275"/>
        <v>45505</v>
      </c>
      <c r="J2898">
        <v>52142.34</v>
      </c>
      <c r="K2898">
        <v>3288</v>
      </c>
      <c r="L2898">
        <f t="shared" si="271"/>
        <v>15.858375912408759</v>
      </c>
      <c r="M2898">
        <v>274</v>
      </c>
      <c r="N2898" s="2">
        <f t="shared" si="276"/>
        <v>190.3005109489051</v>
      </c>
      <c r="O2898">
        <v>12</v>
      </c>
    </row>
    <row r="2899" spans="1:15" x14ac:dyDescent="0.25">
      <c r="A2899" t="s">
        <v>46</v>
      </c>
      <c r="B2899" t="s">
        <v>16</v>
      </c>
      <c r="C2899" t="s">
        <v>40</v>
      </c>
      <c r="D2899" t="str">
        <f t="shared" si="272"/>
        <v>FAB3_1L  Desl Deslactosada</v>
      </c>
      <c r="E2899">
        <v>2024</v>
      </c>
      <c r="F2899">
        <v>33</v>
      </c>
      <c r="G2899">
        <f t="shared" si="273"/>
        <v>8</v>
      </c>
      <c r="H2899" s="1">
        <f t="shared" si="274"/>
        <v>45516</v>
      </c>
      <c r="I2899" s="1">
        <f t="shared" si="275"/>
        <v>45505</v>
      </c>
      <c r="J2899">
        <v>1824802.0300000012</v>
      </c>
      <c r="K2899">
        <v>83892</v>
      </c>
      <c r="L2899">
        <f t="shared" si="271"/>
        <v>21.751800290850156</v>
      </c>
      <c r="M2899">
        <v>6991</v>
      </c>
      <c r="N2899" s="2">
        <f t="shared" si="276"/>
        <v>261.02160349020187</v>
      </c>
      <c r="O2899">
        <v>12</v>
      </c>
    </row>
    <row r="2900" spans="1:15" x14ac:dyDescent="0.25">
      <c r="A2900" t="s">
        <v>46</v>
      </c>
      <c r="B2900" t="s">
        <v>16</v>
      </c>
      <c r="C2900" t="s">
        <v>40</v>
      </c>
      <c r="D2900" t="str">
        <f t="shared" si="272"/>
        <v>FAB3_1L  Desl Deslactosada</v>
      </c>
      <c r="E2900">
        <v>2024</v>
      </c>
      <c r="F2900">
        <v>34</v>
      </c>
      <c r="G2900">
        <f t="shared" si="273"/>
        <v>8</v>
      </c>
      <c r="H2900" s="1">
        <f t="shared" si="274"/>
        <v>45523</v>
      </c>
      <c r="I2900" s="1">
        <f t="shared" si="275"/>
        <v>45505</v>
      </c>
      <c r="J2900">
        <v>37295.56</v>
      </c>
      <c r="K2900">
        <v>2784</v>
      </c>
      <c r="L2900">
        <f t="shared" si="271"/>
        <v>13.396393678160919</v>
      </c>
      <c r="M2900">
        <v>232</v>
      </c>
      <c r="N2900" s="2">
        <f t="shared" si="276"/>
        <v>160.75672413793103</v>
      </c>
      <c r="O2900">
        <v>12</v>
      </c>
    </row>
    <row r="2901" spans="1:15" x14ac:dyDescent="0.25">
      <c r="A2901" t="s">
        <v>46</v>
      </c>
      <c r="B2901" t="s">
        <v>16</v>
      </c>
      <c r="C2901" t="s">
        <v>40</v>
      </c>
      <c r="D2901" t="str">
        <f t="shared" si="272"/>
        <v>FAB3_1L  Desl Deslactosada</v>
      </c>
      <c r="E2901">
        <v>2024</v>
      </c>
      <c r="F2901">
        <v>34</v>
      </c>
      <c r="G2901">
        <f t="shared" si="273"/>
        <v>8</v>
      </c>
      <c r="H2901" s="1">
        <f t="shared" si="274"/>
        <v>45523</v>
      </c>
      <c r="I2901" s="1">
        <f t="shared" si="275"/>
        <v>45505</v>
      </c>
      <c r="J2901">
        <v>1535298.8700000003</v>
      </c>
      <c r="K2901">
        <v>69864</v>
      </c>
      <c r="L2901">
        <f t="shared" si="271"/>
        <v>21.975536327722438</v>
      </c>
      <c r="M2901">
        <v>5822</v>
      </c>
      <c r="N2901" s="2">
        <f t="shared" si="276"/>
        <v>263.70643593266925</v>
      </c>
      <c r="O2901">
        <v>12</v>
      </c>
    </row>
    <row r="2902" spans="1:15" x14ac:dyDescent="0.25">
      <c r="A2902" t="s">
        <v>46</v>
      </c>
      <c r="B2902" t="s">
        <v>16</v>
      </c>
      <c r="C2902" t="s">
        <v>40</v>
      </c>
      <c r="D2902" t="str">
        <f t="shared" si="272"/>
        <v>FAB3_1L  Desl Deslactosada</v>
      </c>
      <c r="E2902">
        <v>2024</v>
      </c>
      <c r="F2902">
        <v>35</v>
      </c>
      <c r="G2902">
        <f t="shared" si="273"/>
        <v>8</v>
      </c>
      <c r="H2902" s="1">
        <f t="shared" si="274"/>
        <v>45530</v>
      </c>
      <c r="I2902" s="1">
        <f t="shared" si="275"/>
        <v>45505</v>
      </c>
      <c r="J2902">
        <v>1010570.2400000001</v>
      </c>
      <c r="K2902">
        <v>42516</v>
      </c>
      <c r="L2902">
        <f t="shared" si="271"/>
        <v>23.769174898861607</v>
      </c>
      <c r="M2902">
        <v>3543</v>
      </c>
      <c r="N2902" s="2">
        <f t="shared" si="276"/>
        <v>285.23009878633928</v>
      </c>
      <c r="O2902">
        <v>12</v>
      </c>
    </row>
    <row r="2903" spans="1:15" x14ac:dyDescent="0.25">
      <c r="A2903" t="s">
        <v>46</v>
      </c>
      <c r="B2903" t="s">
        <v>16</v>
      </c>
      <c r="C2903" t="s">
        <v>40</v>
      </c>
      <c r="D2903" t="str">
        <f t="shared" si="272"/>
        <v>FAB3_1L  Desl Deslactosada</v>
      </c>
      <c r="E2903">
        <v>2024</v>
      </c>
      <c r="F2903">
        <v>36</v>
      </c>
      <c r="G2903">
        <f t="shared" si="273"/>
        <v>9</v>
      </c>
      <c r="H2903" s="1">
        <f t="shared" si="274"/>
        <v>45537</v>
      </c>
      <c r="I2903" s="1">
        <f t="shared" si="275"/>
        <v>45536</v>
      </c>
      <c r="J2903">
        <v>279</v>
      </c>
      <c r="K2903">
        <v>12</v>
      </c>
      <c r="L2903">
        <f t="shared" si="271"/>
        <v>23.25</v>
      </c>
      <c r="M2903">
        <v>1</v>
      </c>
      <c r="N2903" s="2">
        <f t="shared" si="276"/>
        <v>279</v>
      </c>
      <c r="O2903">
        <v>12</v>
      </c>
    </row>
    <row r="2904" spans="1:15" x14ac:dyDescent="0.25">
      <c r="A2904" t="s">
        <v>46</v>
      </c>
      <c r="B2904" t="s">
        <v>16</v>
      </c>
      <c r="C2904" t="s">
        <v>40</v>
      </c>
      <c r="D2904" t="str">
        <f t="shared" si="272"/>
        <v>FAB3_1L  Desl Deslactosada</v>
      </c>
      <c r="E2904">
        <v>2024</v>
      </c>
      <c r="F2904">
        <v>36</v>
      </c>
      <c r="G2904">
        <f t="shared" si="273"/>
        <v>9</v>
      </c>
      <c r="H2904" s="1">
        <f t="shared" si="274"/>
        <v>45537</v>
      </c>
      <c r="I2904" s="1">
        <f t="shared" si="275"/>
        <v>45536</v>
      </c>
      <c r="J2904">
        <v>1235318.7700000003</v>
      </c>
      <c r="K2904">
        <v>53100</v>
      </c>
      <c r="L2904">
        <f t="shared" si="271"/>
        <v>23.26400696798494</v>
      </c>
      <c r="M2904">
        <v>4425</v>
      </c>
      <c r="N2904" s="2">
        <f t="shared" si="276"/>
        <v>279.16808361581928</v>
      </c>
      <c r="O2904">
        <v>12</v>
      </c>
    </row>
    <row r="2905" spans="1:15" x14ac:dyDescent="0.25">
      <c r="A2905" t="s">
        <v>46</v>
      </c>
      <c r="B2905" t="s">
        <v>16</v>
      </c>
      <c r="C2905" t="s">
        <v>40</v>
      </c>
      <c r="D2905" t="str">
        <f t="shared" si="272"/>
        <v>FAB3_1L  Desl Deslactosada</v>
      </c>
      <c r="E2905">
        <v>2024</v>
      </c>
      <c r="F2905">
        <v>37</v>
      </c>
      <c r="G2905">
        <f t="shared" si="273"/>
        <v>9</v>
      </c>
      <c r="H2905" s="1">
        <f t="shared" si="274"/>
        <v>45544</v>
      </c>
      <c r="I2905" s="1">
        <f t="shared" si="275"/>
        <v>45536</v>
      </c>
      <c r="J2905">
        <v>1017310.6200000006</v>
      </c>
      <c r="K2905">
        <v>43068</v>
      </c>
      <c r="L2905">
        <f t="shared" si="271"/>
        <v>23.621032320980788</v>
      </c>
      <c r="M2905">
        <v>3589</v>
      </c>
      <c r="N2905" s="2">
        <f t="shared" si="276"/>
        <v>283.45238785176946</v>
      </c>
      <c r="O2905">
        <v>12</v>
      </c>
    </row>
    <row r="2906" spans="1:15" x14ac:dyDescent="0.25">
      <c r="A2906" t="s">
        <v>46</v>
      </c>
      <c r="B2906" t="s">
        <v>16</v>
      </c>
      <c r="C2906" t="s">
        <v>40</v>
      </c>
      <c r="D2906" t="str">
        <f t="shared" si="272"/>
        <v>FAB3_1L  Desl Deslactosada</v>
      </c>
      <c r="E2906">
        <v>2024</v>
      </c>
      <c r="F2906">
        <v>38</v>
      </c>
      <c r="G2906">
        <f t="shared" si="273"/>
        <v>9</v>
      </c>
      <c r="H2906" s="1">
        <f t="shared" si="274"/>
        <v>45551</v>
      </c>
      <c r="I2906" s="1">
        <f t="shared" si="275"/>
        <v>45536</v>
      </c>
      <c r="J2906">
        <v>1165474.5599999998</v>
      </c>
      <c r="K2906">
        <v>50052</v>
      </c>
      <c r="L2906">
        <f t="shared" si="271"/>
        <v>23.285274514504913</v>
      </c>
      <c r="M2906">
        <v>4171</v>
      </c>
      <c r="N2906" s="2">
        <f t="shared" si="276"/>
        <v>279.42329417405892</v>
      </c>
      <c r="O2906">
        <v>12</v>
      </c>
    </row>
    <row r="2907" spans="1:15" x14ac:dyDescent="0.25">
      <c r="A2907" t="s">
        <v>46</v>
      </c>
      <c r="B2907" t="s">
        <v>16</v>
      </c>
      <c r="C2907" t="s">
        <v>40</v>
      </c>
      <c r="D2907" t="str">
        <f t="shared" si="272"/>
        <v>FAB3_1L  Desl Deslactosada</v>
      </c>
      <c r="E2907">
        <v>2024</v>
      </c>
      <c r="F2907">
        <v>39</v>
      </c>
      <c r="G2907">
        <f t="shared" si="273"/>
        <v>9</v>
      </c>
      <c r="H2907" s="1">
        <f t="shared" si="274"/>
        <v>45558</v>
      </c>
      <c r="I2907" s="1">
        <f t="shared" si="275"/>
        <v>45536</v>
      </c>
      <c r="J2907">
        <v>11196</v>
      </c>
      <c r="K2907">
        <v>504</v>
      </c>
      <c r="L2907">
        <f t="shared" si="271"/>
        <v>22.214285714285715</v>
      </c>
      <c r="M2907">
        <v>42</v>
      </c>
      <c r="N2907" s="2">
        <f t="shared" si="276"/>
        <v>266.57142857142856</v>
      </c>
      <c r="O2907">
        <v>12</v>
      </c>
    </row>
    <row r="2908" spans="1:15" x14ac:dyDescent="0.25">
      <c r="A2908" t="s">
        <v>46</v>
      </c>
      <c r="B2908" t="s">
        <v>16</v>
      </c>
      <c r="C2908" t="s">
        <v>40</v>
      </c>
      <c r="D2908" t="str">
        <f t="shared" si="272"/>
        <v>FAB3_1L  Desl Deslactosada</v>
      </c>
      <c r="E2908">
        <v>2024</v>
      </c>
      <c r="F2908">
        <v>39</v>
      </c>
      <c r="G2908">
        <f t="shared" si="273"/>
        <v>9</v>
      </c>
      <c r="H2908" s="1">
        <f t="shared" si="274"/>
        <v>45558</v>
      </c>
      <c r="I2908" s="1">
        <f t="shared" si="275"/>
        <v>45536</v>
      </c>
      <c r="J2908">
        <v>1522452.7799999989</v>
      </c>
      <c r="K2908">
        <v>69060</v>
      </c>
      <c r="L2908">
        <f t="shared" si="271"/>
        <v>22.045363162467403</v>
      </c>
      <c r="M2908">
        <v>5755</v>
      </c>
      <c r="N2908" s="2">
        <f t="shared" si="276"/>
        <v>264.54435794960887</v>
      </c>
      <c r="O2908">
        <v>12</v>
      </c>
    </row>
    <row r="2909" spans="1:15" x14ac:dyDescent="0.25">
      <c r="A2909" t="s">
        <v>46</v>
      </c>
      <c r="B2909" t="s">
        <v>16</v>
      </c>
      <c r="C2909" t="s">
        <v>40</v>
      </c>
      <c r="D2909" t="str">
        <f t="shared" si="272"/>
        <v>FAB3_1L  Desl Deslactosada</v>
      </c>
      <c r="E2909">
        <v>2024</v>
      </c>
      <c r="F2909">
        <v>40</v>
      </c>
      <c r="G2909">
        <f t="shared" si="273"/>
        <v>10</v>
      </c>
      <c r="H2909" s="1">
        <f t="shared" si="274"/>
        <v>45565</v>
      </c>
      <c r="I2909" s="1">
        <f t="shared" si="275"/>
        <v>45566</v>
      </c>
      <c r="J2909">
        <v>18931</v>
      </c>
      <c r="K2909">
        <v>852</v>
      </c>
      <c r="L2909">
        <f t="shared" si="271"/>
        <v>22.219483568075116</v>
      </c>
      <c r="M2909">
        <v>71</v>
      </c>
      <c r="N2909" s="2">
        <f t="shared" si="276"/>
        <v>266.63380281690144</v>
      </c>
      <c r="O2909">
        <v>12</v>
      </c>
    </row>
    <row r="2910" spans="1:15" x14ac:dyDescent="0.25">
      <c r="A2910" t="s">
        <v>46</v>
      </c>
      <c r="B2910" t="s">
        <v>16</v>
      </c>
      <c r="C2910" t="s">
        <v>40</v>
      </c>
      <c r="D2910" t="str">
        <f t="shared" si="272"/>
        <v>FAB3_1L  Desl Deslactosada</v>
      </c>
      <c r="E2910">
        <v>2024</v>
      </c>
      <c r="F2910">
        <v>40</v>
      </c>
      <c r="G2910">
        <f t="shared" si="273"/>
        <v>10</v>
      </c>
      <c r="H2910" s="1">
        <f t="shared" si="274"/>
        <v>45565</v>
      </c>
      <c r="I2910" s="1">
        <f t="shared" si="275"/>
        <v>45566</v>
      </c>
      <c r="J2910">
        <v>1349412.4699999997</v>
      </c>
      <c r="K2910">
        <v>58596</v>
      </c>
      <c r="L2910">
        <f t="shared" si="271"/>
        <v>23.029088504334762</v>
      </c>
      <c r="M2910">
        <v>4883</v>
      </c>
      <c r="N2910" s="2">
        <f t="shared" si="276"/>
        <v>276.34906205201713</v>
      </c>
      <c r="O2910">
        <v>12</v>
      </c>
    </row>
    <row r="2911" spans="1:15" x14ac:dyDescent="0.25">
      <c r="A2911" t="s">
        <v>46</v>
      </c>
      <c r="B2911" t="s">
        <v>16</v>
      </c>
      <c r="C2911" t="s">
        <v>40</v>
      </c>
      <c r="D2911" t="str">
        <f t="shared" si="272"/>
        <v>FAB3_1L  Desl Deslactosada</v>
      </c>
      <c r="E2911">
        <v>2024</v>
      </c>
      <c r="F2911">
        <v>41</v>
      </c>
      <c r="G2911">
        <f t="shared" si="273"/>
        <v>10</v>
      </c>
      <c r="H2911" s="1">
        <f t="shared" si="274"/>
        <v>45572</v>
      </c>
      <c r="I2911" s="1">
        <f t="shared" si="275"/>
        <v>45566</v>
      </c>
      <c r="J2911">
        <v>1167184.8800000006</v>
      </c>
      <c r="K2911">
        <v>49596</v>
      </c>
      <c r="L2911">
        <f t="shared" si="271"/>
        <v>23.533851117025577</v>
      </c>
      <c r="M2911">
        <v>4133</v>
      </c>
      <c r="N2911" s="2">
        <f t="shared" si="276"/>
        <v>282.40621340430692</v>
      </c>
      <c r="O2911">
        <v>12</v>
      </c>
    </row>
    <row r="2912" spans="1:15" x14ac:dyDescent="0.25">
      <c r="A2912" t="s">
        <v>46</v>
      </c>
      <c r="B2912" t="s">
        <v>16</v>
      </c>
      <c r="C2912" t="s">
        <v>40</v>
      </c>
      <c r="D2912" t="str">
        <f t="shared" si="272"/>
        <v>FAB3_1L  Desl Deslactosada</v>
      </c>
      <c r="E2912">
        <v>2024</v>
      </c>
      <c r="F2912">
        <v>42</v>
      </c>
      <c r="G2912">
        <f t="shared" si="273"/>
        <v>10</v>
      </c>
      <c r="H2912" s="1">
        <f t="shared" si="274"/>
        <v>45579</v>
      </c>
      <c r="I2912" s="1">
        <f t="shared" si="275"/>
        <v>45566</v>
      </c>
      <c r="J2912">
        <v>1822332.2500000035</v>
      </c>
      <c r="K2912">
        <v>82092</v>
      </c>
      <c r="L2912">
        <f t="shared" si="271"/>
        <v>22.198658212736973</v>
      </c>
      <c r="M2912">
        <v>6841</v>
      </c>
      <c r="N2912" s="2">
        <f t="shared" si="276"/>
        <v>266.38389855284368</v>
      </c>
      <c r="O2912">
        <v>12</v>
      </c>
    </row>
    <row r="2913" spans="1:15" x14ac:dyDescent="0.25">
      <c r="A2913" t="s">
        <v>46</v>
      </c>
      <c r="B2913" t="s">
        <v>16</v>
      </c>
      <c r="C2913" t="s">
        <v>40</v>
      </c>
      <c r="D2913" t="str">
        <f t="shared" si="272"/>
        <v>FAB3_1L  Desl Deslactosada</v>
      </c>
      <c r="E2913">
        <v>2024</v>
      </c>
      <c r="F2913">
        <v>43</v>
      </c>
      <c r="G2913">
        <f t="shared" si="273"/>
        <v>10</v>
      </c>
      <c r="H2913" s="1">
        <f t="shared" si="274"/>
        <v>45586</v>
      </c>
      <c r="I2913" s="1">
        <f t="shared" si="275"/>
        <v>45566</v>
      </c>
      <c r="J2913">
        <v>2791.1</v>
      </c>
      <c r="K2913">
        <v>132</v>
      </c>
      <c r="L2913">
        <f t="shared" si="271"/>
        <v>21.14469696969697</v>
      </c>
      <c r="M2913">
        <v>11</v>
      </c>
      <c r="N2913" s="2">
        <f t="shared" si="276"/>
        <v>253.73636363636362</v>
      </c>
      <c r="O2913">
        <v>12</v>
      </c>
    </row>
    <row r="2914" spans="1:15" x14ac:dyDescent="0.25">
      <c r="A2914" t="s">
        <v>46</v>
      </c>
      <c r="B2914" t="s">
        <v>16</v>
      </c>
      <c r="C2914" t="s">
        <v>40</v>
      </c>
      <c r="D2914" t="str">
        <f t="shared" si="272"/>
        <v>FAB3_1L  Desl Deslactosada</v>
      </c>
      <c r="E2914">
        <v>2024</v>
      </c>
      <c r="F2914">
        <v>43</v>
      </c>
      <c r="G2914">
        <f t="shared" si="273"/>
        <v>10</v>
      </c>
      <c r="H2914" s="1">
        <f t="shared" si="274"/>
        <v>45586</v>
      </c>
      <c r="I2914" s="1">
        <f t="shared" si="275"/>
        <v>45566</v>
      </c>
      <c r="J2914">
        <v>1616739.1900000004</v>
      </c>
      <c r="K2914">
        <v>74808</v>
      </c>
      <c r="L2914">
        <f t="shared" si="271"/>
        <v>21.611848866431401</v>
      </c>
      <c r="M2914">
        <v>6234</v>
      </c>
      <c r="N2914" s="2">
        <f t="shared" si="276"/>
        <v>259.34218639717682</v>
      </c>
      <c r="O2914">
        <v>12</v>
      </c>
    </row>
    <row r="2915" spans="1:15" x14ac:dyDescent="0.25">
      <c r="A2915" t="s">
        <v>46</v>
      </c>
      <c r="B2915" t="s">
        <v>16</v>
      </c>
      <c r="C2915" t="s">
        <v>40</v>
      </c>
      <c r="D2915" t="str">
        <f t="shared" si="272"/>
        <v>FAB3_1L  Desl Deslactosada</v>
      </c>
      <c r="E2915">
        <v>2024</v>
      </c>
      <c r="F2915">
        <v>44</v>
      </c>
      <c r="G2915">
        <f t="shared" si="273"/>
        <v>10</v>
      </c>
      <c r="H2915" s="1">
        <f t="shared" si="274"/>
        <v>45593</v>
      </c>
      <c r="I2915" s="1">
        <f t="shared" si="275"/>
        <v>45566</v>
      </c>
      <c r="J2915">
        <v>987393.84000000043</v>
      </c>
      <c r="K2915">
        <v>41124</v>
      </c>
      <c r="L2915">
        <f t="shared" si="271"/>
        <v>24.010160490224695</v>
      </c>
      <c r="M2915">
        <v>3427</v>
      </c>
      <c r="N2915" s="2">
        <f t="shared" si="276"/>
        <v>288.12192588269636</v>
      </c>
      <c r="O2915">
        <v>12</v>
      </c>
    </row>
    <row r="2916" spans="1:15" x14ac:dyDescent="0.25">
      <c r="A2916" t="s">
        <v>46</v>
      </c>
      <c r="B2916" t="s">
        <v>16</v>
      </c>
      <c r="C2916" t="s">
        <v>40</v>
      </c>
      <c r="D2916" t="str">
        <f t="shared" si="272"/>
        <v>FAB3_1L  Desl Deslactosada</v>
      </c>
      <c r="E2916">
        <v>2024</v>
      </c>
      <c r="F2916">
        <v>45</v>
      </c>
      <c r="G2916">
        <f t="shared" si="273"/>
        <v>11</v>
      </c>
      <c r="H2916" s="1">
        <f t="shared" si="274"/>
        <v>45600</v>
      </c>
      <c r="I2916" s="1">
        <f t="shared" si="275"/>
        <v>45597</v>
      </c>
      <c r="J2916">
        <v>5015</v>
      </c>
      <c r="K2916">
        <v>204</v>
      </c>
      <c r="L2916">
        <f t="shared" si="271"/>
        <v>24.583333333333332</v>
      </c>
      <c r="M2916">
        <v>17</v>
      </c>
      <c r="N2916" s="2">
        <f t="shared" si="276"/>
        <v>295</v>
      </c>
      <c r="O2916">
        <v>12</v>
      </c>
    </row>
    <row r="2917" spans="1:15" x14ac:dyDescent="0.25">
      <c r="A2917" t="s">
        <v>46</v>
      </c>
      <c r="B2917" t="s">
        <v>16</v>
      </c>
      <c r="C2917" t="s">
        <v>40</v>
      </c>
      <c r="D2917" t="str">
        <f t="shared" si="272"/>
        <v>FAB3_1L  Desl Deslactosada</v>
      </c>
      <c r="E2917">
        <v>2024</v>
      </c>
      <c r="F2917">
        <v>45</v>
      </c>
      <c r="G2917">
        <f t="shared" si="273"/>
        <v>11</v>
      </c>
      <c r="H2917" s="1">
        <f t="shared" si="274"/>
        <v>45600</v>
      </c>
      <c r="I2917" s="1">
        <f t="shared" si="275"/>
        <v>45597</v>
      </c>
      <c r="J2917">
        <v>1216060.8799999999</v>
      </c>
      <c r="K2917">
        <v>52068</v>
      </c>
      <c r="L2917">
        <f t="shared" si="271"/>
        <v>23.355244680033799</v>
      </c>
      <c r="M2917">
        <v>4339</v>
      </c>
      <c r="N2917" s="2">
        <f t="shared" si="276"/>
        <v>280.26293616040562</v>
      </c>
      <c r="O2917">
        <v>12</v>
      </c>
    </row>
    <row r="2918" spans="1:15" x14ac:dyDescent="0.25">
      <c r="A2918" t="s">
        <v>46</v>
      </c>
      <c r="B2918" t="s">
        <v>16</v>
      </c>
      <c r="C2918" t="s">
        <v>40</v>
      </c>
      <c r="D2918" t="str">
        <f t="shared" si="272"/>
        <v>FAB3_1L  Desl Deslactosada</v>
      </c>
      <c r="E2918">
        <v>2024</v>
      </c>
      <c r="F2918">
        <v>46</v>
      </c>
      <c r="G2918">
        <f t="shared" si="273"/>
        <v>11</v>
      </c>
      <c r="H2918" s="1">
        <f t="shared" si="274"/>
        <v>45607</v>
      </c>
      <c r="I2918" s="1">
        <f t="shared" si="275"/>
        <v>45597</v>
      </c>
      <c r="J2918">
        <v>498535</v>
      </c>
      <c r="K2918">
        <v>25356</v>
      </c>
      <c r="L2918">
        <f t="shared" si="271"/>
        <v>19.661421359835938</v>
      </c>
      <c r="M2918">
        <v>2113</v>
      </c>
      <c r="N2918" s="2">
        <f t="shared" si="276"/>
        <v>235.93705631803124</v>
      </c>
      <c r="O2918">
        <v>12</v>
      </c>
    </row>
    <row r="2919" spans="1:15" x14ac:dyDescent="0.25">
      <c r="A2919" t="s">
        <v>46</v>
      </c>
      <c r="B2919" t="s">
        <v>16</v>
      </c>
      <c r="C2919" t="s">
        <v>40</v>
      </c>
      <c r="D2919" t="str">
        <f t="shared" si="272"/>
        <v>FAB3_1L  Desl Deslactosada</v>
      </c>
      <c r="E2919">
        <v>2024</v>
      </c>
      <c r="F2919">
        <v>46</v>
      </c>
      <c r="G2919">
        <f t="shared" si="273"/>
        <v>11</v>
      </c>
      <c r="H2919" s="1">
        <f t="shared" si="274"/>
        <v>45607</v>
      </c>
      <c r="I2919" s="1">
        <f t="shared" si="275"/>
        <v>45597</v>
      </c>
      <c r="J2919">
        <v>1289964.0999999999</v>
      </c>
      <c r="K2919">
        <v>55680</v>
      </c>
      <c r="L2919">
        <f t="shared" si="271"/>
        <v>23.167458692528733</v>
      </c>
      <c r="M2919">
        <v>4640</v>
      </c>
      <c r="N2919" s="2">
        <f t="shared" si="276"/>
        <v>278.00950431034482</v>
      </c>
      <c r="O2919">
        <v>12</v>
      </c>
    </row>
    <row r="2920" spans="1:15" x14ac:dyDescent="0.25">
      <c r="A2920" t="s">
        <v>46</v>
      </c>
      <c r="B2920" t="s">
        <v>16</v>
      </c>
      <c r="C2920" t="s">
        <v>40</v>
      </c>
      <c r="D2920" t="str">
        <f t="shared" si="272"/>
        <v>FAB3_1L  Desl Deslactosada</v>
      </c>
      <c r="E2920">
        <v>2024</v>
      </c>
      <c r="F2920">
        <v>47</v>
      </c>
      <c r="G2920">
        <f t="shared" si="273"/>
        <v>11</v>
      </c>
      <c r="H2920" s="1">
        <f t="shared" si="274"/>
        <v>45614</v>
      </c>
      <c r="I2920" s="1">
        <f t="shared" si="275"/>
        <v>45597</v>
      </c>
      <c r="J2920">
        <v>54545</v>
      </c>
      <c r="K2920">
        <v>2220</v>
      </c>
      <c r="L2920">
        <f t="shared" si="271"/>
        <v>24.56981981981982</v>
      </c>
      <c r="M2920">
        <v>185</v>
      </c>
      <c r="N2920" s="2">
        <f t="shared" si="276"/>
        <v>294.83783783783781</v>
      </c>
      <c r="O2920">
        <v>12</v>
      </c>
    </row>
    <row r="2921" spans="1:15" x14ac:dyDescent="0.25">
      <c r="A2921" t="s">
        <v>46</v>
      </c>
      <c r="B2921" t="s">
        <v>16</v>
      </c>
      <c r="C2921" t="s">
        <v>40</v>
      </c>
      <c r="D2921" t="str">
        <f t="shared" si="272"/>
        <v>FAB3_1L  Desl Deslactosada</v>
      </c>
      <c r="E2921">
        <v>2024</v>
      </c>
      <c r="F2921">
        <v>47</v>
      </c>
      <c r="G2921">
        <f t="shared" si="273"/>
        <v>11</v>
      </c>
      <c r="H2921" s="1">
        <f t="shared" si="274"/>
        <v>45614</v>
      </c>
      <c r="I2921" s="1">
        <f t="shared" si="275"/>
        <v>45597</v>
      </c>
      <c r="J2921">
        <v>1411590.879999999</v>
      </c>
      <c r="K2921">
        <v>59940</v>
      </c>
      <c r="L2921">
        <f t="shared" si="271"/>
        <v>23.550064731398049</v>
      </c>
      <c r="M2921">
        <v>4995</v>
      </c>
      <c r="N2921" s="2">
        <f t="shared" si="276"/>
        <v>282.60077677677657</v>
      </c>
      <c r="O2921">
        <v>12</v>
      </c>
    </row>
    <row r="2922" spans="1:15" x14ac:dyDescent="0.25">
      <c r="A2922" t="s">
        <v>46</v>
      </c>
      <c r="B2922" t="s">
        <v>16</v>
      </c>
      <c r="C2922" t="s">
        <v>40</v>
      </c>
      <c r="D2922" t="str">
        <f t="shared" si="272"/>
        <v>FAB3_1L  Desl Deslactosada</v>
      </c>
      <c r="E2922">
        <v>2024</v>
      </c>
      <c r="F2922">
        <v>48</v>
      </c>
      <c r="G2922">
        <f t="shared" si="273"/>
        <v>11</v>
      </c>
      <c r="H2922" s="1">
        <f t="shared" si="274"/>
        <v>45621</v>
      </c>
      <c r="I2922" s="1">
        <f t="shared" si="275"/>
        <v>45597</v>
      </c>
      <c r="J2922">
        <v>1074124.32</v>
      </c>
      <c r="K2922">
        <v>46092</v>
      </c>
      <c r="L2922">
        <f t="shared" si="271"/>
        <v>23.303920853944287</v>
      </c>
      <c r="M2922">
        <v>3841</v>
      </c>
      <c r="N2922" s="2">
        <f t="shared" si="276"/>
        <v>279.64705024733144</v>
      </c>
      <c r="O2922">
        <v>12</v>
      </c>
    </row>
    <row r="2923" spans="1:15" x14ac:dyDescent="0.25">
      <c r="A2923" t="s">
        <v>46</v>
      </c>
      <c r="B2923" t="s">
        <v>16</v>
      </c>
      <c r="C2923" t="s">
        <v>40</v>
      </c>
      <c r="D2923" t="str">
        <f t="shared" si="272"/>
        <v>FAB3_1L  Desl Deslactosada</v>
      </c>
      <c r="E2923">
        <v>2024</v>
      </c>
      <c r="F2923">
        <v>49</v>
      </c>
      <c r="G2923">
        <f t="shared" si="273"/>
        <v>12</v>
      </c>
      <c r="H2923" s="1">
        <f t="shared" si="274"/>
        <v>45628</v>
      </c>
      <c r="I2923" s="1">
        <f t="shared" si="275"/>
        <v>45627</v>
      </c>
      <c r="J2923">
        <v>1336255.9800000002</v>
      </c>
      <c r="K2923">
        <v>57492</v>
      </c>
      <c r="L2923">
        <f t="shared" si="271"/>
        <v>23.242468169484454</v>
      </c>
      <c r="M2923">
        <v>4791</v>
      </c>
      <c r="N2923" s="2">
        <f t="shared" si="276"/>
        <v>278.90961803381344</v>
      </c>
      <c r="O2923">
        <v>12</v>
      </c>
    </row>
    <row r="2924" spans="1:15" x14ac:dyDescent="0.25">
      <c r="A2924" t="s">
        <v>46</v>
      </c>
      <c r="B2924" t="s">
        <v>16</v>
      </c>
      <c r="C2924" t="s">
        <v>40</v>
      </c>
      <c r="D2924" t="str">
        <f t="shared" si="272"/>
        <v>FAB3_1L  Desl Deslactosada</v>
      </c>
      <c r="E2924">
        <v>2024</v>
      </c>
      <c r="F2924">
        <v>50</v>
      </c>
      <c r="G2924">
        <f t="shared" si="273"/>
        <v>12</v>
      </c>
      <c r="H2924" s="1">
        <f t="shared" si="274"/>
        <v>45635</v>
      </c>
      <c r="I2924" s="1">
        <f t="shared" si="275"/>
        <v>45627</v>
      </c>
      <c r="J2924">
        <v>1238865.0200000003</v>
      </c>
      <c r="K2924">
        <v>53412</v>
      </c>
      <c r="L2924">
        <f t="shared" si="271"/>
        <v>23.194507226840415</v>
      </c>
      <c r="M2924">
        <v>4451</v>
      </c>
      <c r="N2924" s="2">
        <f t="shared" si="276"/>
        <v>278.33408672208498</v>
      </c>
      <c r="O2924">
        <v>12</v>
      </c>
    </row>
    <row r="2925" spans="1:15" x14ac:dyDescent="0.25">
      <c r="A2925" t="s">
        <v>46</v>
      </c>
      <c r="B2925" t="s">
        <v>16</v>
      </c>
      <c r="C2925" t="s">
        <v>40</v>
      </c>
      <c r="D2925" t="str">
        <f t="shared" si="272"/>
        <v>FAB3_1L  Desl Deslactosada</v>
      </c>
      <c r="E2925">
        <v>2024</v>
      </c>
      <c r="F2925">
        <v>51</v>
      </c>
      <c r="G2925">
        <f t="shared" si="273"/>
        <v>12</v>
      </c>
      <c r="H2925" s="1">
        <f t="shared" si="274"/>
        <v>45642</v>
      </c>
      <c r="I2925" s="1">
        <f t="shared" si="275"/>
        <v>45627</v>
      </c>
      <c r="J2925">
        <v>989060.07000000053</v>
      </c>
      <c r="K2925">
        <v>41184</v>
      </c>
      <c r="L2925">
        <f t="shared" si="271"/>
        <v>24.015638840326353</v>
      </c>
      <c r="M2925">
        <v>3432</v>
      </c>
      <c r="N2925" s="2">
        <f t="shared" si="276"/>
        <v>288.18766608391621</v>
      </c>
      <c r="O2925">
        <v>12</v>
      </c>
    </row>
    <row r="2926" spans="1:15" x14ac:dyDescent="0.25">
      <c r="A2926" t="s">
        <v>46</v>
      </c>
      <c r="B2926" t="s">
        <v>16</v>
      </c>
      <c r="C2926" t="s">
        <v>40</v>
      </c>
      <c r="D2926" t="str">
        <f t="shared" si="272"/>
        <v>FAB3_1L  Desl Deslactosada</v>
      </c>
      <c r="E2926">
        <v>2024</v>
      </c>
      <c r="F2926">
        <v>52</v>
      </c>
      <c r="G2926">
        <f t="shared" si="273"/>
        <v>12</v>
      </c>
      <c r="H2926" s="1">
        <f t="shared" si="274"/>
        <v>45649</v>
      </c>
      <c r="I2926" s="1">
        <f t="shared" si="275"/>
        <v>45627</v>
      </c>
      <c r="J2926">
        <v>827335.75000000058</v>
      </c>
      <c r="K2926">
        <v>34668</v>
      </c>
      <c r="L2926">
        <f t="shared" si="271"/>
        <v>23.864536460136165</v>
      </c>
      <c r="M2926">
        <v>2889</v>
      </c>
      <c r="N2926" s="2">
        <f t="shared" si="276"/>
        <v>286.37443752163398</v>
      </c>
      <c r="O2926">
        <v>12</v>
      </c>
    </row>
    <row r="2927" spans="1:15" x14ac:dyDescent="0.25">
      <c r="A2927" t="s">
        <v>46</v>
      </c>
      <c r="B2927" t="s">
        <v>16</v>
      </c>
      <c r="C2927" t="s">
        <v>40</v>
      </c>
      <c r="D2927" t="str">
        <f t="shared" si="272"/>
        <v>FAB3_1L  Desl Deslactosada</v>
      </c>
      <c r="E2927">
        <v>2025</v>
      </c>
      <c r="F2927">
        <v>1</v>
      </c>
      <c r="G2927">
        <f t="shared" si="273"/>
        <v>1</v>
      </c>
      <c r="H2927" s="1">
        <f t="shared" si="274"/>
        <v>45656</v>
      </c>
      <c r="I2927" s="1">
        <f t="shared" si="275"/>
        <v>45658</v>
      </c>
      <c r="J2927">
        <v>564.67999999999995</v>
      </c>
      <c r="K2927">
        <v>24</v>
      </c>
      <c r="L2927">
        <f t="shared" si="271"/>
        <v>23.528333333333332</v>
      </c>
      <c r="M2927">
        <v>2</v>
      </c>
      <c r="N2927" s="2">
        <f t="shared" si="276"/>
        <v>282.33999999999997</v>
      </c>
      <c r="O2927">
        <v>12</v>
      </c>
    </row>
    <row r="2928" spans="1:15" x14ac:dyDescent="0.25">
      <c r="A2928" t="s">
        <v>46</v>
      </c>
      <c r="B2928" t="s">
        <v>16</v>
      </c>
      <c r="C2928" t="s">
        <v>40</v>
      </c>
      <c r="D2928" t="str">
        <f t="shared" si="272"/>
        <v>FAB3_1L  Desl Deslactosada</v>
      </c>
      <c r="E2928">
        <v>2025</v>
      </c>
      <c r="F2928">
        <v>1</v>
      </c>
      <c r="G2928">
        <f t="shared" si="273"/>
        <v>1</v>
      </c>
      <c r="H2928" s="1">
        <f t="shared" si="274"/>
        <v>45656</v>
      </c>
      <c r="I2928" s="1">
        <f t="shared" si="275"/>
        <v>45658</v>
      </c>
      <c r="J2928">
        <v>1184099.3200000005</v>
      </c>
      <c r="K2928">
        <v>51540</v>
      </c>
      <c r="L2928">
        <f t="shared" si="271"/>
        <v>22.974375630578201</v>
      </c>
      <c r="M2928">
        <v>4295</v>
      </c>
      <c r="N2928" s="2">
        <f t="shared" si="276"/>
        <v>275.69250756693845</v>
      </c>
      <c r="O2928">
        <v>12</v>
      </c>
    </row>
    <row r="2929" spans="1:15" x14ac:dyDescent="0.25">
      <c r="A2929" t="s">
        <v>46</v>
      </c>
      <c r="B2929" t="s">
        <v>16</v>
      </c>
      <c r="C2929" t="s">
        <v>40</v>
      </c>
      <c r="D2929" t="str">
        <f t="shared" si="272"/>
        <v>FAB3_1L  Desl Deslactosada</v>
      </c>
      <c r="E2929">
        <v>2025</v>
      </c>
      <c r="F2929">
        <v>2</v>
      </c>
      <c r="G2929">
        <f t="shared" si="273"/>
        <v>1</v>
      </c>
      <c r="H2929" s="1">
        <f t="shared" si="274"/>
        <v>45663</v>
      </c>
      <c r="I2929" s="1">
        <f t="shared" si="275"/>
        <v>45658</v>
      </c>
      <c r="J2929">
        <v>511109</v>
      </c>
      <c r="K2929">
        <v>25872</v>
      </c>
      <c r="L2929">
        <f t="shared" si="271"/>
        <v>19.755295299938158</v>
      </c>
      <c r="M2929">
        <v>2156</v>
      </c>
      <c r="N2929" s="2">
        <f t="shared" si="276"/>
        <v>237.06354359925788</v>
      </c>
      <c r="O2929">
        <v>12</v>
      </c>
    </row>
    <row r="2930" spans="1:15" x14ac:dyDescent="0.25">
      <c r="A2930" t="s">
        <v>46</v>
      </c>
      <c r="B2930" t="s">
        <v>16</v>
      </c>
      <c r="C2930" t="s">
        <v>40</v>
      </c>
      <c r="D2930" t="str">
        <f t="shared" si="272"/>
        <v>FAB3_1L  Desl Deslactosada</v>
      </c>
      <c r="E2930">
        <v>2025</v>
      </c>
      <c r="F2930">
        <v>2</v>
      </c>
      <c r="G2930">
        <f t="shared" si="273"/>
        <v>1</v>
      </c>
      <c r="H2930" s="1">
        <f t="shared" si="274"/>
        <v>45663</v>
      </c>
      <c r="I2930" s="1">
        <f t="shared" si="275"/>
        <v>45658</v>
      </c>
      <c r="J2930">
        <v>1364406.0600000012</v>
      </c>
      <c r="K2930">
        <v>59508</v>
      </c>
      <c r="L2930">
        <f t="shared" si="271"/>
        <v>22.928111514418251</v>
      </c>
      <c r="M2930">
        <v>4959</v>
      </c>
      <c r="N2930" s="2">
        <f t="shared" si="276"/>
        <v>275.13733817301897</v>
      </c>
      <c r="O2930">
        <v>12</v>
      </c>
    </row>
    <row r="2931" spans="1:15" x14ac:dyDescent="0.25">
      <c r="A2931" t="s">
        <v>46</v>
      </c>
      <c r="B2931" t="s">
        <v>16</v>
      </c>
      <c r="C2931" t="s">
        <v>40</v>
      </c>
      <c r="D2931" t="str">
        <f t="shared" si="272"/>
        <v>FAB3_1L  Desl Deslactosada</v>
      </c>
      <c r="E2931">
        <v>2025</v>
      </c>
      <c r="F2931">
        <v>3</v>
      </c>
      <c r="G2931">
        <f t="shared" si="273"/>
        <v>1</v>
      </c>
      <c r="H2931" s="1">
        <f t="shared" si="274"/>
        <v>45670</v>
      </c>
      <c r="I2931" s="1">
        <f t="shared" si="275"/>
        <v>45658</v>
      </c>
      <c r="J2931">
        <v>1180</v>
      </c>
      <c r="K2931">
        <v>48</v>
      </c>
      <c r="L2931">
        <f t="shared" si="271"/>
        <v>24.583333333333332</v>
      </c>
      <c r="M2931">
        <v>4</v>
      </c>
      <c r="N2931" s="2">
        <f t="shared" si="276"/>
        <v>295</v>
      </c>
      <c r="O2931">
        <v>12</v>
      </c>
    </row>
    <row r="2932" spans="1:15" x14ac:dyDescent="0.25">
      <c r="A2932" t="s">
        <v>46</v>
      </c>
      <c r="B2932" t="s">
        <v>16</v>
      </c>
      <c r="C2932" t="s">
        <v>40</v>
      </c>
      <c r="D2932" t="str">
        <f t="shared" si="272"/>
        <v>FAB3_1L  Desl Deslactosada</v>
      </c>
      <c r="E2932">
        <v>2025</v>
      </c>
      <c r="F2932">
        <v>3</v>
      </c>
      <c r="G2932">
        <f t="shared" si="273"/>
        <v>1</v>
      </c>
      <c r="H2932" s="1">
        <f t="shared" si="274"/>
        <v>45670</v>
      </c>
      <c r="I2932" s="1">
        <f t="shared" si="275"/>
        <v>45658</v>
      </c>
      <c r="J2932">
        <v>1310294.73</v>
      </c>
      <c r="K2932">
        <v>56688</v>
      </c>
      <c r="L2932">
        <f t="shared" si="271"/>
        <v>23.114146380186284</v>
      </c>
      <c r="M2932">
        <v>4724</v>
      </c>
      <c r="N2932" s="2">
        <f t="shared" si="276"/>
        <v>277.36975656223541</v>
      </c>
      <c r="O2932">
        <v>12</v>
      </c>
    </row>
    <row r="2933" spans="1:15" x14ac:dyDescent="0.25">
      <c r="A2933" t="s">
        <v>46</v>
      </c>
      <c r="B2933" t="s">
        <v>16</v>
      </c>
      <c r="C2933" t="s">
        <v>40</v>
      </c>
      <c r="D2933" t="str">
        <f t="shared" si="272"/>
        <v>FAB3_1L  Desl Deslactosada</v>
      </c>
      <c r="E2933">
        <v>2025</v>
      </c>
      <c r="F2933">
        <v>4</v>
      </c>
      <c r="G2933">
        <f t="shared" si="273"/>
        <v>1</v>
      </c>
      <c r="H2933" s="1">
        <f t="shared" si="274"/>
        <v>45677</v>
      </c>
      <c r="I2933" s="1">
        <f t="shared" si="275"/>
        <v>45658</v>
      </c>
      <c r="J2933">
        <v>479400</v>
      </c>
      <c r="K2933">
        <v>24480</v>
      </c>
      <c r="L2933">
        <f t="shared" si="271"/>
        <v>19.583333333333332</v>
      </c>
      <c r="M2933">
        <v>2040</v>
      </c>
      <c r="N2933" s="2">
        <f t="shared" si="276"/>
        <v>235</v>
      </c>
      <c r="O2933">
        <v>12</v>
      </c>
    </row>
    <row r="2934" spans="1:15" x14ac:dyDescent="0.25">
      <c r="A2934" t="s">
        <v>46</v>
      </c>
      <c r="B2934" t="s">
        <v>16</v>
      </c>
      <c r="C2934" t="s">
        <v>40</v>
      </c>
      <c r="D2934" t="str">
        <f t="shared" si="272"/>
        <v>FAB3_1L  Desl Deslactosada</v>
      </c>
      <c r="E2934">
        <v>2025</v>
      </c>
      <c r="F2934">
        <v>4</v>
      </c>
      <c r="G2934">
        <f t="shared" si="273"/>
        <v>1</v>
      </c>
      <c r="H2934" s="1">
        <f t="shared" si="274"/>
        <v>45677</v>
      </c>
      <c r="I2934" s="1">
        <f t="shared" si="275"/>
        <v>45658</v>
      </c>
      <c r="J2934">
        <v>957791.83000000066</v>
      </c>
      <c r="K2934">
        <v>39984</v>
      </c>
      <c r="L2934">
        <f t="shared" si="271"/>
        <v>23.954377501000415</v>
      </c>
      <c r="M2934">
        <v>3332</v>
      </c>
      <c r="N2934" s="2">
        <f t="shared" si="276"/>
        <v>287.45253001200501</v>
      </c>
      <c r="O2934">
        <v>12</v>
      </c>
    </row>
    <row r="2935" spans="1:15" x14ac:dyDescent="0.25">
      <c r="A2935" t="s">
        <v>46</v>
      </c>
      <c r="B2935" t="s">
        <v>16</v>
      </c>
      <c r="C2935" t="s">
        <v>40</v>
      </c>
      <c r="D2935" t="str">
        <f t="shared" si="272"/>
        <v>FAB3_1L  Desl Deslactosada</v>
      </c>
      <c r="E2935">
        <v>2025</v>
      </c>
      <c r="F2935">
        <v>5</v>
      </c>
      <c r="G2935">
        <f t="shared" si="273"/>
        <v>1</v>
      </c>
      <c r="H2935" s="1">
        <f t="shared" si="274"/>
        <v>45684</v>
      </c>
      <c r="I2935" s="1">
        <f t="shared" si="275"/>
        <v>45658</v>
      </c>
      <c r="J2935">
        <v>31716.9</v>
      </c>
      <c r="K2935">
        <v>1296</v>
      </c>
      <c r="L2935">
        <f t="shared" si="271"/>
        <v>24.472916666666666</v>
      </c>
      <c r="M2935">
        <v>108</v>
      </c>
      <c r="N2935" s="2">
        <f t="shared" si="276"/>
        <v>293.67500000000001</v>
      </c>
      <c r="O2935">
        <v>12</v>
      </c>
    </row>
    <row r="2936" spans="1:15" x14ac:dyDescent="0.25">
      <c r="A2936" t="s">
        <v>46</v>
      </c>
      <c r="B2936" t="s">
        <v>16</v>
      </c>
      <c r="C2936" t="s">
        <v>40</v>
      </c>
      <c r="D2936" t="str">
        <f t="shared" si="272"/>
        <v>FAB3_1L  Desl Deslactosada</v>
      </c>
      <c r="E2936">
        <v>2025</v>
      </c>
      <c r="F2936">
        <v>5</v>
      </c>
      <c r="G2936">
        <f t="shared" si="273"/>
        <v>1</v>
      </c>
      <c r="H2936" s="1">
        <f t="shared" si="274"/>
        <v>45684</v>
      </c>
      <c r="I2936" s="1">
        <f t="shared" si="275"/>
        <v>45658</v>
      </c>
      <c r="J2936">
        <v>1136336.7600000002</v>
      </c>
      <c r="K2936">
        <v>47304</v>
      </c>
      <c r="L2936">
        <f t="shared" si="271"/>
        <v>24.02200152207002</v>
      </c>
      <c r="M2936">
        <v>3942</v>
      </c>
      <c r="N2936" s="2">
        <f t="shared" si="276"/>
        <v>288.26401826484022</v>
      </c>
      <c r="O2936">
        <v>12</v>
      </c>
    </row>
    <row r="2937" spans="1:15" x14ac:dyDescent="0.25">
      <c r="A2937" t="s">
        <v>46</v>
      </c>
      <c r="B2937" t="s">
        <v>16</v>
      </c>
      <c r="C2937" t="s">
        <v>40</v>
      </c>
      <c r="D2937" t="str">
        <f t="shared" si="272"/>
        <v>FAB3_1L  Desl Deslactosada</v>
      </c>
      <c r="E2937">
        <v>2025</v>
      </c>
      <c r="F2937">
        <v>6</v>
      </c>
      <c r="G2937">
        <f t="shared" si="273"/>
        <v>2</v>
      </c>
      <c r="H2937" s="1">
        <f t="shared" si="274"/>
        <v>45691</v>
      </c>
      <c r="I2937" s="1">
        <f t="shared" si="275"/>
        <v>45689</v>
      </c>
      <c r="J2937">
        <v>8164.7999999999993</v>
      </c>
      <c r="K2937">
        <v>336</v>
      </c>
      <c r="L2937">
        <f t="shared" si="271"/>
        <v>24.299999999999997</v>
      </c>
      <c r="M2937">
        <v>28</v>
      </c>
      <c r="N2937" s="2">
        <f t="shared" si="276"/>
        <v>291.59999999999997</v>
      </c>
      <c r="O2937">
        <v>12</v>
      </c>
    </row>
    <row r="2938" spans="1:15" x14ac:dyDescent="0.25">
      <c r="A2938" t="s">
        <v>46</v>
      </c>
      <c r="B2938" t="s">
        <v>16</v>
      </c>
      <c r="C2938" t="s">
        <v>40</v>
      </c>
      <c r="D2938" t="str">
        <f t="shared" si="272"/>
        <v>FAB3_1L  Desl Deslactosada</v>
      </c>
      <c r="E2938">
        <v>2025</v>
      </c>
      <c r="F2938">
        <v>6</v>
      </c>
      <c r="G2938">
        <f t="shared" si="273"/>
        <v>2</v>
      </c>
      <c r="H2938" s="1">
        <f t="shared" si="274"/>
        <v>45691</v>
      </c>
      <c r="I2938" s="1">
        <f t="shared" si="275"/>
        <v>45689</v>
      </c>
      <c r="J2938">
        <v>1263254.9499999986</v>
      </c>
      <c r="K2938">
        <v>54096</v>
      </c>
      <c r="L2938">
        <f t="shared" si="271"/>
        <v>23.352095349009144</v>
      </c>
      <c r="M2938">
        <v>4508</v>
      </c>
      <c r="N2938" s="2">
        <f t="shared" si="276"/>
        <v>280.22514418810971</v>
      </c>
      <c r="O2938">
        <v>12</v>
      </c>
    </row>
    <row r="2939" spans="1:15" x14ac:dyDescent="0.25">
      <c r="A2939" t="s">
        <v>46</v>
      </c>
      <c r="B2939" t="s">
        <v>16</v>
      </c>
      <c r="C2939" t="s">
        <v>40</v>
      </c>
      <c r="D2939" t="str">
        <f t="shared" si="272"/>
        <v>FAB3_1L  Desl Deslactosada</v>
      </c>
      <c r="E2939">
        <v>2025</v>
      </c>
      <c r="F2939">
        <v>7</v>
      </c>
      <c r="G2939">
        <f t="shared" si="273"/>
        <v>2</v>
      </c>
      <c r="H2939" s="1">
        <f t="shared" si="274"/>
        <v>45698</v>
      </c>
      <c r="I2939" s="1">
        <f t="shared" si="275"/>
        <v>45689</v>
      </c>
      <c r="J2939">
        <v>507469.1</v>
      </c>
      <c r="K2939">
        <v>25728</v>
      </c>
      <c r="L2939">
        <f t="shared" si="271"/>
        <v>19.724389769900498</v>
      </c>
      <c r="M2939">
        <v>2144</v>
      </c>
      <c r="N2939" s="2">
        <f t="shared" si="276"/>
        <v>236.69267723880597</v>
      </c>
      <c r="O2939">
        <v>12</v>
      </c>
    </row>
    <row r="2940" spans="1:15" x14ac:dyDescent="0.25">
      <c r="A2940" t="s">
        <v>46</v>
      </c>
      <c r="B2940" t="s">
        <v>16</v>
      </c>
      <c r="C2940" t="s">
        <v>40</v>
      </c>
      <c r="D2940" t="str">
        <f t="shared" si="272"/>
        <v>FAB3_1L  Desl Deslactosada</v>
      </c>
      <c r="E2940">
        <v>2025</v>
      </c>
      <c r="F2940">
        <v>7</v>
      </c>
      <c r="G2940">
        <f t="shared" si="273"/>
        <v>2</v>
      </c>
      <c r="H2940" s="1">
        <f t="shared" si="274"/>
        <v>45698</v>
      </c>
      <c r="I2940" s="1">
        <f t="shared" si="275"/>
        <v>45689</v>
      </c>
      <c r="J2940">
        <v>1626147.4299999978</v>
      </c>
      <c r="K2940">
        <v>72396</v>
      </c>
      <c r="L2940">
        <f t="shared" si="271"/>
        <v>22.461840847560609</v>
      </c>
      <c r="M2940">
        <v>6033</v>
      </c>
      <c r="N2940" s="2">
        <f t="shared" si="276"/>
        <v>269.54209017072731</v>
      </c>
      <c r="O2940">
        <v>12</v>
      </c>
    </row>
    <row r="2941" spans="1:15" x14ac:dyDescent="0.25">
      <c r="A2941" t="s">
        <v>46</v>
      </c>
      <c r="B2941" t="s">
        <v>16</v>
      </c>
      <c r="C2941" t="s">
        <v>40</v>
      </c>
      <c r="D2941" t="str">
        <f t="shared" si="272"/>
        <v>FAB3_1L  Desl Deslactosada</v>
      </c>
      <c r="E2941">
        <v>2025</v>
      </c>
      <c r="F2941">
        <v>8</v>
      </c>
      <c r="G2941">
        <f t="shared" si="273"/>
        <v>2</v>
      </c>
      <c r="H2941" s="1">
        <f t="shared" si="274"/>
        <v>45705</v>
      </c>
      <c r="I2941" s="1">
        <f t="shared" si="275"/>
        <v>45689</v>
      </c>
      <c r="J2941">
        <v>3499.2</v>
      </c>
      <c r="K2941">
        <v>144</v>
      </c>
      <c r="L2941">
        <f t="shared" si="271"/>
        <v>24.299999999999997</v>
      </c>
      <c r="M2941">
        <v>12</v>
      </c>
      <c r="N2941" s="2">
        <f t="shared" si="276"/>
        <v>291.59999999999997</v>
      </c>
      <c r="O2941">
        <v>12</v>
      </c>
    </row>
    <row r="2942" spans="1:15" x14ac:dyDescent="0.25">
      <c r="A2942" t="s">
        <v>46</v>
      </c>
      <c r="B2942" t="s">
        <v>16</v>
      </c>
      <c r="C2942" t="s">
        <v>40</v>
      </c>
      <c r="D2942" t="str">
        <f t="shared" si="272"/>
        <v>FAB3_1L  Desl Deslactosada</v>
      </c>
      <c r="E2942">
        <v>2025</v>
      </c>
      <c r="F2942">
        <v>8</v>
      </c>
      <c r="G2942">
        <f t="shared" si="273"/>
        <v>2</v>
      </c>
      <c r="H2942" s="1">
        <f t="shared" si="274"/>
        <v>45705</v>
      </c>
      <c r="I2942" s="1">
        <f t="shared" si="275"/>
        <v>45689</v>
      </c>
      <c r="J2942">
        <v>1300878.4700000009</v>
      </c>
      <c r="K2942">
        <v>55512</v>
      </c>
      <c r="L2942">
        <f t="shared" ref="L2942:L3005" si="277">J2942/(M2942*O2942)</f>
        <v>23.434184860930987</v>
      </c>
      <c r="M2942">
        <v>4626</v>
      </c>
      <c r="N2942" s="2">
        <f t="shared" si="276"/>
        <v>281.21021833117186</v>
      </c>
      <c r="O2942">
        <v>12</v>
      </c>
    </row>
    <row r="2943" spans="1:15" x14ac:dyDescent="0.25">
      <c r="A2943" t="s">
        <v>46</v>
      </c>
      <c r="B2943" t="s">
        <v>16</v>
      </c>
      <c r="C2943" t="s">
        <v>40</v>
      </c>
      <c r="D2943" t="str">
        <f t="shared" si="272"/>
        <v>FAB3_1L  Desl Deslactosada</v>
      </c>
      <c r="E2943">
        <v>2025</v>
      </c>
      <c r="F2943">
        <v>9</v>
      </c>
      <c r="G2943">
        <f t="shared" si="273"/>
        <v>2</v>
      </c>
      <c r="H2943" s="1">
        <f t="shared" si="274"/>
        <v>45712</v>
      </c>
      <c r="I2943" s="1">
        <f t="shared" si="275"/>
        <v>45689</v>
      </c>
      <c r="J2943">
        <v>978474.8</v>
      </c>
      <c r="K2943">
        <v>49956</v>
      </c>
      <c r="L2943">
        <f t="shared" si="277"/>
        <v>19.586732324445514</v>
      </c>
      <c r="M2943">
        <v>4163</v>
      </c>
      <c r="N2943" s="2">
        <f t="shared" si="276"/>
        <v>235.04078789334616</v>
      </c>
      <c r="O2943">
        <v>12</v>
      </c>
    </row>
    <row r="2944" spans="1:15" x14ac:dyDescent="0.25">
      <c r="A2944" t="s">
        <v>46</v>
      </c>
      <c r="B2944" t="s">
        <v>16</v>
      </c>
      <c r="C2944" t="s">
        <v>40</v>
      </c>
      <c r="D2944" t="str">
        <f t="shared" si="272"/>
        <v>FAB3_1L  Desl Deslactosada</v>
      </c>
      <c r="E2944">
        <v>2025</v>
      </c>
      <c r="F2944">
        <v>9</v>
      </c>
      <c r="G2944">
        <f t="shared" si="273"/>
        <v>2</v>
      </c>
      <c r="H2944" s="1">
        <f t="shared" si="274"/>
        <v>45712</v>
      </c>
      <c r="I2944" s="1">
        <f t="shared" si="275"/>
        <v>45689</v>
      </c>
      <c r="J2944">
        <v>1008024.0100000008</v>
      </c>
      <c r="K2944">
        <v>40992</v>
      </c>
      <c r="L2944">
        <f t="shared" si="277"/>
        <v>24.590749658469967</v>
      </c>
      <c r="M2944">
        <v>3416</v>
      </c>
      <c r="N2944" s="2">
        <f t="shared" si="276"/>
        <v>295.08899590163958</v>
      </c>
      <c r="O2944">
        <v>12</v>
      </c>
    </row>
    <row r="2945" spans="1:15" x14ac:dyDescent="0.25">
      <c r="A2945" t="s">
        <v>46</v>
      </c>
      <c r="B2945" t="s">
        <v>16</v>
      </c>
      <c r="C2945" t="s">
        <v>40</v>
      </c>
      <c r="D2945" t="str">
        <f t="shared" si="272"/>
        <v>FAB3_1L  Desl Deslactosada</v>
      </c>
      <c r="E2945">
        <v>2025</v>
      </c>
      <c r="F2945">
        <v>10</v>
      </c>
      <c r="G2945">
        <f t="shared" si="273"/>
        <v>3</v>
      </c>
      <c r="H2945" s="1">
        <f t="shared" si="274"/>
        <v>45719</v>
      </c>
      <c r="I2945" s="1">
        <f t="shared" si="275"/>
        <v>45717</v>
      </c>
      <c r="J2945">
        <v>1749.6</v>
      </c>
      <c r="K2945">
        <v>72</v>
      </c>
      <c r="L2945">
        <f t="shared" si="277"/>
        <v>24.299999999999997</v>
      </c>
      <c r="M2945">
        <v>6</v>
      </c>
      <c r="N2945" s="2">
        <f t="shared" si="276"/>
        <v>291.59999999999997</v>
      </c>
      <c r="O2945">
        <v>12</v>
      </c>
    </row>
    <row r="2946" spans="1:15" x14ac:dyDescent="0.25">
      <c r="A2946" t="s">
        <v>46</v>
      </c>
      <c r="B2946" t="s">
        <v>16</v>
      </c>
      <c r="C2946" t="s">
        <v>40</v>
      </c>
      <c r="D2946" t="str">
        <f t="shared" si="272"/>
        <v>FAB3_1L  Desl Deslactosada</v>
      </c>
      <c r="E2946">
        <v>2025</v>
      </c>
      <c r="F2946">
        <v>10</v>
      </c>
      <c r="G2946">
        <f t="shared" si="273"/>
        <v>3</v>
      </c>
      <c r="H2946" s="1">
        <f t="shared" si="274"/>
        <v>45719</v>
      </c>
      <c r="I2946" s="1">
        <f t="shared" si="275"/>
        <v>45717</v>
      </c>
      <c r="J2946">
        <v>1459882.4200000004</v>
      </c>
      <c r="K2946">
        <v>61116</v>
      </c>
      <c r="L2946">
        <f t="shared" si="277"/>
        <v>23.887074088618373</v>
      </c>
      <c r="M2946">
        <v>5093</v>
      </c>
      <c r="N2946" s="2">
        <f t="shared" si="276"/>
        <v>286.64488906342046</v>
      </c>
      <c r="O2946">
        <v>12</v>
      </c>
    </row>
    <row r="2947" spans="1:15" x14ac:dyDescent="0.25">
      <c r="A2947" t="s">
        <v>46</v>
      </c>
      <c r="B2947" t="s">
        <v>16</v>
      </c>
      <c r="C2947" t="s">
        <v>40</v>
      </c>
      <c r="D2947" t="str">
        <f t="shared" ref="D2947:D3010" si="278">B2947&amp;"_"&amp;C2947</f>
        <v>FAB3_1L  Desl Deslactosada</v>
      </c>
      <c r="E2947">
        <v>2025</v>
      </c>
      <c r="F2947">
        <v>11</v>
      </c>
      <c r="G2947">
        <f t="shared" ref="G2947:G3010" si="279">MONTH(DATE(E2947,1,4)+(F2947-1)*7-WEEKDAY(DATE(E2947,1,4),2)+4)</f>
        <v>3</v>
      </c>
      <c r="H2947" s="1">
        <f t="shared" ref="H2947:H3010" si="280">DATE(E2947,1,-2)-WEEKDAY(DATE(E2947,1,3))+F2947*7</f>
        <v>45726</v>
      </c>
      <c r="I2947" s="1">
        <f t="shared" ref="I2947:I3010" si="281">DATE(E2947,G2947,1)</f>
        <v>45717</v>
      </c>
      <c r="J2947">
        <v>1458</v>
      </c>
      <c r="K2947">
        <v>60</v>
      </c>
      <c r="L2947">
        <f t="shared" si="277"/>
        <v>24.3</v>
      </c>
      <c r="M2947">
        <v>5</v>
      </c>
      <c r="N2947" s="2">
        <f t="shared" ref="N2947:N3010" si="282">J2947/M2947</f>
        <v>291.60000000000002</v>
      </c>
      <c r="O2947">
        <v>12</v>
      </c>
    </row>
    <row r="2948" spans="1:15" x14ac:dyDescent="0.25">
      <c r="A2948" t="s">
        <v>46</v>
      </c>
      <c r="B2948" t="s">
        <v>16</v>
      </c>
      <c r="C2948" t="s">
        <v>40</v>
      </c>
      <c r="D2948" t="str">
        <f t="shared" si="278"/>
        <v>FAB3_1L  Desl Deslactosada</v>
      </c>
      <c r="E2948">
        <v>2025</v>
      </c>
      <c r="F2948">
        <v>11</v>
      </c>
      <c r="G2948">
        <f t="shared" si="279"/>
        <v>3</v>
      </c>
      <c r="H2948" s="1">
        <f t="shared" si="280"/>
        <v>45726</v>
      </c>
      <c r="I2948" s="1">
        <f t="shared" si="281"/>
        <v>45717</v>
      </c>
      <c r="J2948">
        <v>1264412.5399999998</v>
      </c>
      <c r="K2948">
        <v>54768</v>
      </c>
      <c r="L2948">
        <f t="shared" si="277"/>
        <v>23.086702819164472</v>
      </c>
      <c r="M2948">
        <v>4564</v>
      </c>
      <c r="N2948" s="2">
        <f t="shared" si="282"/>
        <v>277.04043382997367</v>
      </c>
      <c r="O2948">
        <v>12</v>
      </c>
    </row>
    <row r="2949" spans="1:15" x14ac:dyDescent="0.25">
      <c r="A2949" t="s">
        <v>46</v>
      </c>
      <c r="B2949" t="s">
        <v>16</v>
      </c>
      <c r="C2949" t="s">
        <v>40</v>
      </c>
      <c r="D2949" t="str">
        <f t="shared" si="278"/>
        <v>FAB3_1L  Desl Deslactosada</v>
      </c>
      <c r="E2949">
        <v>2025</v>
      </c>
      <c r="F2949">
        <v>12</v>
      </c>
      <c r="G2949">
        <f t="shared" si="279"/>
        <v>3</v>
      </c>
      <c r="H2949" s="1">
        <f t="shared" si="280"/>
        <v>45733</v>
      </c>
      <c r="I2949" s="1">
        <f t="shared" si="281"/>
        <v>45717</v>
      </c>
      <c r="J2949">
        <v>23010</v>
      </c>
      <c r="K2949">
        <v>936</v>
      </c>
      <c r="L2949">
        <f t="shared" si="277"/>
        <v>24.583333333333332</v>
      </c>
      <c r="M2949">
        <v>78</v>
      </c>
      <c r="N2949" s="2">
        <f t="shared" si="282"/>
        <v>295</v>
      </c>
      <c r="O2949">
        <v>12</v>
      </c>
    </row>
    <row r="2950" spans="1:15" x14ac:dyDescent="0.25">
      <c r="A2950" t="s">
        <v>46</v>
      </c>
      <c r="B2950" t="s">
        <v>16</v>
      </c>
      <c r="C2950" t="s">
        <v>40</v>
      </c>
      <c r="D2950" t="str">
        <f t="shared" si="278"/>
        <v>FAB3_1L  Desl Deslactosada</v>
      </c>
      <c r="E2950">
        <v>2025</v>
      </c>
      <c r="F2950">
        <v>12</v>
      </c>
      <c r="G2950">
        <f t="shared" si="279"/>
        <v>3</v>
      </c>
      <c r="H2950" s="1">
        <f t="shared" si="280"/>
        <v>45733</v>
      </c>
      <c r="I2950" s="1">
        <f t="shared" si="281"/>
        <v>45717</v>
      </c>
      <c r="J2950">
        <v>1196143.53</v>
      </c>
      <c r="K2950">
        <v>51564</v>
      </c>
      <c r="L2950">
        <f t="shared" si="277"/>
        <v>23.197260297882245</v>
      </c>
      <c r="M2950">
        <v>4297</v>
      </c>
      <c r="N2950" s="2">
        <f t="shared" si="282"/>
        <v>278.36712357458691</v>
      </c>
      <c r="O2950">
        <v>12</v>
      </c>
    </row>
    <row r="2951" spans="1:15" x14ac:dyDescent="0.25">
      <c r="A2951" t="s">
        <v>46</v>
      </c>
      <c r="B2951" t="s">
        <v>16</v>
      </c>
      <c r="C2951" t="s">
        <v>40</v>
      </c>
      <c r="D2951" t="str">
        <f t="shared" si="278"/>
        <v>FAB3_1L  Desl Deslactosada</v>
      </c>
      <c r="E2951">
        <v>2025</v>
      </c>
      <c r="F2951">
        <v>13</v>
      </c>
      <c r="G2951">
        <f t="shared" si="279"/>
        <v>3</v>
      </c>
      <c r="H2951" s="1">
        <f t="shared" si="280"/>
        <v>45740</v>
      </c>
      <c r="I2951" s="1">
        <f t="shared" si="281"/>
        <v>45717</v>
      </c>
      <c r="J2951">
        <v>992940</v>
      </c>
      <c r="K2951">
        <v>50544</v>
      </c>
      <c r="L2951">
        <f t="shared" si="277"/>
        <v>19.645061728395063</v>
      </c>
      <c r="M2951">
        <v>4212</v>
      </c>
      <c r="N2951" s="2">
        <f t="shared" si="282"/>
        <v>235.74074074074073</v>
      </c>
      <c r="O2951">
        <v>12</v>
      </c>
    </row>
    <row r="2952" spans="1:15" x14ac:dyDescent="0.25">
      <c r="A2952" t="s">
        <v>46</v>
      </c>
      <c r="B2952" t="s">
        <v>16</v>
      </c>
      <c r="C2952" t="s">
        <v>40</v>
      </c>
      <c r="D2952" t="str">
        <f t="shared" si="278"/>
        <v>FAB3_1L  Desl Deslactosada</v>
      </c>
      <c r="E2952">
        <v>2025</v>
      </c>
      <c r="F2952">
        <v>13</v>
      </c>
      <c r="G2952">
        <f t="shared" si="279"/>
        <v>3</v>
      </c>
      <c r="H2952" s="1">
        <f t="shared" si="280"/>
        <v>45740</v>
      </c>
      <c r="I2952" s="1">
        <f t="shared" si="281"/>
        <v>45717</v>
      </c>
      <c r="J2952">
        <v>912458.55999999959</v>
      </c>
      <c r="K2952">
        <v>39708</v>
      </c>
      <c r="L2952">
        <f t="shared" si="277"/>
        <v>22.979212249420762</v>
      </c>
      <c r="M2952">
        <v>3309</v>
      </c>
      <c r="N2952" s="2">
        <f t="shared" si="282"/>
        <v>275.75054699304911</v>
      </c>
      <c r="O2952">
        <v>12</v>
      </c>
    </row>
    <row r="2953" spans="1:15" x14ac:dyDescent="0.25">
      <c r="A2953" t="s">
        <v>46</v>
      </c>
      <c r="B2953" t="s">
        <v>16</v>
      </c>
      <c r="C2953" t="s">
        <v>40</v>
      </c>
      <c r="D2953" t="str">
        <f t="shared" si="278"/>
        <v>FAB3_1L  Desl Deslactosada</v>
      </c>
      <c r="E2953">
        <v>2025</v>
      </c>
      <c r="F2953">
        <v>14</v>
      </c>
      <c r="G2953">
        <f t="shared" si="279"/>
        <v>4</v>
      </c>
      <c r="H2953" s="1">
        <f t="shared" si="280"/>
        <v>45747</v>
      </c>
      <c r="I2953" s="1">
        <f t="shared" si="281"/>
        <v>45748</v>
      </c>
      <c r="J2953">
        <v>432805</v>
      </c>
      <c r="K2953">
        <v>21936</v>
      </c>
      <c r="L2953">
        <f t="shared" si="277"/>
        <v>19.730351932895697</v>
      </c>
      <c r="M2953">
        <v>1828</v>
      </c>
      <c r="N2953" s="2">
        <f t="shared" si="282"/>
        <v>236.76422319474835</v>
      </c>
      <c r="O2953">
        <v>12</v>
      </c>
    </row>
    <row r="2954" spans="1:15" x14ac:dyDescent="0.25">
      <c r="A2954" t="s">
        <v>46</v>
      </c>
      <c r="B2954" t="s">
        <v>16</v>
      </c>
      <c r="C2954" t="s">
        <v>40</v>
      </c>
      <c r="D2954" t="str">
        <f t="shared" si="278"/>
        <v>FAB3_1L  Desl Deslactosada</v>
      </c>
      <c r="E2954">
        <v>2025</v>
      </c>
      <c r="F2954">
        <v>14</v>
      </c>
      <c r="G2954">
        <f t="shared" si="279"/>
        <v>4</v>
      </c>
      <c r="H2954" s="1">
        <f t="shared" si="280"/>
        <v>45747</v>
      </c>
      <c r="I2954" s="1">
        <f t="shared" si="281"/>
        <v>45748</v>
      </c>
      <c r="J2954">
        <v>1486722.8500000003</v>
      </c>
      <c r="K2954">
        <v>62688</v>
      </c>
      <c r="L2954">
        <f t="shared" si="277"/>
        <v>23.716227188616646</v>
      </c>
      <c r="M2954">
        <v>5224</v>
      </c>
      <c r="N2954" s="2">
        <f t="shared" si="282"/>
        <v>284.59472626339976</v>
      </c>
      <c r="O2954">
        <v>12</v>
      </c>
    </row>
    <row r="2955" spans="1:15" x14ac:dyDescent="0.25">
      <c r="A2955" t="s">
        <v>46</v>
      </c>
      <c r="B2955" t="s">
        <v>16</v>
      </c>
      <c r="C2955" t="s">
        <v>40</v>
      </c>
      <c r="D2955" t="str">
        <f t="shared" si="278"/>
        <v>FAB3_1L  Desl Deslactosada</v>
      </c>
      <c r="E2955">
        <v>2025</v>
      </c>
      <c r="F2955">
        <v>15</v>
      </c>
      <c r="G2955">
        <f t="shared" si="279"/>
        <v>4</v>
      </c>
      <c r="H2955" s="1">
        <f t="shared" si="280"/>
        <v>45754</v>
      </c>
      <c r="I2955" s="1">
        <f t="shared" si="281"/>
        <v>45748</v>
      </c>
      <c r="J2955">
        <v>29500</v>
      </c>
      <c r="K2955">
        <v>1200</v>
      </c>
      <c r="L2955">
        <f t="shared" si="277"/>
        <v>24.583333333333332</v>
      </c>
      <c r="M2955">
        <v>100</v>
      </c>
      <c r="N2955" s="2">
        <f t="shared" si="282"/>
        <v>295</v>
      </c>
      <c r="O2955">
        <v>12</v>
      </c>
    </row>
    <row r="2956" spans="1:15" x14ac:dyDescent="0.25">
      <c r="A2956" t="s">
        <v>46</v>
      </c>
      <c r="B2956" t="s">
        <v>16</v>
      </c>
      <c r="C2956" t="s">
        <v>40</v>
      </c>
      <c r="D2956" t="str">
        <f t="shared" si="278"/>
        <v>FAB3_1L  Desl Deslactosada</v>
      </c>
      <c r="E2956">
        <v>2025</v>
      </c>
      <c r="F2956">
        <v>15</v>
      </c>
      <c r="G2956">
        <f t="shared" si="279"/>
        <v>4</v>
      </c>
      <c r="H2956" s="1">
        <f t="shared" si="280"/>
        <v>45754</v>
      </c>
      <c r="I2956" s="1">
        <f t="shared" si="281"/>
        <v>45748</v>
      </c>
      <c r="J2956">
        <v>919953.84000000043</v>
      </c>
      <c r="K2956">
        <v>37656</v>
      </c>
      <c r="L2956">
        <f t="shared" si="277"/>
        <v>24.430471637985988</v>
      </c>
      <c r="M2956">
        <v>3138</v>
      </c>
      <c r="N2956" s="2">
        <f t="shared" si="282"/>
        <v>293.16565965583186</v>
      </c>
      <c r="O2956">
        <v>12</v>
      </c>
    </row>
    <row r="2957" spans="1:15" x14ac:dyDescent="0.25">
      <c r="A2957" t="s">
        <v>46</v>
      </c>
      <c r="B2957" t="s">
        <v>16</v>
      </c>
      <c r="C2957" t="s">
        <v>40</v>
      </c>
      <c r="D2957" t="str">
        <f t="shared" si="278"/>
        <v>FAB3_1L  Desl Deslactosada</v>
      </c>
      <c r="E2957">
        <v>2025</v>
      </c>
      <c r="F2957">
        <v>16</v>
      </c>
      <c r="G2957">
        <f t="shared" si="279"/>
        <v>4</v>
      </c>
      <c r="H2957" s="1">
        <f t="shared" si="280"/>
        <v>45761</v>
      </c>
      <c r="I2957" s="1">
        <f t="shared" si="281"/>
        <v>45748</v>
      </c>
      <c r="J2957">
        <v>1180</v>
      </c>
      <c r="K2957">
        <v>48</v>
      </c>
      <c r="L2957">
        <f t="shared" si="277"/>
        <v>24.583333333333332</v>
      </c>
      <c r="M2957">
        <v>4</v>
      </c>
      <c r="N2957" s="2">
        <f t="shared" si="282"/>
        <v>295</v>
      </c>
      <c r="O2957">
        <v>12</v>
      </c>
    </row>
    <row r="2958" spans="1:15" x14ac:dyDescent="0.25">
      <c r="A2958" t="s">
        <v>46</v>
      </c>
      <c r="B2958" t="s">
        <v>16</v>
      </c>
      <c r="C2958" t="s">
        <v>40</v>
      </c>
      <c r="D2958" t="str">
        <f t="shared" si="278"/>
        <v>FAB3_1L  Desl Deslactosada</v>
      </c>
      <c r="E2958">
        <v>2025</v>
      </c>
      <c r="F2958">
        <v>16</v>
      </c>
      <c r="G2958">
        <f t="shared" si="279"/>
        <v>4</v>
      </c>
      <c r="H2958" s="1">
        <f t="shared" si="280"/>
        <v>45761</v>
      </c>
      <c r="I2958" s="1">
        <f t="shared" si="281"/>
        <v>45748</v>
      </c>
      <c r="J2958">
        <v>1240498.7900000007</v>
      </c>
      <c r="K2958">
        <v>50976</v>
      </c>
      <c r="L2958">
        <f t="shared" si="277"/>
        <v>24.334957430947913</v>
      </c>
      <c r="M2958">
        <v>4248</v>
      </c>
      <c r="N2958" s="2">
        <f t="shared" si="282"/>
        <v>292.01948917137491</v>
      </c>
      <c r="O2958">
        <v>12</v>
      </c>
    </row>
    <row r="2959" spans="1:15" x14ac:dyDescent="0.25">
      <c r="A2959" t="s">
        <v>46</v>
      </c>
      <c r="B2959" t="s">
        <v>16</v>
      </c>
      <c r="C2959" t="s">
        <v>40</v>
      </c>
      <c r="D2959" t="str">
        <f t="shared" si="278"/>
        <v>FAB3_1L  Desl Deslactosada</v>
      </c>
      <c r="E2959">
        <v>2025</v>
      </c>
      <c r="F2959">
        <v>17</v>
      </c>
      <c r="G2959">
        <f t="shared" si="279"/>
        <v>4</v>
      </c>
      <c r="H2959" s="1">
        <f t="shared" si="280"/>
        <v>45768</v>
      </c>
      <c r="I2959" s="1">
        <f t="shared" si="281"/>
        <v>45748</v>
      </c>
      <c r="J2959">
        <v>1141962.9400000004</v>
      </c>
      <c r="K2959">
        <v>47016</v>
      </c>
      <c r="L2959">
        <f t="shared" si="277"/>
        <v>24.288815296920205</v>
      </c>
      <c r="M2959">
        <v>3918</v>
      </c>
      <c r="N2959" s="2">
        <f t="shared" si="282"/>
        <v>291.46578356304246</v>
      </c>
      <c r="O2959">
        <v>12</v>
      </c>
    </row>
    <row r="2960" spans="1:15" x14ac:dyDescent="0.25">
      <c r="A2960" t="s">
        <v>46</v>
      </c>
      <c r="B2960" t="s">
        <v>16</v>
      </c>
      <c r="C2960" t="s">
        <v>40</v>
      </c>
      <c r="D2960" t="str">
        <f t="shared" si="278"/>
        <v>FAB3_1L  Desl Deslactosada</v>
      </c>
      <c r="E2960">
        <v>2025</v>
      </c>
      <c r="F2960">
        <v>18</v>
      </c>
      <c r="G2960">
        <f t="shared" si="279"/>
        <v>5</v>
      </c>
      <c r="H2960" s="1">
        <f t="shared" si="280"/>
        <v>45775</v>
      </c>
      <c r="I2960" s="1">
        <f t="shared" si="281"/>
        <v>45778</v>
      </c>
      <c r="J2960">
        <v>451494</v>
      </c>
      <c r="K2960">
        <v>23052</v>
      </c>
      <c r="L2960">
        <f t="shared" si="277"/>
        <v>19.585892764185321</v>
      </c>
      <c r="M2960">
        <v>1921</v>
      </c>
      <c r="N2960" s="2">
        <f t="shared" si="282"/>
        <v>235.03071317022383</v>
      </c>
      <c r="O2960">
        <v>12</v>
      </c>
    </row>
    <row r="2961" spans="1:15" x14ac:dyDescent="0.25">
      <c r="A2961" t="s">
        <v>46</v>
      </c>
      <c r="B2961" t="s">
        <v>16</v>
      </c>
      <c r="C2961" t="s">
        <v>40</v>
      </c>
      <c r="D2961" t="str">
        <f t="shared" si="278"/>
        <v>FAB3_1L  Desl Deslactosada</v>
      </c>
      <c r="E2961">
        <v>2025</v>
      </c>
      <c r="F2961">
        <v>18</v>
      </c>
      <c r="G2961">
        <f t="shared" si="279"/>
        <v>5</v>
      </c>
      <c r="H2961" s="1">
        <f t="shared" si="280"/>
        <v>45775</v>
      </c>
      <c r="I2961" s="1">
        <f t="shared" si="281"/>
        <v>45778</v>
      </c>
      <c r="J2961">
        <v>1538322.2400000009</v>
      </c>
      <c r="K2961">
        <v>64608</v>
      </c>
      <c r="L2961">
        <f t="shared" si="277"/>
        <v>23.810089153046075</v>
      </c>
      <c r="M2961">
        <v>5384</v>
      </c>
      <c r="N2961" s="2">
        <f t="shared" si="282"/>
        <v>285.72106983655294</v>
      </c>
      <c r="O2961">
        <v>12</v>
      </c>
    </row>
    <row r="2962" spans="1:15" x14ac:dyDescent="0.25">
      <c r="A2962" t="s">
        <v>46</v>
      </c>
      <c r="B2962" t="s">
        <v>16</v>
      </c>
      <c r="C2962" t="s">
        <v>40</v>
      </c>
      <c r="D2962" t="str">
        <f t="shared" si="278"/>
        <v>FAB3_1L  Desl Deslactosada</v>
      </c>
      <c r="E2962">
        <v>2025</v>
      </c>
      <c r="F2962">
        <v>19</v>
      </c>
      <c r="G2962">
        <f t="shared" si="279"/>
        <v>5</v>
      </c>
      <c r="H2962" s="1">
        <f t="shared" si="280"/>
        <v>45782</v>
      </c>
      <c r="I2962" s="1">
        <f t="shared" si="281"/>
        <v>45778</v>
      </c>
      <c r="J2962">
        <v>891.5</v>
      </c>
      <c r="K2962">
        <v>36</v>
      </c>
      <c r="L2962">
        <f t="shared" si="277"/>
        <v>24.763888888888889</v>
      </c>
      <c r="M2962">
        <v>3</v>
      </c>
      <c r="N2962" s="2">
        <f t="shared" si="282"/>
        <v>297.16666666666669</v>
      </c>
      <c r="O2962">
        <v>12</v>
      </c>
    </row>
    <row r="2963" spans="1:15" x14ac:dyDescent="0.25">
      <c r="A2963" t="s">
        <v>46</v>
      </c>
      <c r="B2963" t="s">
        <v>16</v>
      </c>
      <c r="C2963" t="s">
        <v>40</v>
      </c>
      <c r="D2963" t="str">
        <f t="shared" si="278"/>
        <v>FAB3_1L  Desl Deslactosada</v>
      </c>
      <c r="E2963">
        <v>2025</v>
      </c>
      <c r="F2963">
        <v>19</v>
      </c>
      <c r="G2963">
        <f t="shared" si="279"/>
        <v>5</v>
      </c>
      <c r="H2963" s="1">
        <f t="shared" si="280"/>
        <v>45782</v>
      </c>
      <c r="I2963" s="1">
        <f t="shared" si="281"/>
        <v>45778</v>
      </c>
      <c r="J2963">
        <v>1172291.8199999994</v>
      </c>
      <c r="K2963">
        <v>46812</v>
      </c>
      <c r="L2963">
        <f t="shared" si="277"/>
        <v>25.042549346321444</v>
      </c>
      <c r="M2963">
        <v>3901</v>
      </c>
      <c r="N2963" s="2">
        <f t="shared" si="282"/>
        <v>300.5105921558573</v>
      </c>
      <c r="O2963">
        <v>12</v>
      </c>
    </row>
    <row r="2964" spans="1:15" x14ac:dyDescent="0.25">
      <c r="A2964" t="s">
        <v>46</v>
      </c>
      <c r="B2964" t="s">
        <v>16</v>
      </c>
      <c r="C2964" t="s">
        <v>40</v>
      </c>
      <c r="D2964" t="str">
        <f t="shared" si="278"/>
        <v>FAB3_1L  Desl Deslactosada</v>
      </c>
      <c r="E2964">
        <v>2025</v>
      </c>
      <c r="F2964">
        <v>20</v>
      </c>
      <c r="G2964">
        <f t="shared" si="279"/>
        <v>5</v>
      </c>
      <c r="H2964" s="1">
        <f t="shared" si="280"/>
        <v>45789</v>
      </c>
      <c r="I2964" s="1">
        <f t="shared" si="281"/>
        <v>45778</v>
      </c>
      <c r="J2964">
        <v>484270</v>
      </c>
      <c r="K2964">
        <v>24696</v>
      </c>
      <c r="L2964">
        <f t="shared" si="277"/>
        <v>19.609248461289276</v>
      </c>
      <c r="M2964">
        <v>2058</v>
      </c>
      <c r="N2964" s="2">
        <f t="shared" si="282"/>
        <v>235.31098153547134</v>
      </c>
      <c r="O2964">
        <v>12</v>
      </c>
    </row>
    <row r="2965" spans="1:15" x14ac:dyDescent="0.25">
      <c r="A2965" t="s">
        <v>46</v>
      </c>
      <c r="B2965" t="s">
        <v>16</v>
      </c>
      <c r="C2965" t="s">
        <v>40</v>
      </c>
      <c r="D2965" t="str">
        <f t="shared" si="278"/>
        <v>FAB3_1L  Desl Deslactosada</v>
      </c>
      <c r="E2965">
        <v>2025</v>
      </c>
      <c r="F2965">
        <v>20</v>
      </c>
      <c r="G2965">
        <f t="shared" si="279"/>
        <v>5</v>
      </c>
      <c r="H2965" s="1">
        <f t="shared" si="280"/>
        <v>45789</v>
      </c>
      <c r="I2965" s="1">
        <f t="shared" si="281"/>
        <v>45778</v>
      </c>
      <c r="J2965">
        <v>1068921.0899999992</v>
      </c>
      <c r="K2965">
        <v>43200</v>
      </c>
      <c r="L2965">
        <f t="shared" si="277"/>
        <v>24.743543749999979</v>
      </c>
      <c r="M2965">
        <v>3600</v>
      </c>
      <c r="N2965" s="2">
        <f t="shared" si="282"/>
        <v>296.92252499999978</v>
      </c>
      <c r="O2965">
        <v>12</v>
      </c>
    </row>
    <row r="2966" spans="1:15" x14ac:dyDescent="0.25">
      <c r="A2966" t="s">
        <v>46</v>
      </c>
      <c r="B2966" t="s">
        <v>16</v>
      </c>
      <c r="C2966" t="s">
        <v>40</v>
      </c>
      <c r="D2966" t="str">
        <f t="shared" si="278"/>
        <v>FAB3_1L  Desl Deslactosada</v>
      </c>
      <c r="E2966">
        <v>2025</v>
      </c>
      <c r="F2966">
        <v>21</v>
      </c>
      <c r="G2966">
        <f t="shared" si="279"/>
        <v>5</v>
      </c>
      <c r="H2966" s="1">
        <f t="shared" si="280"/>
        <v>45796</v>
      </c>
      <c r="I2966" s="1">
        <f t="shared" si="281"/>
        <v>45778</v>
      </c>
      <c r="J2966">
        <v>303.60000000000002</v>
      </c>
      <c r="K2966">
        <v>12</v>
      </c>
      <c r="L2966">
        <f t="shared" si="277"/>
        <v>25.3</v>
      </c>
      <c r="M2966">
        <v>1</v>
      </c>
      <c r="N2966" s="2">
        <f t="shared" si="282"/>
        <v>303.60000000000002</v>
      </c>
      <c r="O2966">
        <v>12</v>
      </c>
    </row>
    <row r="2967" spans="1:15" x14ac:dyDescent="0.25">
      <c r="A2967" t="s">
        <v>46</v>
      </c>
      <c r="B2967" t="s">
        <v>16</v>
      </c>
      <c r="C2967" t="s">
        <v>40</v>
      </c>
      <c r="D2967" t="str">
        <f t="shared" si="278"/>
        <v>FAB3_1L  Desl Deslactosada</v>
      </c>
      <c r="E2967">
        <v>2025</v>
      </c>
      <c r="F2967">
        <v>21</v>
      </c>
      <c r="G2967">
        <f t="shared" si="279"/>
        <v>5</v>
      </c>
      <c r="H2967" s="1">
        <f t="shared" si="280"/>
        <v>45796</v>
      </c>
      <c r="I2967" s="1">
        <f t="shared" si="281"/>
        <v>45778</v>
      </c>
      <c r="J2967">
        <v>1094328.3799999992</v>
      </c>
      <c r="K2967">
        <v>44232</v>
      </c>
      <c r="L2967">
        <f t="shared" si="277"/>
        <v>24.740648851510201</v>
      </c>
      <c r="M2967">
        <v>3686</v>
      </c>
      <c r="N2967" s="2">
        <f t="shared" si="282"/>
        <v>296.88778621812241</v>
      </c>
      <c r="O2967">
        <v>12</v>
      </c>
    </row>
    <row r="2968" spans="1:15" x14ac:dyDescent="0.25">
      <c r="A2968" t="s">
        <v>46</v>
      </c>
      <c r="B2968" t="s">
        <v>16</v>
      </c>
      <c r="C2968" t="s">
        <v>40</v>
      </c>
      <c r="D2968" t="str">
        <f t="shared" si="278"/>
        <v>FAB3_1L  Desl Deslactosada</v>
      </c>
      <c r="E2968">
        <v>2025</v>
      </c>
      <c r="F2968">
        <v>22</v>
      </c>
      <c r="G2968">
        <f t="shared" si="279"/>
        <v>5</v>
      </c>
      <c r="H2968" s="1">
        <f t="shared" si="280"/>
        <v>45803</v>
      </c>
      <c r="I2968" s="1">
        <f t="shared" si="281"/>
        <v>45778</v>
      </c>
      <c r="J2968">
        <v>1019503.6</v>
      </c>
      <c r="K2968">
        <v>49932</v>
      </c>
      <c r="L2968">
        <f t="shared" si="277"/>
        <v>20.417840262757348</v>
      </c>
      <c r="M2968">
        <v>4161</v>
      </c>
      <c r="N2968" s="2">
        <f t="shared" si="282"/>
        <v>245.01408315308819</v>
      </c>
      <c r="O2968">
        <v>12</v>
      </c>
    </row>
    <row r="2969" spans="1:15" x14ac:dyDescent="0.25">
      <c r="A2969" t="s">
        <v>46</v>
      </c>
      <c r="B2969" t="s">
        <v>16</v>
      </c>
      <c r="C2969" t="s">
        <v>40</v>
      </c>
      <c r="D2969" t="str">
        <f t="shared" si="278"/>
        <v>FAB3_1L  Desl Deslactosada</v>
      </c>
      <c r="E2969">
        <v>2025</v>
      </c>
      <c r="F2969">
        <v>22</v>
      </c>
      <c r="G2969">
        <f t="shared" si="279"/>
        <v>5</v>
      </c>
      <c r="H2969" s="1">
        <f t="shared" si="280"/>
        <v>45803</v>
      </c>
      <c r="I2969" s="1">
        <f t="shared" si="281"/>
        <v>45778</v>
      </c>
      <c r="J2969">
        <v>1005744.5199999996</v>
      </c>
      <c r="K2969">
        <v>39660</v>
      </c>
      <c r="L2969">
        <f t="shared" si="277"/>
        <v>25.359165910237003</v>
      </c>
      <c r="M2969">
        <v>3305</v>
      </c>
      <c r="N2969" s="2">
        <f t="shared" si="282"/>
        <v>304.30999092284407</v>
      </c>
      <c r="O2969">
        <v>12</v>
      </c>
    </row>
    <row r="2970" spans="1:15" x14ac:dyDescent="0.25">
      <c r="A2970" t="s">
        <v>46</v>
      </c>
      <c r="B2970" t="s">
        <v>16</v>
      </c>
      <c r="C2970" t="s">
        <v>40</v>
      </c>
      <c r="D2970" t="str">
        <f t="shared" si="278"/>
        <v>FAB3_1L  Desl Deslactosada</v>
      </c>
      <c r="E2970">
        <v>2025</v>
      </c>
      <c r="F2970">
        <v>23</v>
      </c>
      <c r="G2970">
        <f t="shared" si="279"/>
        <v>6</v>
      </c>
      <c r="H2970" s="1">
        <f t="shared" si="280"/>
        <v>45810</v>
      </c>
      <c r="I2970" s="1">
        <f t="shared" si="281"/>
        <v>45809</v>
      </c>
      <c r="J2970">
        <v>284</v>
      </c>
      <c r="K2970">
        <v>12</v>
      </c>
      <c r="L2970">
        <f t="shared" si="277"/>
        <v>23.666666666666668</v>
      </c>
      <c r="M2970">
        <v>1</v>
      </c>
      <c r="N2970" s="2">
        <f t="shared" si="282"/>
        <v>284</v>
      </c>
      <c r="O2970">
        <v>12</v>
      </c>
    </row>
    <row r="2971" spans="1:15" x14ac:dyDescent="0.25">
      <c r="A2971" t="s">
        <v>46</v>
      </c>
      <c r="B2971" t="s">
        <v>16</v>
      </c>
      <c r="C2971" t="s">
        <v>40</v>
      </c>
      <c r="D2971" t="str">
        <f t="shared" si="278"/>
        <v>FAB3_1L  Desl Deslactosada</v>
      </c>
      <c r="E2971">
        <v>2025</v>
      </c>
      <c r="F2971">
        <v>23</v>
      </c>
      <c r="G2971">
        <f t="shared" si="279"/>
        <v>6</v>
      </c>
      <c r="H2971" s="1">
        <f t="shared" si="280"/>
        <v>45810</v>
      </c>
      <c r="I2971" s="1">
        <f t="shared" si="281"/>
        <v>45809</v>
      </c>
      <c r="J2971">
        <v>1200492.1599999999</v>
      </c>
      <c r="K2971">
        <v>46512</v>
      </c>
      <c r="L2971">
        <f t="shared" si="277"/>
        <v>25.810374957000342</v>
      </c>
      <c r="M2971">
        <v>3876</v>
      </c>
      <c r="N2971" s="2">
        <f t="shared" si="282"/>
        <v>309.72449948400413</v>
      </c>
      <c r="O2971">
        <v>12</v>
      </c>
    </row>
    <row r="2972" spans="1:15" x14ac:dyDescent="0.25">
      <c r="A2972" t="s">
        <v>46</v>
      </c>
      <c r="B2972" t="s">
        <v>16</v>
      </c>
      <c r="C2972" t="s">
        <v>40</v>
      </c>
      <c r="D2972" t="str">
        <f t="shared" si="278"/>
        <v>FAB3_1L  Desl Deslactosada</v>
      </c>
      <c r="E2972">
        <v>2025</v>
      </c>
      <c r="F2972">
        <v>24</v>
      </c>
      <c r="G2972">
        <f t="shared" si="279"/>
        <v>6</v>
      </c>
      <c r="H2972" s="1">
        <f t="shared" si="280"/>
        <v>45817</v>
      </c>
      <c r="I2972" s="1">
        <f t="shared" si="281"/>
        <v>45809</v>
      </c>
      <c r="J2972">
        <v>568</v>
      </c>
      <c r="K2972">
        <v>24</v>
      </c>
      <c r="L2972">
        <f t="shared" si="277"/>
        <v>23.666666666666668</v>
      </c>
      <c r="M2972">
        <v>2</v>
      </c>
      <c r="N2972" s="2">
        <f t="shared" si="282"/>
        <v>284</v>
      </c>
      <c r="O2972">
        <v>12</v>
      </c>
    </row>
    <row r="2973" spans="1:15" x14ac:dyDescent="0.25">
      <c r="A2973" t="s">
        <v>46</v>
      </c>
      <c r="B2973" t="s">
        <v>16</v>
      </c>
      <c r="C2973" t="s">
        <v>40</v>
      </c>
      <c r="D2973" t="str">
        <f t="shared" si="278"/>
        <v>FAB3_1L  Desl Deslactosada</v>
      </c>
      <c r="E2973">
        <v>2025</v>
      </c>
      <c r="F2973">
        <v>24</v>
      </c>
      <c r="G2973">
        <f t="shared" si="279"/>
        <v>6</v>
      </c>
      <c r="H2973" s="1">
        <f t="shared" si="280"/>
        <v>45817</v>
      </c>
      <c r="I2973" s="1">
        <f t="shared" si="281"/>
        <v>45809</v>
      </c>
      <c r="J2973">
        <v>1361828.8900000004</v>
      </c>
      <c r="K2973">
        <v>59088</v>
      </c>
      <c r="L2973">
        <f t="shared" si="277"/>
        <v>23.047469706200928</v>
      </c>
      <c r="M2973">
        <v>4924</v>
      </c>
      <c r="N2973" s="2">
        <f t="shared" si="282"/>
        <v>276.56963647441114</v>
      </c>
      <c r="O2973">
        <v>12</v>
      </c>
    </row>
    <row r="2974" spans="1:15" x14ac:dyDescent="0.25">
      <c r="A2974" t="s">
        <v>46</v>
      </c>
      <c r="B2974" t="s">
        <v>16</v>
      </c>
      <c r="C2974" t="s">
        <v>40</v>
      </c>
      <c r="D2974" t="str">
        <f t="shared" si="278"/>
        <v>FAB3_1L  Desl Deslactosada</v>
      </c>
      <c r="E2974">
        <v>2025</v>
      </c>
      <c r="F2974">
        <v>25</v>
      </c>
      <c r="G2974">
        <f t="shared" si="279"/>
        <v>6</v>
      </c>
      <c r="H2974" s="1">
        <f t="shared" si="280"/>
        <v>45824</v>
      </c>
      <c r="I2974" s="1">
        <f t="shared" si="281"/>
        <v>45809</v>
      </c>
      <c r="J2974">
        <v>299</v>
      </c>
      <c r="K2974">
        <v>12</v>
      </c>
      <c r="L2974">
        <f t="shared" si="277"/>
        <v>24.916666666666668</v>
      </c>
      <c r="M2974">
        <v>1</v>
      </c>
      <c r="N2974" s="2">
        <f t="shared" si="282"/>
        <v>299</v>
      </c>
      <c r="O2974">
        <v>12</v>
      </c>
    </row>
    <row r="2975" spans="1:15" x14ac:dyDescent="0.25">
      <c r="A2975" t="s">
        <v>46</v>
      </c>
      <c r="B2975" t="s">
        <v>16</v>
      </c>
      <c r="C2975" t="s">
        <v>40</v>
      </c>
      <c r="D2975" t="str">
        <f t="shared" si="278"/>
        <v>FAB3_1L  Desl Deslactosada</v>
      </c>
      <c r="E2975">
        <v>2025</v>
      </c>
      <c r="F2975">
        <v>25</v>
      </c>
      <c r="G2975">
        <f t="shared" si="279"/>
        <v>6</v>
      </c>
      <c r="H2975" s="1">
        <f t="shared" si="280"/>
        <v>45824</v>
      </c>
      <c r="I2975" s="1">
        <f t="shared" si="281"/>
        <v>45809</v>
      </c>
      <c r="J2975">
        <v>1069014.4600000007</v>
      </c>
      <c r="K2975">
        <v>44364</v>
      </c>
      <c r="L2975">
        <f t="shared" si="277"/>
        <v>24.096439906230291</v>
      </c>
      <c r="M2975">
        <v>3697</v>
      </c>
      <c r="N2975" s="2">
        <f t="shared" si="282"/>
        <v>289.15727887476351</v>
      </c>
      <c r="O2975">
        <v>12</v>
      </c>
    </row>
    <row r="2976" spans="1:15" x14ac:dyDescent="0.25">
      <c r="A2976" t="s">
        <v>46</v>
      </c>
      <c r="B2976" t="s">
        <v>16</v>
      </c>
      <c r="C2976" t="s">
        <v>40</v>
      </c>
      <c r="D2976" t="str">
        <f t="shared" si="278"/>
        <v>FAB3_1L  Desl Deslactosada</v>
      </c>
      <c r="E2976">
        <v>2025</v>
      </c>
      <c r="F2976">
        <v>26</v>
      </c>
      <c r="G2976">
        <f t="shared" si="279"/>
        <v>6</v>
      </c>
      <c r="H2976" s="1">
        <f t="shared" si="280"/>
        <v>45831</v>
      </c>
      <c r="I2976" s="1">
        <f t="shared" si="281"/>
        <v>45809</v>
      </c>
      <c r="J2976">
        <v>118381.26999999999</v>
      </c>
      <c r="K2976">
        <v>4992</v>
      </c>
      <c r="L2976">
        <f t="shared" si="277"/>
        <v>23.714196714743586</v>
      </c>
      <c r="M2976">
        <v>416</v>
      </c>
      <c r="N2976" s="2">
        <f t="shared" si="282"/>
        <v>284.57036057692306</v>
      </c>
      <c r="O2976">
        <v>12</v>
      </c>
    </row>
    <row r="2977" spans="1:15" x14ac:dyDescent="0.25">
      <c r="A2977" t="s">
        <v>46</v>
      </c>
      <c r="B2977" t="s">
        <v>16</v>
      </c>
      <c r="C2977" t="s">
        <v>40</v>
      </c>
      <c r="D2977" t="str">
        <f t="shared" si="278"/>
        <v>FAB3_1L  Desl Deslactosada</v>
      </c>
      <c r="E2977">
        <v>2025</v>
      </c>
      <c r="F2977">
        <v>26</v>
      </c>
      <c r="G2977">
        <f t="shared" si="279"/>
        <v>6</v>
      </c>
      <c r="H2977" s="1">
        <f t="shared" si="280"/>
        <v>45831</v>
      </c>
      <c r="I2977" s="1">
        <f t="shared" si="281"/>
        <v>45809</v>
      </c>
      <c r="J2977">
        <v>809156.89000000013</v>
      </c>
      <c r="K2977">
        <v>34056</v>
      </c>
      <c r="L2977">
        <f t="shared" si="277"/>
        <v>23.759598602302095</v>
      </c>
      <c r="M2977">
        <v>2838</v>
      </c>
      <c r="N2977" s="2">
        <f t="shared" si="282"/>
        <v>285.11518322762515</v>
      </c>
      <c r="O2977">
        <v>12</v>
      </c>
    </row>
    <row r="2978" spans="1:15" x14ac:dyDescent="0.25">
      <c r="A2978" t="s">
        <v>46</v>
      </c>
      <c r="B2978" t="s">
        <v>16</v>
      </c>
      <c r="C2978" t="s">
        <v>40</v>
      </c>
      <c r="D2978" t="str">
        <f t="shared" si="278"/>
        <v>FAB3_1L  Desl Deslactosada</v>
      </c>
      <c r="E2978">
        <v>2025</v>
      </c>
      <c r="F2978">
        <v>27</v>
      </c>
      <c r="G2978">
        <f t="shared" si="279"/>
        <v>7</v>
      </c>
      <c r="H2978" s="1">
        <f t="shared" si="280"/>
        <v>45838</v>
      </c>
      <c r="I2978" s="1">
        <f t="shared" si="281"/>
        <v>45839</v>
      </c>
      <c r="J2978">
        <v>597467.16999999993</v>
      </c>
      <c r="K2978">
        <v>25308</v>
      </c>
      <c r="L2978">
        <f t="shared" si="277"/>
        <v>23.607838232969808</v>
      </c>
      <c r="M2978">
        <v>2109</v>
      </c>
      <c r="N2978" s="2">
        <f t="shared" si="282"/>
        <v>283.29405879563768</v>
      </c>
      <c r="O2978">
        <v>12</v>
      </c>
    </row>
    <row r="2979" spans="1:15" x14ac:dyDescent="0.25">
      <c r="A2979" t="s">
        <v>46</v>
      </c>
      <c r="B2979" t="s">
        <v>16</v>
      </c>
      <c r="C2979" t="s">
        <v>40</v>
      </c>
      <c r="D2979" t="str">
        <f t="shared" si="278"/>
        <v>FAB3_1L  Desl Deslactosada</v>
      </c>
      <c r="E2979">
        <v>2025</v>
      </c>
      <c r="F2979">
        <v>27</v>
      </c>
      <c r="G2979">
        <f t="shared" si="279"/>
        <v>7</v>
      </c>
      <c r="H2979" s="1">
        <f t="shared" si="280"/>
        <v>45838</v>
      </c>
      <c r="I2979" s="1">
        <f t="shared" si="281"/>
        <v>45839</v>
      </c>
      <c r="J2979">
        <v>520027.36000000028</v>
      </c>
      <c r="K2979">
        <v>22020</v>
      </c>
      <c r="L2979">
        <f t="shared" si="277"/>
        <v>23.616138056312455</v>
      </c>
      <c r="M2979">
        <v>1835</v>
      </c>
      <c r="N2979" s="2">
        <f t="shared" si="282"/>
        <v>283.39365667574947</v>
      </c>
      <c r="O2979">
        <v>12</v>
      </c>
    </row>
    <row r="2980" spans="1:15" x14ac:dyDescent="0.25">
      <c r="A2980" t="s">
        <v>46</v>
      </c>
      <c r="B2980" t="s">
        <v>16</v>
      </c>
      <c r="C2980" t="s">
        <v>40</v>
      </c>
      <c r="D2980" t="str">
        <f t="shared" si="278"/>
        <v>FAB3_1L  Desl Deslactosada</v>
      </c>
      <c r="E2980">
        <v>2025</v>
      </c>
      <c r="F2980">
        <v>28</v>
      </c>
      <c r="G2980">
        <f t="shared" si="279"/>
        <v>7</v>
      </c>
      <c r="H2980" s="1">
        <f t="shared" si="280"/>
        <v>45845</v>
      </c>
      <c r="I2980" s="1">
        <f t="shared" si="281"/>
        <v>45839</v>
      </c>
      <c r="J2980">
        <v>635834.38999999966</v>
      </c>
      <c r="K2980">
        <v>27000</v>
      </c>
      <c r="L2980">
        <f t="shared" si="277"/>
        <v>23.549421851851839</v>
      </c>
      <c r="M2980">
        <v>2250</v>
      </c>
      <c r="N2980" s="2">
        <f t="shared" si="282"/>
        <v>282.59306222222204</v>
      </c>
      <c r="O2980">
        <v>12</v>
      </c>
    </row>
    <row r="2981" spans="1:15" x14ac:dyDescent="0.25">
      <c r="A2981" t="s">
        <v>46</v>
      </c>
      <c r="B2981" t="s">
        <v>16</v>
      </c>
      <c r="C2981" t="s">
        <v>40</v>
      </c>
      <c r="D2981" t="str">
        <f t="shared" si="278"/>
        <v>FAB3_1L  Desl Deslactosada</v>
      </c>
      <c r="E2981">
        <v>2025</v>
      </c>
      <c r="F2981">
        <v>28</v>
      </c>
      <c r="G2981">
        <f t="shared" si="279"/>
        <v>7</v>
      </c>
      <c r="H2981" s="1">
        <f t="shared" si="280"/>
        <v>45845</v>
      </c>
      <c r="I2981" s="1">
        <f t="shared" si="281"/>
        <v>45839</v>
      </c>
      <c r="J2981">
        <v>367895.48999999993</v>
      </c>
      <c r="K2981">
        <v>15696</v>
      </c>
      <c r="L2981">
        <f t="shared" si="277"/>
        <v>23.438805428134554</v>
      </c>
      <c r="M2981">
        <v>1308</v>
      </c>
      <c r="N2981" s="2">
        <f t="shared" si="282"/>
        <v>281.26566513761463</v>
      </c>
      <c r="O2981">
        <v>12</v>
      </c>
    </row>
    <row r="2982" spans="1:15" x14ac:dyDescent="0.25">
      <c r="A2982" t="s">
        <v>46</v>
      </c>
      <c r="B2982" t="s">
        <v>16</v>
      </c>
      <c r="C2982" t="s">
        <v>40</v>
      </c>
      <c r="D2982" t="str">
        <f t="shared" si="278"/>
        <v>FAB3_1L  Desl Deslactosada</v>
      </c>
      <c r="E2982">
        <v>2025</v>
      </c>
      <c r="F2982">
        <v>29</v>
      </c>
      <c r="G2982">
        <f t="shared" si="279"/>
        <v>7</v>
      </c>
      <c r="H2982" s="1">
        <f t="shared" si="280"/>
        <v>45852</v>
      </c>
      <c r="I2982" s="1">
        <f t="shared" si="281"/>
        <v>45839</v>
      </c>
      <c r="J2982">
        <v>901016.94999999984</v>
      </c>
      <c r="K2982">
        <v>38148</v>
      </c>
      <c r="L2982">
        <f t="shared" si="277"/>
        <v>23.618982646534544</v>
      </c>
      <c r="M2982">
        <v>3179</v>
      </c>
      <c r="N2982" s="2">
        <f t="shared" si="282"/>
        <v>283.42779175841457</v>
      </c>
      <c r="O2982">
        <v>12</v>
      </c>
    </row>
    <row r="2983" spans="1:15" x14ac:dyDescent="0.25">
      <c r="A2983" t="s">
        <v>46</v>
      </c>
      <c r="B2983" t="s">
        <v>16</v>
      </c>
      <c r="C2983" t="s">
        <v>40</v>
      </c>
      <c r="D2983" t="str">
        <f t="shared" si="278"/>
        <v>FAB3_1L  Desl Deslactosada</v>
      </c>
      <c r="E2983">
        <v>2025</v>
      </c>
      <c r="F2983">
        <v>29</v>
      </c>
      <c r="G2983">
        <f t="shared" si="279"/>
        <v>7</v>
      </c>
      <c r="H2983" s="1">
        <f t="shared" si="280"/>
        <v>45852</v>
      </c>
      <c r="I2983" s="1">
        <f t="shared" si="281"/>
        <v>45839</v>
      </c>
      <c r="J2983">
        <v>481634.33999999997</v>
      </c>
      <c r="K2983">
        <v>20892</v>
      </c>
      <c r="L2983">
        <f t="shared" si="277"/>
        <v>23.053529580700744</v>
      </c>
      <c r="M2983">
        <v>1741</v>
      </c>
      <c r="N2983" s="2">
        <f t="shared" si="282"/>
        <v>276.64235496840894</v>
      </c>
      <c r="O2983">
        <v>12</v>
      </c>
    </row>
    <row r="2984" spans="1:15" x14ac:dyDescent="0.25">
      <c r="A2984" t="s">
        <v>46</v>
      </c>
      <c r="B2984" t="s">
        <v>16</v>
      </c>
      <c r="C2984" t="s">
        <v>40</v>
      </c>
      <c r="D2984" t="str">
        <f t="shared" si="278"/>
        <v>FAB3_1L  Desl Deslactosada</v>
      </c>
      <c r="E2984">
        <v>2025</v>
      </c>
      <c r="F2984">
        <v>30</v>
      </c>
      <c r="G2984">
        <f t="shared" si="279"/>
        <v>7</v>
      </c>
      <c r="H2984" s="1">
        <f t="shared" si="280"/>
        <v>45859</v>
      </c>
      <c r="I2984" s="1">
        <f t="shared" si="281"/>
        <v>45839</v>
      </c>
      <c r="J2984">
        <v>1325464.4799999997</v>
      </c>
      <c r="K2984">
        <v>60504</v>
      </c>
      <c r="L2984">
        <f t="shared" si="277"/>
        <v>21.907055401295779</v>
      </c>
      <c r="M2984">
        <v>5042</v>
      </c>
      <c r="N2984" s="2">
        <f t="shared" si="282"/>
        <v>262.88466481554934</v>
      </c>
      <c r="O2984">
        <v>12</v>
      </c>
    </row>
    <row r="2985" spans="1:15" x14ac:dyDescent="0.25">
      <c r="A2985" t="s">
        <v>46</v>
      </c>
      <c r="B2985" t="s">
        <v>16</v>
      </c>
      <c r="C2985" t="s">
        <v>40</v>
      </c>
      <c r="D2985" t="str">
        <f t="shared" si="278"/>
        <v>FAB3_1L  Desl Deslactosada</v>
      </c>
      <c r="E2985">
        <v>2025</v>
      </c>
      <c r="F2985">
        <v>30</v>
      </c>
      <c r="G2985">
        <f t="shared" si="279"/>
        <v>7</v>
      </c>
      <c r="H2985" s="1">
        <f t="shared" si="280"/>
        <v>45859</v>
      </c>
      <c r="I2985" s="1">
        <f t="shared" si="281"/>
        <v>45839</v>
      </c>
      <c r="J2985">
        <v>376970.26</v>
      </c>
      <c r="K2985">
        <v>16344</v>
      </c>
      <c r="L2985">
        <f t="shared" si="277"/>
        <v>23.064749143416545</v>
      </c>
      <c r="M2985">
        <v>1362</v>
      </c>
      <c r="N2985" s="2">
        <f t="shared" si="282"/>
        <v>276.77698972099853</v>
      </c>
      <c r="O2985">
        <v>12</v>
      </c>
    </row>
    <row r="2986" spans="1:15" x14ac:dyDescent="0.25">
      <c r="A2986" t="s">
        <v>46</v>
      </c>
      <c r="B2986" t="s">
        <v>16</v>
      </c>
      <c r="C2986" t="s">
        <v>40</v>
      </c>
      <c r="D2986" t="str">
        <f t="shared" si="278"/>
        <v>FAB3_1L  Desl Deslactosada</v>
      </c>
      <c r="E2986">
        <v>2025</v>
      </c>
      <c r="F2986">
        <v>31</v>
      </c>
      <c r="G2986">
        <f t="shared" si="279"/>
        <v>7</v>
      </c>
      <c r="H2986" s="1">
        <f t="shared" si="280"/>
        <v>45866</v>
      </c>
      <c r="I2986" s="1">
        <f t="shared" si="281"/>
        <v>45839</v>
      </c>
      <c r="J2986">
        <v>2387574.0800000005</v>
      </c>
      <c r="K2986">
        <v>112608</v>
      </c>
      <c r="L2986">
        <f t="shared" si="277"/>
        <v>21.202526285876676</v>
      </c>
      <c r="M2986">
        <v>9384</v>
      </c>
      <c r="N2986" s="2">
        <f t="shared" si="282"/>
        <v>254.4303154305201</v>
      </c>
      <c r="O2986">
        <v>12</v>
      </c>
    </row>
    <row r="2987" spans="1:15" x14ac:dyDescent="0.25">
      <c r="A2987" t="s">
        <v>46</v>
      </c>
      <c r="B2987" t="s">
        <v>16</v>
      </c>
      <c r="C2987" t="s">
        <v>40</v>
      </c>
      <c r="D2987" t="str">
        <f t="shared" si="278"/>
        <v>FAB3_1L  Desl Deslactosada</v>
      </c>
      <c r="E2987">
        <v>2025</v>
      </c>
      <c r="F2987">
        <v>31</v>
      </c>
      <c r="G2987">
        <f t="shared" si="279"/>
        <v>7</v>
      </c>
      <c r="H2987" s="1">
        <f t="shared" si="280"/>
        <v>45866</v>
      </c>
      <c r="I2987" s="1">
        <f t="shared" si="281"/>
        <v>45839</v>
      </c>
      <c r="J2987">
        <v>419849.73999999987</v>
      </c>
      <c r="K2987">
        <v>17796</v>
      </c>
      <c r="L2987">
        <f t="shared" si="277"/>
        <v>23.59236570015733</v>
      </c>
      <c r="M2987">
        <v>1483</v>
      </c>
      <c r="N2987" s="2">
        <f t="shared" si="282"/>
        <v>283.10838840188796</v>
      </c>
      <c r="O2987">
        <v>12</v>
      </c>
    </row>
    <row r="2988" spans="1:15" x14ac:dyDescent="0.25">
      <c r="A2988" t="s">
        <v>46</v>
      </c>
      <c r="B2988" t="s">
        <v>16</v>
      </c>
      <c r="C2988" t="s">
        <v>41</v>
      </c>
      <c r="D2988" t="str">
        <f t="shared" si="278"/>
        <v>FAB3_1L  Ent Entera</v>
      </c>
      <c r="E2988">
        <v>2022</v>
      </c>
      <c r="F2988">
        <v>1</v>
      </c>
      <c r="G2988">
        <f t="shared" si="279"/>
        <v>1</v>
      </c>
      <c r="H2988" s="1">
        <f t="shared" si="280"/>
        <v>44564</v>
      </c>
      <c r="I2988" s="1">
        <f t="shared" si="281"/>
        <v>44562</v>
      </c>
      <c r="J2988">
        <v>2414091.6700000009</v>
      </c>
      <c r="K2988">
        <v>137952</v>
      </c>
      <c r="L2988">
        <f t="shared" si="277"/>
        <v>17.499504682788224</v>
      </c>
      <c r="M2988">
        <v>11496</v>
      </c>
      <c r="N2988" s="2">
        <f t="shared" si="282"/>
        <v>209.99405619345868</v>
      </c>
      <c r="O2988">
        <v>12</v>
      </c>
    </row>
    <row r="2989" spans="1:15" x14ac:dyDescent="0.25">
      <c r="A2989" t="s">
        <v>46</v>
      </c>
      <c r="B2989" t="s">
        <v>16</v>
      </c>
      <c r="C2989" t="s">
        <v>41</v>
      </c>
      <c r="D2989" t="str">
        <f t="shared" si="278"/>
        <v>FAB3_1L  Ent Entera</v>
      </c>
      <c r="E2989">
        <v>2022</v>
      </c>
      <c r="F2989">
        <v>2</v>
      </c>
      <c r="G2989">
        <f t="shared" si="279"/>
        <v>1</v>
      </c>
      <c r="H2989" s="1">
        <f t="shared" si="280"/>
        <v>44571</v>
      </c>
      <c r="I2989" s="1">
        <f t="shared" si="281"/>
        <v>44562</v>
      </c>
      <c r="J2989">
        <v>2500899.2000000002</v>
      </c>
      <c r="K2989">
        <v>142296</v>
      </c>
      <c r="L2989">
        <f t="shared" si="277"/>
        <v>17.575330297408222</v>
      </c>
      <c r="M2989">
        <v>11858</v>
      </c>
      <c r="N2989" s="2">
        <f t="shared" si="282"/>
        <v>210.90396356889866</v>
      </c>
      <c r="O2989">
        <v>12</v>
      </c>
    </row>
    <row r="2990" spans="1:15" x14ac:dyDescent="0.25">
      <c r="A2990" t="s">
        <v>46</v>
      </c>
      <c r="B2990" t="s">
        <v>16</v>
      </c>
      <c r="C2990" t="s">
        <v>41</v>
      </c>
      <c r="D2990" t="str">
        <f t="shared" si="278"/>
        <v>FAB3_1L  Ent Entera</v>
      </c>
      <c r="E2990">
        <v>2022</v>
      </c>
      <c r="F2990">
        <v>3</v>
      </c>
      <c r="G2990">
        <f t="shared" si="279"/>
        <v>1</v>
      </c>
      <c r="H2990" s="1">
        <f t="shared" si="280"/>
        <v>44578</v>
      </c>
      <c r="I2990" s="1">
        <f t="shared" si="281"/>
        <v>44562</v>
      </c>
      <c r="J2990">
        <v>1247273.76</v>
      </c>
      <c r="K2990">
        <v>63972</v>
      </c>
      <c r="L2990">
        <f t="shared" si="277"/>
        <v>19.497182517351341</v>
      </c>
      <c r="M2990">
        <v>5331</v>
      </c>
      <c r="N2990" s="2">
        <f t="shared" si="282"/>
        <v>233.96619020821609</v>
      </c>
      <c r="O2990">
        <v>12</v>
      </c>
    </row>
    <row r="2991" spans="1:15" x14ac:dyDescent="0.25">
      <c r="A2991" t="s">
        <v>46</v>
      </c>
      <c r="B2991" t="s">
        <v>16</v>
      </c>
      <c r="C2991" t="s">
        <v>41</v>
      </c>
      <c r="D2991" t="str">
        <f t="shared" si="278"/>
        <v>FAB3_1L  Ent Entera</v>
      </c>
      <c r="E2991">
        <v>2022</v>
      </c>
      <c r="F2991">
        <v>4</v>
      </c>
      <c r="G2991">
        <f t="shared" si="279"/>
        <v>1</v>
      </c>
      <c r="H2991" s="1">
        <f t="shared" si="280"/>
        <v>44585</v>
      </c>
      <c r="I2991" s="1">
        <f t="shared" si="281"/>
        <v>44562</v>
      </c>
      <c r="J2991">
        <v>1228070.8</v>
      </c>
      <c r="K2991">
        <v>62772</v>
      </c>
      <c r="L2991">
        <f t="shared" si="277"/>
        <v>19.563990314152807</v>
      </c>
      <c r="M2991">
        <v>5231</v>
      </c>
      <c r="N2991" s="2">
        <f t="shared" si="282"/>
        <v>234.7678837698337</v>
      </c>
      <c r="O2991">
        <v>12</v>
      </c>
    </row>
    <row r="2992" spans="1:15" x14ac:dyDescent="0.25">
      <c r="A2992" t="s">
        <v>46</v>
      </c>
      <c r="B2992" t="s">
        <v>16</v>
      </c>
      <c r="C2992" t="s">
        <v>41</v>
      </c>
      <c r="D2992" t="str">
        <f t="shared" si="278"/>
        <v>FAB3_1L  Ent Entera</v>
      </c>
      <c r="E2992">
        <v>2022</v>
      </c>
      <c r="F2992">
        <v>5</v>
      </c>
      <c r="G2992">
        <f t="shared" si="279"/>
        <v>2</v>
      </c>
      <c r="H2992" s="1">
        <f t="shared" si="280"/>
        <v>44592</v>
      </c>
      <c r="I2992" s="1">
        <f t="shared" si="281"/>
        <v>44593</v>
      </c>
      <c r="J2992">
        <v>3176293.9</v>
      </c>
      <c r="K2992">
        <v>172344</v>
      </c>
      <c r="L2992">
        <f t="shared" si="277"/>
        <v>18.42996506986028</v>
      </c>
      <c r="M2992">
        <v>14362</v>
      </c>
      <c r="N2992" s="2">
        <f t="shared" si="282"/>
        <v>221.15958083832334</v>
      </c>
      <c r="O2992">
        <v>12</v>
      </c>
    </row>
    <row r="2993" spans="1:15" x14ac:dyDescent="0.25">
      <c r="A2993" t="s">
        <v>46</v>
      </c>
      <c r="B2993" t="s">
        <v>16</v>
      </c>
      <c r="C2993" t="s">
        <v>41</v>
      </c>
      <c r="D2993" t="str">
        <f t="shared" si="278"/>
        <v>FAB3_1L  Ent Entera</v>
      </c>
      <c r="E2993">
        <v>2022</v>
      </c>
      <c r="F2993">
        <v>6</v>
      </c>
      <c r="G2993">
        <f t="shared" si="279"/>
        <v>2</v>
      </c>
      <c r="H2993" s="1">
        <f t="shared" si="280"/>
        <v>44599</v>
      </c>
      <c r="I2993" s="1">
        <f t="shared" si="281"/>
        <v>44593</v>
      </c>
      <c r="J2993">
        <v>2002894.3699999996</v>
      </c>
      <c r="K2993">
        <v>103824</v>
      </c>
      <c r="L2993">
        <f t="shared" si="277"/>
        <v>19.291246436276772</v>
      </c>
      <c r="M2993">
        <v>8652</v>
      </c>
      <c r="N2993" s="2">
        <f t="shared" si="282"/>
        <v>231.49495723532127</v>
      </c>
      <c r="O2993">
        <v>12</v>
      </c>
    </row>
    <row r="2994" spans="1:15" x14ac:dyDescent="0.25">
      <c r="A2994" t="s">
        <v>46</v>
      </c>
      <c r="B2994" t="s">
        <v>16</v>
      </c>
      <c r="C2994" t="s">
        <v>41</v>
      </c>
      <c r="D2994" t="str">
        <f t="shared" si="278"/>
        <v>FAB3_1L  Ent Entera</v>
      </c>
      <c r="E2994">
        <v>2022</v>
      </c>
      <c r="F2994">
        <v>7</v>
      </c>
      <c r="G2994">
        <f t="shared" si="279"/>
        <v>2</v>
      </c>
      <c r="H2994" s="1">
        <f t="shared" si="280"/>
        <v>44606</v>
      </c>
      <c r="I2994" s="1">
        <f t="shared" si="281"/>
        <v>44593</v>
      </c>
      <c r="J2994">
        <v>3174282.5899999994</v>
      </c>
      <c r="K2994">
        <v>162096</v>
      </c>
      <c r="L2994">
        <f t="shared" si="277"/>
        <v>19.582732393149733</v>
      </c>
      <c r="M2994">
        <v>13508</v>
      </c>
      <c r="N2994" s="2">
        <f t="shared" si="282"/>
        <v>234.99278871779683</v>
      </c>
      <c r="O2994">
        <v>12</v>
      </c>
    </row>
    <row r="2995" spans="1:15" x14ac:dyDescent="0.25">
      <c r="A2995" t="s">
        <v>46</v>
      </c>
      <c r="B2995" t="s">
        <v>16</v>
      </c>
      <c r="C2995" t="s">
        <v>41</v>
      </c>
      <c r="D2995" t="str">
        <f t="shared" si="278"/>
        <v>FAB3_1L  Ent Entera</v>
      </c>
      <c r="E2995">
        <v>2022</v>
      </c>
      <c r="F2995">
        <v>8</v>
      </c>
      <c r="G2995">
        <f t="shared" si="279"/>
        <v>2</v>
      </c>
      <c r="H2995" s="1">
        <f t="shared" si="280"/>
        <v>44613</v>
      </c>
      <c r="I2995" s="1">
        <f t="shared" si="281"/>
        <v>44593</v>
      </c>
      <c r="J2995">
        <v>2431312.08</v>
      </c>
      <c r="K2995">
        <v>129672</v>
      </c>
      <c r="L2995">
        <f t="shared" si="277"/>
        <v>18.74970756986859</v>
      </c>
      <c r="M2995">
        <v>10806</v>
      </c>
      <c r="N2995" s="2">
        <f t="shared" si="282"/>
        <v>224.99649083842311</v>
      </c>
      <c r="O2995">
        <v>12</v>
      </c>
    </row>
    <row r="2996" spans="1:15" x14ac:dyDescent="0.25">
      <c r="A2996" t="s">
        <v>46</v>
      </c>
      <c r="B2996" t="s">
        <v>16</v>
      </c>
      <c r="C2996" t="s">
        <v>41</v>
      </c>
      <c r="D2996" t="str">
        <f t="shared" si="278"/>
        <v>FAB3_1L  Ent Entera</v>
      </c>
      <c r="E2996">
        <v>2022</v>
      </c>
      <c r="F2996">
        <v>9</v>
      </c>
      <c r="G2996">
        <f t="shared" si="279"/>
        <v>3</v>
      </c>
      <c r="H2996" s="1">
        <f t="shared" si="280"/>
        <v>44620</v>
      </c>
      <c r="I2996" s="1">
        <f t="shared" si="281"/>
        <v>44621</v>
      </c>
      <c r="J2996">
        <v>3624204.8900000029</v>
      </c>
      <c r="K2996">
        <v>207120</v>
      </c>
      <c r="L2996">
        <f t="shared" si="277"/>
        <v>17.498092361915813</v>
      </c>
      <c r="M2996">
        <v>17260</v>
      </c>
      <c r="N2996" s="2">
        <f t="shared" si="282"/>
        <v>209.97710834298974</v>
      </c>
      <c r="O2996">
        <v>12</v>
      </c>
    </row>
    <row r="2997" spans="1:15" x14ac:dyDescent="0.25">
      <c r="A2997" t="s">
        <v>46</v>
      </c>
      <c r="B2997" t="s">
        <v>16</v>
      </c>
      <c r="C2997" t="s">
        <v>41</v>
      </c>
      <c r="D2997" t="str">
        <f t="shared" si="278"/>
        <v>FAB3_1L  Ent Entera</v>
      </c>
      <c r="E2997">
        <v>2022</v>
      </c>
      <c r="F2997">
        <v>10</v>
      </c>
      <c r="G2997">
        <f t="shared" si="279"/>
        <v>3</v>
      </c>
      <c r="H2997" s="1">
        <f t="shared" si="280"/>
        <v>44627</v>
      </c>
      <c r="I2997" s="1">
        <f t="shared" si="281"/>
        <v>44621</v>
      </c>
      <c r="J2997">
        <v>2297401.7300000009</v>
      </c>
      <c r="K2997">
        <v>131256</v>
      </c>
      <c r="L2997">
        <f t="shared" si="277"/>
        <v>17.503213034070832</v>
      </c>
      <c r="M2997">
        <v>10938</v>
      </c>
      <c r="N2997" s="2">
        <f t="shared" si="282"/>
        <v>210.03855640884996</v>
      </c>
      <c r="O2997">
        <v>12</v>
      </c>
    </row>
    <row r="2998" spans="1:15" x14ac:dyDescent="0.25">
      <c r="A2998" t="s">
        <v>46</v>
      </c>
      <c r="B2998" t="s">
        <v>16</v>
      </c>
      <c r="C2998" t="s">
        <v>41</v>
      </c>
      <c r="D2998" t="str">
        <f t="shared" si="278"/>
        <v>FAB3_1L  Ent Entera</v>
      </c>
      <c r="E2998">
        <v>2022</v>
      </c>
      <c r="F2998">
        <v>11</v>
      </c>
      <c r="G2998">
        <f t="shared" si="279"/>
        <v>3</v>
      </c>
      <c r="H2998" s="1">
        <f t="shared" si="280"/>
        <v>44634</v>
      </c>
      <c r="I2998" s="1">
        <f t="shared" si="281"/>
        <v>44621</v>
      </c>
      <c r="J2998">
        <v>3538260.3200000031</v>
      </c>
      <c r="K2998">
        <v>197004</v>
      </c>
      <c r="L2998">
        <f t="shared" si="277"/>
        <v>17.9603476071552</v>
      </c>
      <c r="M2998">
        <v>16417</v>
      </c>
      <c r="N2998" s="2">
        <f t="shared" si="282"/>
        <v>215.52417128586239</v>
      </c>
      <c r="O2998">
        <v>12</v>
      </c>
    </row>
    <row r="2999" spans="1:15" x14ac:dyDescent="0.25">
      <c r="A2999" t="s">
        <v>46</v>
      </c>
      <c r="B2999" t="s">
        <v>16</v>
      </c>
      <c r="C2999" t="s">
        <v>41</v>
      </c>
      <c r="D2999" t="str">
        <f t="shared" si="278"/>
        <v>FAB3_1L  Ent Entera</v>
      </c>
      <c r="E2999">
        <v>2022</v>
      </c>
      <c r="F2999">
        <v>12</v>
      </c>
      <c r="G2999">
        <f t="shared" si="279"/>
        <v>3</v>
      </c>
      <c r="H2999" s="1">
        <f t="shared" si="280"/>
        <v>44641</v>
      </c>
      <c r="I2999" s="1">
        <f t="shared" si="281"/>
        <v>44621</v>
      </c>
      <c r="J2999">
        <v>1748449.5599999989</v>
      </c>
      <c r="K2999">
        <v>89256</v>
      </c>
      <c r="L2999">
        <f t="shared" si="277"/>
        <v>19.589154342565195</v>
      </c>
      <c r="M2999">
        <v>7438</v>
      </c>
      <c r="N2999" s="2">
        <f t="shared" si="282"/>
        <v>235.06985211078231</v>
      </c>
      <c r="O2999">
        <v>12</v>
      </c>
    </row>
    <row r="3000" spans="1:15" x14ac:dyDescent="0.25">
      <c r="A3000" t="s">
        <v>46</v>
      </c>
      <c r="B3000" t="s">
        <v>16</v>
      </c>
      <c r="C3000" t="s">
        <v>41</v>
      </c>
      <c r="D3000" t="str">
        <f t="shared" si="278"/>
        <v>FAB3_1L  Ent Entera</v>
      </c>
      <c r="E3000">
        <v>2022</v>
      </c>
      <c r="F3000">
        <v>13</v>
      </c>
      <c r="G3000">
        <f t="shared" si="279"/>
        <v>3</v>
      </c>
      <c r="H3000" s="1">
        <f t="shared" si="280"/>
        <v>44648</v>
      </c>
      <c r="I3000" s="1">
        <f t="shared" si="281"/>
        <v>44621</v>
      </c>
      <c r="J3000">
        <v>1966975.5399999975</v>
      </c>
      <c r="K3000">
        <v>100416</v>
      </c>
      <c r="L3000">
        <f t="shared" si="277"/>
        <v>19.588268204270211</v>
      </c>
      <c r="M3000">
        <v>8368</v>
      </c>
      <c r="N3000" s="2">
        <f t="shared" si="282"/>
        <v>235.05921845124251</v>
      </c>
      <c r="O3000">
        <v>12</v>
      </c>
    </row>
    <row r="3001" spans="1:15" x14ac:dyDescent="0.25">
      <c r="A3001" t="s">
        <v>46</v>
      </c>
      <c r="B3001" t="s">
        <v>16</v>
      </c>
      <c r="C3001" t="s">
        <v>41</v>
      </c>
      <c r="D3001" t="str">
        <f t="shared" si="278"/>
        <v>FAB3_1L  Ent Entera</v>
      </c>
      <c r="E3001">
        <v>2022</v>
      </c>
      <c r="F3001">
        <v>14</v>
      </c>
      <c r="G3001">
        <f t="shared" si="279"/>
        <v>4</v>
      </c>
      <c r="H3001" s="1">
        <f t="shared" si="280"/>
        <v>44655</v>
      </c>
      <c r="I3001" s="1">
        <f t="shared" si="281"/>
        <v>44652</v>
      </c>
      <c r="J3001">
        <v>2159419.6000000006</v>
      </c>
      <c r="K3001">
        <v>111780</v>
      </c>
      <c r="L3001">
        <f t="shared" si="277"/>
        <v>19.318479155483992</v>
      </c>
      <c r="M3001">
        <v>9315</v>
      </c>
      <c r="N3001" s="2">
        <f t="shared" si="282"/>
        <v>231.8217498658079</v>
      </c>
      <c r="O3001">
        <v>12</v>
      </c>
    </row>
    <row r="3002" spans="1:15" x14ac:dyDescent="0.25">
      <c r="A3002" t="s">
        <v>46</v>
      </c>
      <c r="B3002" t="s">
        <v>16</v>
      </c>
      <c r="C3002" t="s">
        <v>41</v>
      </c>
      <c r="D3002" t="str">
        <f t="shared" si="278"/>
        <v>FAB3_1L  Ent Entera</v>
      </c>
      <c r="E3002">
        <v>2022</v>
      </c>
      <c r="F3002">
        <v>15</v>
      </c>
      <c r="G3002">
        <f t="shared" si="279"/>
        <v>4</v>
      </c>
      <c r="H3002" s="1">
        <f t="shared" si="280"/>
        <v>44662</v>
      </c>
      <c r="I3002" s="1">
        <f t="shared" si="281"/>
        <v>44652</v>
      </c>
      <c r="J3002">
        <v>1767424.6999999979</v>
      </c>
      <c r="K3002">
        <v>91248</v>
      </c>
      <c r="L3002">
        <f t="shared" si="277"/>
        <v>19.369462344380128</v>
      </c>
      <c r="M3002">
        <v>7604</v>
      </c>
      <c r="N3002" s="2">
        <f t="shared" si="282"/>
        <v>232.43354813256153</v>
      </c>
      <c r="O3002">
        <v>12</v>
      </c>
    </row>
    <row r="3003" spans="1:15" x14ac:dyDescent="0.25">
      <c r="A3003" t="s">
        <v>46</v>
      </c>
      <c r="B3003" t="s">
        <v>16</v>
      </c>
      <c r="C3003" t="s">
        <v>41</v>
      </c>
      <c r="D3003" t="str">
        <f t="shared" si="278"/>
        <v>FAB3_1L  Ent Entera</v>
      </c>
      <c r="E3003">
        <v>2022</v>
      </c>
      <c r="F3003">
        <v>16</v>
      </c>
      <c r="G3003">
        <f t="shared" si="279"/>
        <v>4</v>
      </c>
      <c r="H3003" s="1">
        <f t="shared" si="280"/>
        <v>44669</v>
      </c>
      <c r="I3003" s="1">
        <f t="shared" si="281"/>
        <v>44652</v>
      </c>
      <c r="J3003">
        <v>2862762.4999999963</v>
      </c>
      <c r="K3003">
        <v>151224</v>
      </c>
      <c r="L3003">
        <f t="shared" si="277"/>
        <v>18.930609559329181</v>
      </c>
      <c r="M3003">
        <v>12602</v>
      </c>
      <c r="N3003" s="2">
        <f t="shared" si="282"/>
        <v>227.16731471195018</v>
      </c>
      <c r="O3003">
        <v>12</v>
      </c>
    </row>
    <row r="3004" spans="1:15" x14ac:dyDescent="0.25">
      <c r="A3004" t="s">
        <v>46</v>
      </c>
      <c r="B3004" t="s">
        <v>16</v>
      </c>
      <c r="C3004" t="s">
        <v>41</v>
      </c>
      <c r="D3004" t="str">
        <f t="shared" si="278"/>
        <v>FAB3_1L  Ent Entera</v>
      </c>
      <c r="E3004">
        <v>2022</v>
      </c>
      <c r="F3004">
        <v>17</v>
      </c>
      <c r="G3004">
        <f t="shared" si="279"/>
        <v>4</v>
      </c>
      <c r="H3004" s="1">
        <f t="shared" si="280"/>
        <v>44676</v>
      </c>
      <c r="I3004" s="1">
        <f t="shared" si="281"/>
        <v>44652</v>
      </c>
      <c r="J3004">
        <v>1840157.1799999983</v>
      </c>
      <c r="K3004">
        <v>94452</v>
      </c>
      <c r="L3004">
        <f t="shared" si="277"/>
        <v>19.482458603311716</v>
      </c>
      <c r="M3004">
        <v>7871</v>
      </c>
      <c r="N3004" s="2">
        <f t="shared" si="282"/>
        <v>233.78950323974061</v>
      </c>
      <c r="O3004">
        <v>12</v>
      </c>
    </row>
    <row r="3005" spans="1:15" x14ac:dyDescent="0.25">
      <c r="A3005" t="s">
        <v>46</v>
      </c>
      <c r="B3005" t="s">
        <v>16</v>
      </c>
      <c r="C3005" t="s">
        <v>41</v>
      </c>
      <c r="D3005" t="str">
        <f t="shared" si="278"/>
        <v>FAB3_1L  Ent Entera</v>
      </c>
      <c r="E3005">
        <v>2022</v>
      </c>
      <c r="F3005">
        <v>18</v>
      </c>
      <c r="G3005">
        <f t="shared" si="279"/>
        <v>5</v>
      </c>
      <c r="H3005" s="1">
        <f t="shared" si="280"/>
        <v>44683</v>
      </c>
      <c r="I3005" s="1">
        <f t="shared" si="281"/>
        <v>44682</v>
      </c>
      <c r="J3005">
        <v>2404796.2099999976</v>
      </c>
      <c r="K3005">
        <v>124020</v>
      </c>
      <c r="L3005">
        <f t="shared" si="277"/>
        <v>19.390390340267679</v>
      </c>
      <c r="M3005">
        <v>10335</v>
      </c>
      <c r="N3005" s="2">
        <f t="shared" si="282"/>
        <v>232.68468408321215</v>
      </c>
      <c r="O3005">
        <v>12</v>
      </c>
    </row>
    <row r="3006" spans="1:15" x14ac:dyDescent="0.25">
      <c r="A3006" t="s">
        <v>46</v>
      </c>
      <c r="B3006" t="s">
        <v>16</v>
      </c>
      <c r="C3006" t="s">
        <v>41</v>
      </c>
      <c r="D3006" t="str">
        <f t="shared" si="278"/>
        <v>FAB3_1L  Ent Entera</v>
      </c>
      <c r="E3006">
        <v>2022</v>
      </c>
      <c r="F3006">
        <v>19</v>
      </c>
      <c r="G3006">
        <f t="shared" si="279"/>
        <v>5</v>
      </c>
      <c r="H3006" s="1">
        <f t="shared" si="280"/>
        <v>44690</v>
      </c>
      <c r="I3006" s="1">
        <f t="shared" si="281"/>
        <v>44682</v>
      </c>
      <c r="J3006">
        <v>1647624.79</v>
      </c>
      <c r="K3006">
        <v>84768</v>
      </c>
      <c r="L3006">
        <f t="shared" ref="L3006:L3069" si="283">J3006/(M3006*O3006)</f>
        <v>19.436872286711967</v>
      </c>
      <c r="M3006">
        <v>7064</v>
      </c>
      <c r="N3006" s="2">
        <f t="shared" si="282"/>
        <v>233.24246744054361</v>
      </c>
      <c r="O3006">
        <v>12</v>
      </c>
    </row>
    <row r="3007" spans="1:15" x14ac:dyDescent="0.25">
      <c r="A3007" t="s">
        <v>46</v>
      </c>
      <c r="B3007" t="s">
        <v>16</v>
      </c>
      <c r="C3007" t="s">
        <v>41</v>
      </c>
      <c r="D3007" t="str">
        <f t="shared" si="278"/>
        <v>FAB3_1L  Ent Entera</v>
      </c>
      <c r="E3007">
        <v>2022</v>
      </c>
      <c r="F3007">
        <v>20</v>
      </c>
      <c r="G3007">
        <f t="shared" si="279"/>
        <v>5</v>
      </c>
      <c r="H3007" s="1">
        <f t="shared" si="280"/>
        <v>44697</v>
      </c>
      <c r="I3007" s="1">
        <f t="shared" si="281"/>
        <v>44682</v>
      </c>
      <c r="J3007">
        <v>2335789.8799999966</v>
      </c>
      <c r="K3007">
        <v>122400</v>
      </c>
      <c r="L3007">
        <f t="shared" si="283"/>
        <v>19.083250653594742</v>
      </c>
      <c r="M3007">
        <v>10200</v>
      </c>
      <c r="N3007" s="2">
        <f t="shared" si="282"/>
        <v>228.99900784313692</v>
      </c>
      <c r="O3007">
        <v>12</v>
      </c>
    </row>
    <row r="3008" spans="1:15" x14ac:dyDescent="0.25">
      <c r="A3008" t="s">
        <v>46</v>
      </c>
      <c r="B3008" t="s">
        <v>16</v>
      </c>
      <c r="C3008" t="s">
        <v>41</v>
      </c>
      <c r="D3008" t="str">
        <f t="shared" si="278"/>
        <v>FAB3_1L  Ent Entera</v>
      </c>
      <c r="E3008">
        <v>2022</v>
      </c>
      <c r="F3008">
        <v>21</v>
      </c>
      <c r="G3008">
        <f t="shared" si="279"/>
        <v>5</v>
      </c>
      <c r="H3008" s="1">
        <f t="shared" si="280"/>
        <v>44704</v>
      </c>
      <c r="I3008" s="1">
        <f t="shared" si="281"/>
        <v>44682</v>
      </c>
      <c r="J3008">
        <v>1873778.969999999</v>
      </c>
      <c r="K3008">
        <v>98220</v>
      </c>
      <c r="L3008">
        <f t="shared" si="283"/>
        <v>19.07736682956627</v>
      </c>
      <c r="M3008">
        <v>8185</v>
      </c>
      <c r="N3008" s="2">
        <f t="shared" si="282"/>
        <v>228.92840195479525</v>
      </c>
      <c r="O3008">
        <v>12</v>
      </c>
    </row>
    <row r="3009" spans="1:15" x14ac:dyDescent="0.25">
      <c r="A3009" t="s">
        <v>46</v>
      </c>
      <c r="B3009" t="s">
        <v>16</v>
      </c>
      <c r="C3009" t="s">
        <v>41</v>
      </c>
      <c r="D3009" t="str">
        <f t="shared" si="278"/>
        <v>FAB3_1L  Ent Entera</v>
      </c>
      <c r="E3009">
        <v>2022</v>
      </c>
      <c r="F3009">
        <v>22</v>
      </c>
      <c r="G3009">
        <f t="shared" si="279"/>
        <v>6</v>
      </c>
      <c r="H3009" s="1">
        <f t="shared" si="280"/>
        <v>44711</v>
      </c>
      <c r="I3009" s="1">
        <f t="shared" si="281"/>
        <v>44713</v>
      </c>
      <c r="J3009">
        <v>2606176.7599999974</v>
      </c>
      <c r="K3009">
        <v>139896</v>
      </c>
      <c r="L3009">
        <f t="shared" si="283"/>
        <v>18.629387259106746</v>
      </c>
      <c r="M3009">
        <v>11658</v>
      </c>
      <c r="N3009" s="2">
        <f t="shared" si="282"/>
        <v>223.55264710928097</v>
      </c>
      <c r="O3009">
        <v>12</v>
      </c>
    </row>
    <row r="3010" spans="1:15" x14ac:dyDescent="0.25">
      <c r="A3010" t="s">
        <v>46</v>
      </c>
      <c r="B3010" t="s">
        <v>16</v>
      </c>
      <c r="C3010" t="s">
        <v>41</v>
      </c>
      <c r="D3010" t="str">
        <f t="shared" si="278"/>
        <v>FAB3_1L  Ent Entera</v>
      </c>
      <c r="E3010">
        <v>2022</v>
      </c>
      <c r="F3010">
        <v>23</v>
      </c>
      <c r="G3010">
        <f t="shared" si="279"/>
        <v>6</v>
      </c>
      <c r="H3010" s="1">
        <f t="shared" si="280"/>
        <v>44718</v>
      </c>
      <c r="I3010" s="1">
        <f t="shared" si="281"/>
        <v>44713</v>
      </c>
      <c r="J3010">
        <v>1856533.3900000001</v>
      </c>
      <c r="K3010">
        <v>98880</v>
      </c>
      <c r="L3010">
        <f t="shared" si="283"/>
        <v>18.775620853559872</v>
      </c>
      <c r="M3010">
        <v>8240</v>
      </c>
      <c r="N3010" s="2">
        <f t="shared" si="282"/>
        <v>225.30745024271846</v>
      </c>
      <c r="O3010">
        <v>12</v>
      </c>
    </row>
    <row r="3011" spans="1:15" x14ac:dyDescent="0.25">
      <c r="A3011" t="s">
        <v>46</v>
      </c>
      <c r="B3011" t="s">
        <v>16</v>
      </c>
      <c r="C3011" t="s">
        <v>41</v>
      </c>
      <c r="D3011" t="str">
        <f t="shared" ref="D3011:D3074" si="284">B3011&amp;"_"&amp;C3011</f>
        <v>FAB3_1L  Ent Entera</v>
      </c>
      <c r="E3011">
        <v>2022</v>
      </c>
      <c r="F3011">
        <v>24</v>
      </c>
      <c r="G3011">
        <f t="shared" ref="G3011:G3074" si="285">MONTH(DATE(E3011,1,4)+(F3011-1)*7-WEEKDAY(DATE(E3011,1,4),2)+4)</f>
        <v>6</v>
      </c>
      <c r="H3011" s="1">
        <f t="shared" ref="H3011:H3074" si="286">DATE(E3011,1,-2)-WEEKDAY(DATE(E3011,1,3))+F3011*7</f>
        <v>44725</v>
      </c>
      <c r="I3011" s="1">
        <f t="shared" ref="I3011:I3074" si="287">DATE(E3011,G3011,1)</f>
        <v>44713</v>
      </c>
      <c r="J3011">
        <v>2787513.739999997</v>
      </c>
      <c r="K3011">
        <v>147408</v>
      </c>
      <c r="L3011">
        <f t="shared" si="283"/>
        <v>18.91019306957558</v>
      </c>
      <c r="M3011">
        <v>12284</v>
      </c>
      <c r="N3011" s="2">
        <f t="shared" ref="N3011:N3074" si="288">J3011/M3011</f>
        <v>226.92231683490695</v>
      </c>
      <c r="O3011">
        <v>12</v>
      </c>
    </row>
    <row r="3012" spans="1:15" x14ac:dyDescent="0.25">
      <c r="A3012" t="s">
        <v>46</v>
      </c>
      <c r="B3012" t="s">
        <v>16</v>
      </c>
      <c r="C3012" t="s">
        <v>41</v>
      </c>
      <c r="D3012" t="str">
        <f t="shared" si="284"/>
        <v>FAB3_1L  Ent Entera</v>
      </c>
      <c r="E3012">
        <v>2022</v>
      </c>
      <c r="F3012">
        <v>25</v>
      </c>
      <c r="G3012">
        <f t="shared" si="285"/>
        <v>6</v>
      </c>
      <c r="H3012" s="1">
        <f t="shared" si="286"/>
        <v>44732</v>
      </c>
      <c r="I3012" s="1">
        <f t="shared" si="287"/>
        <v>44713</v>
      </c>
      <c r="J3012">
        <v>1805869.9799999984</v>
      </c>
      <c r="K3012">
        <v>94248</v>
      </c>
      <c r="L3012">
        <f t="shared" si="283"/>
        <v>19.160830786860181</v>
      </c>
      <c r="M3012">
        <v>7854</v>
      </c>
      <c r="N3012" s="2">
        <f t="shared" si="288"/>
        <v>229.92996944232218</v>
      </c>
      <c r="O3012">
        <v>12</v>
      </c>
    </row>
    <row r="3013" spans="1:15" x14ac:dyDescent="0.25">
      <c r="A3013" t="s">
        <v>46</v>
      </c>
      <c r="B3013" t="s">
        <v>16</v>
      </c>
      <c r="C3013" t="s">
        <v>41</v>
      </c>
      <c r="D3013" t="str">
        <f t="shared" si="284"/>
        <v>FAB3_1L  Ent Entera</v>
      </c>
      <c r="E3013">
        <v>2022</v>
      </c>
      <c r="F3013">
        <v>26</v>
      </c>
      <c r="G3013">
        <f t="shared" si="285"/>
        <v>6</v>
      </c>
      <c r="H3013" s="1">
        <f t="shared" si="286"/>
        <v>44739</v>
      </c>
      <c r="I3013" s="1">
        <f t="shared" si="287"/>
        <v>44713</v>
      </c>
      <c r="J3013">
        <v>1693317.7599999981</v>
      </c>
      <c r="K3013">
        <v>87468</v>
      </c>
      <c r="L3013">
        <f t="shared" si="283"/>
        <v>19.359282937760074</v>
      </c>
      <c r="M3013">
        <v>7289</v>
      </c>
      <c r="N3013" s="2">
        <f t="shared" si="288"/>
        <v>232.31139525312088</v>
      </c>
      <c r="O3013">
        <v>12</v>
      </c>
    </row>
    <row r="3014" spans="1:15" x14ac:dyDescent="0.25">
      <c r="A3014" t="s">
        <v>46</v>
      </c>
      <c r="B3014" t="s">
        <v>16</v>
      </c>
      <c r="C3014" t="s">
        <v>41</v>
      </c>
      <c r="D3014" t="str">
        <f t="shared" si="284"/>
        <v>FAB3_1L  Ent Entera</v>
      </c>
      <c r="E3014">
        <v>2022</v>
      </c>
      <c r="F3014">
        <v>27</v>
      </c>
      <c r="G3014">
        <f t="shared" si="285"/>
        <v>7</v>
      </c>
      <c r="H3014" s="1">
        <f t="shared" si="286"/>
        <v>44746</v>
      </c>
      <c r="I3014" s="1">
        <f t="shared" si="287"/>
        <v>44743</v>
      </c>
      <c r="J3014">
        <v>1853459.7</v>
      </c>
      <c r="K3014">
        <v>94632</v>
      </c>
      <c r="L3014">
        <f t="shared" si="283"/>
        <v>19.585971975653056</v>
      </c>
      <c r="M3014">
        <v>7886</v>
      </c>
      <c r="N3014" s="2">
        <f t="shared" si="288"/>
        <v>235.03166370783666</v>
      </c>
      <c r="O3014">
        <v>12</v>
      </c>
    </row>
    <row r="3015" spans="1:15" x14ac:dyDescent="0.25">
      <c r="A3015" t="s">
        <v>46</v>
      </c>
      <c r="B3015" t="s">
        <v>16</v>
      </c>
      <c r="C3015" t="s">
        <v>41</v>
      </c>
      <c r="D3015" t="str">
        <f t="shared" si="284"/>
        <v>FAB3_1L  Ent Entera</v>
      </c>
      <c r="E3015">
        <v>2022</v>
      </c>
      <c r="F3015">
        <v>28</v>
      </c>
      <c r="G3015">
        <f t="shared" si="285"/>
        <v>7</v>
      </c>
      <c r="H3015" s="1">
        <f t="shared" si="286"/>
        <v>44753</v>
      </c>
      <c r="I3015" s="1">
        <f t="shared" si="287"/>
        <v>44743</v>
      </c>
      <c r="J3015">
        <v>2271478.7699999972</v>
      </c>
      <c r="K3015">
        <v>118632</v>
      </c>
      <c r="L3015">
        <f t="shared" si="283"/>
        <v>19.147268612178816</v>
      </c>
      <c r="M3015">
        <v>9886</v>
      </c>
      <c r="N3015" s="2">
        <f t="shared" si="288"/>
        <v>229.76722334614578</v>
      </c>
      <c r="O3015">
        <v>12</v>
      </c>
    </row>
    <row r="3016" spans="1:15" x14ac:dyDescent="0.25">
      <c r="A3016" t="s">
        <v>46</v>
      </c>
      <c r="B3016" t="s">
        <v>16</v>
      </c>
      <c r="C3016" t="s">
        <v>41</v>
      </c>
      <c r="D3016" t="str">
        <f t="shared" si="284"/>
        <v>FAB3_1L  Ent Entera</v>
      </c>
      <c r="E3016">
        <v>2022</v>
      </c>
      <c r="F3016">
        <v>29</v>
      </c>
      <c r="G3016">
        <f t="shared" si="285"/>
        <v>7</v>
      </c>
      <c r="H3016" s="1">
        <f t="shared" si="286"/>
        <v>44760</v>
      </c>
      <c r="I3016" s="1">
        <f t="shared" si="287"/>
        <v>44743</v>
      </c>
      <c r="J3016">
        <v>2621118.2099999995</v>
      </c>
      <c r="K3016">
        <v>135408</v>
      </c>
      <c r="L3016">
        <f t="shared" si="283"/>
        <v>19.357188718539522</v>
      </c>
      <c r="M3016">
        <v>11284</v>
      </c>
      <c r="N3016" s="2">
        <f t="shared" si="288"/>
        <v>232.28626462247425</v>
      </c>
      <c r="O3016">
        <v>12</v>
      </c>
    </row>
    <row r="3017" spans="1:15" x14ac:dyDescent="0.25">
      <c r="A3017" t="s">
        <v>46</v>
      </c>
      <c r="B3017" t="s">
        <v>16</v>
      </c>
      <c r="C3017" t="s">
        <v>41</v>
      </c>
      <c r="D3017" t="str">
        <f t="shared" si="284"/>
        <v>FAB3_1L  Ent Entera</v>
      </c>
      <c r="E3017">
        <v>2022</v>
      </c>
      <c r="F3017">
        <v>30</v>
      </c>
      <c r="G3017">
        <f t="shared" si="285"/>
        <v>7</v>
      </c>
      <c r="H3017" s="1">
        <f t="shared" si="286"/>
        <v>44767</v>
      </c>
      <c r="I3017" s="1">
        <f t="shared" si="287"/>
        <v>44743</v>
      </c>
      <c r="J3017">
        <v>1866974.1599999985</v>
      </c>
      <c r="K3017">
        <v>95688</v>
      </c>
      <c r="L3017">
        <f t="shared" si="283"/>
        <v>19.511058439929755</v>
      </c>
      <c r="M3017">
        <v>7974</v>
      </c>
      <c r="N3017" s="2">
        <f t="shared" si="288"/>
        <v>234.13270127915709</v>
      </c>
      <c r="O3017">
        <v>12</v>
      </c>
    </row>
    <row r="3018" spans="1:15" x14ac:dyDescent="0.25">
      <c r="A3018" t="s">
        <v>46</v>
      </c>
      <c r="B3018" t="s">
        <v>16</v>
      </c>
      <c r="C3018" t="s">
        <v>41</v>
      </c>
      <c r="D3018" t="str">
        <f t="shared" si="284"/>
        <v>FAB3_1L  Ent Entera</v>
      </c>
      <c r="E3018">
        <v>2022</v>
      </c>
      <c r="F3018">
        <v>31</v>
      </c>
      <c r="G3018">
        <f t="shared" si="285"/>
        <v>8</v>
      </c>
      <c r="H3018" s="1">
        <f t="shared" si="286"/>
        <v>44774</v>
      </c>
      <c r="I3018" s="1">
        <f t="shared" si="287"/>
        <v>44774</v>
      </c>
      <c r="J3018">
        <v>2263290.9599999986</v>
      </c>
      <c r="K3018">
        <v>116412</v>
      </c>
      <c r="L3018">
        <f t="shared" si="283"/>
        <v>19.442076074631469</v>
      </c>
      <c r="M3018">
        <v>9701</v>
      </c>
      <c r="N3018" s="2">
        <f t="shared" si="288"/>
        <v>233.30491289557762</v>
      </c>
      <c r="O3018">
        <v>12</v>
      </c>
    </row>
    <row r="3019" spans="1:15" x14ac:dyDescent="0.25">
      <c r="A3019" t="s">
        <v>46</v>
      </c>
      <c r="B3019" t="s">
        <v>16</v>
      </c>
      <c r="C3019" t="s">
        <v>41</v>
      </c>
      <c r="D3019" t="str">
        <f t="shared" si="284"/>
        <v>FAB3_1L  Ent Entera</v>
      </c>
      <c r="E3019">
        <v>2022</v>
      </c>
      <c r="F3019">
        <v>32</v>
      </c>
      <c r="G3019">
        <f t="shared" si="285"/>
        <v>8</v>
      </c>
      <c r="H3019" s="1">
        <f t="shared" si="286"/>
        <v>44781</v>
      </c>
      <c r="I3019" s="1">
        <f t="shared" si="287"/>
        <v>44774</v>
      </c>
      <c r="J3019">
        <v>2937884.5900000054</v>
      </c>
      <c r="K3019">
        <v>160824</v>
      </c>
      <c r="L3019">
        <f t="shared" si="283"/>
        <v>18.267700032333515</v>
      </c>
      <c r="M3019">
        <v>13402</v>
      </c>
      <c r="N3019" s="2">
        <f t="shared" si="288"/>
        <v>219.21240038800221</v>
      </c>
      <c r="O3019">
        <v>12</v>
      </c>
    </row>
    <row r="3020" spans="1:15" x14ac:dyDescent="0.25">
      <c r="A3020" t="s">
        <v>46</v>
      </c>
      <c r="B3020" t="s">
        <v>16</v>
      </c>
      <c r="C3020" t="s">
        <v>41</v>
      </c>
      <c r="D3020" t="str">
        <f t="shared" si="284"/>
        <v>FAB3_1L  Ent Entera</v>
      </c>
      <c r="E3020">
        <v>2022</v>
      </c>
      <c r="F3020">
        <v>33</v>
      </c>
      <c r="G3020">
        <f t="shared" si="285"/>
        <v>8</v>
      </c>
      <c r="H3020" s="1">
        <f t="shared" si="286"/>
        <v>44788</v>
      </c>
      <c r="I3020" s="1">
        <f t="shared" si="287"/>
        <v>44774</v>
      </c>
      <c r="J3020">
        <v>2336671.2200000025</v>
      </c>
      <c r="K3020">
        <v>127440</v>
      </c>
      <c r="L3020">
        <f t="shared" si="283"/>
        <v>18.335461550533605</v>
      </c>
      <c r="M3020">
        <v>10620</v>
      </c>
      <c r="N3020" s="2">
        <f t="shared" si="288"/>
        <v>220.02553860640325</v>
      </c>
      <c r="O3020">
        <v>12</v>
      </c>
    </row>
    <row r="3021" spans="1:15" x14ac:dyDescent="0.25">
      <c r="A3021" t="s">
        <v>46</v>
      </c>
      <c r="B3021" t="s">
        <v>16</v>
      </c>
      <c r="C3021" t="s">
        <v>41</v>
      </c>
      <c r="D3021" t="str">
        <f t="shared" si="284"/>
        <v>FAB3_1L  Ent Entera</v>
      </c>
      <c r="E3021">
        <v>2022</v>
      </c>
      <c r="F3021">
        <v>34</v>
      </c>
      <c r="G3021">
        <f t="shared" si="285"/>
        <v>8</v>
      </c>
      <c r="H3021" s="1">
        <f t="shared" si="286"/>
        <v>44795</v>
      </c>
      <c r="I3021" s="1">
        <f t="shared" si="287"/>
        <v>44774</v>
      </c>
      <c r="J3021">
        <v>2819603.4200000041</v>
      </c>
      <c r="K3021">
        <v>152832</v>
      </c>
      <c r="L3021">
        <f t="shared" si="283"/>
        <v>18.449038290410414</v>
      </c>
      <c r="M3021">
        <v>12736</v>
      </c>
      <c r="N3021" s="2">
        <f t="shared" si="288"/>
        <v>221.38845948492494</v>
      </c>
      <c r="O3021">
        <v>12</v>
      </c>
    </row>
    <row r="3022" spans="1:15" x14ac:dyDescent="0.25">
      <c r="A3022" t="s">
        <v>46</v>
      </c>
      <c r="B3022" t="s">
        <v>16</v>
      </c>
      <c r="C3022" t="s">
        <v>41</v>
      </c>
      <c r="D3022" t="str">
        <f t="shared" si="284"/>
        <v>FAB3_1L  Ent Entera</v>
      </c>
      <c r="E3022">
        <v>2022</v>
      </c>
      <c r="F3022">
        <v>35</v>
      </c>
      <c r="G3022">
        <f t="shared" si="285"/>
        <v>9</v>
      </c>
      <c r="H3022" s="1">
        <f t="shared" si="286"/>
        <v>44802</v>
      </c>
      <c r="I3022" s="1">
        <f t="shared" si="287"/>
        <v>44805</v>
      </c>
      <c r="J3022">
        <v>1778120.2299999986</v>
      </c>
      <c r="K3022">
        <v>87156</v>
      </c>
      <c r="L3022">
        <f t="shared" si="283"/>
        <v>20.401581417228861</v>
      </c>
      <c r="M3022">
        <v>7263</v>
      </c>
      <c r="N3022" s="2">
        <f t="shared" si="288"/>
        <v>244.81897700674634</v>
      </c>
      <c r="O3022">
        <v>12</v>
      </c>
    </row>
    <row r="3023" spans="1:15" x14ac:dyDescent="0.25">
      <c r="A3023" t="s">
        <v>46</v>
      </c>
      <c r="B3023" t="s">
        <v>16</v>
      </c>
      <c r="C3023" t="s">
        <v>41</v>
      </c>
      <c r="D3023" t="str">
        <f t="shared" si="284"/>
        <v>FAB3_1L  Ent Entera</v>
      </c>
      <c r="E3023">
        <v>2022</v>
      </c>
      <c r="F3023">
        <v>36</v>
      </c>
      <c r="G3023">
        <f t="shared" si="285"/>
        <v>9</v>
      </c>
      <c r="H3023" s="1">
        <f t="shared" si="286"/>
        <v>44809</v>
      </c>
      <c r="I3023" s="1">
        <f t="shared" si="287"/>
        <v>44805</v>
      </c>
      <c r="J3023">
        <v>1851495.3900000006</v>
      </c>
      <c r="K3023">
        <v>93000</v>
      </c>
      <c r="L3023">
        <f t="shared" si="283"/>
        <v>19.908552580645168</v>
      </c>
      <c r="M3023">
        <v>7750</v>
      </c>
      <c r="N3023" s="2">
        <f t="shared" si="288"/>
        <v>238.902630967742</v>
      </c>
      <c r="O3023">
        <v>12</v>
      </c>
    </row>
    <row r="3024" spans="1:15" x14ac:dyDescent="0.25">
      <c r="A3024" t="s">
        <v>46</v>
      </c>
      <c r="B3024" t="s">
        <v>16</v>
      </c>
      <c r="C3024" t="s">
        <v>41</v>
      </c>
      <c r="D3024" t="str">
        <f t="shared" si="284"/>
        <v>FAB3_1L  Ent Entera</v>
      </c>
      <c r="E3024">
        <v>2022</v>
      </c>
      <c r="F3024">
        <v>37</v>
      </c>
      <c r="G3024">
        <f t="shared" si="285"/>
        <v>9</v>
      </c>
      <c r="H3024" s="1">
        <f t="shared" si="286"/>
        <v>44816</v>
      </c>
      <c r="I3024" s="1">
        <f t="shared" si="287"/>
        <v>44805</v>
      </c>
      <c r="J3024">
        <v>2280911.4499999997</v>
      </c>
      <c r="K3024">
        <v>116712</v>
      </c>
      <c r="L3024">
        <f t="shared" si="283"/>
        <v>19.543075690588797</v>
      </c>
      <c r="M3024">
        <v>9726</v>
      </c>
      <c r="N3024" s="2">
        <f t="shared" si="288"/>
        <v>234.51690828706558</v>
      </c>
      <c r="O3024">
        <v>12</v>
      </c>
    </row>
    <row r="3025" spans="1:15" x14ac:dyDescent="0.25">
      <c r="A3025" t="s">
        <v>46</v>
      </c>
      <c r="B3025" t="s">
        <v>16</v>
      </c>
      <c r="C3025" t="s">
        <v>41</v>
      </c>
      <c r="D3025" t="str">
        <f t="shared" si="284"/>
        <v>FAB3_1L  Ent Entera</v>
      </c>
      <c r="E3025">
        <v>2022</v>
      </c>
      <c r="F3025">
        <v>38</v>
      </c>
      <c r="G3025">
        <f t="shared" si="285"/>
        <v>9</v>
      </c>
      <c r="H3025" s="1">
        <f t="shared" si="286"/>
        <v>44823</v>
      </c>
      <c r="I3025" s="1">
        <f t="shared" si="287"/>
        <v>44805</v>
      </c>
      <c r="J3025">
        <v>1743494.7599999993</v>
      </c>
      <c r="K3025">
        <v>88284</v>
      </c>
      <c r="L3025">
        <f t="shared" si="283"/>
        <v>19.748705994291143</v>
      </c>
      <c r="M3025">
        <v>7357</v>
      </c>
      <c r="N3025" s="2">
        <f t="shared" si="288"/>
        <v>236.98447193149372</v>
      </c>
      <c r="O3025">
        <v>12</v>
      </c>
    </row>
    <row r="3026" spans="1:15" x14ac:dyDescent="0.25">
      <c r="A3026" t="s">
        <v>46</v>
      </c>
      <c r="B3026" t="s">
        <v>16</v>
      </c>
      <c r="C3026" t="s">
        <v>41</v>
      </c>
      <c r="D3026" t="str">
        <f t="shared" si="284"/>
        <v>FAB3_1L  Ent Entera</v>
      </c>
      <c r="E3026">
        <v>2022</v>
      </c>
      <c r="F3026">
        <v>39</v>
      </c>
      <c r="G3026">
        <f t="shared" si="285"/>
        <v>9</v>
      </c>
      <c r="H3026" s="1">
        <f t="shared" si="286"/>
        <v>44830</v>
      </c>
      <c r="I3026" s="1">
        <f t="shared" si="287"/>
        <v>44805</v>
      </c>
      <c r="J3026">
        <v>1573972.5699999991</v>
      </c>
      <c r="K3026">
        <v>77820</v>
      </c>
      <c r="L3026">
        <f t="shared" si="283"/>
        <v>20.225810460035969</v>
      </c>
      <c r="M3026">
        <v>6485</v>
      </c>
      <c r="N3026" s="2">
        <f t="shared" si="288"/>
        <v>242.70972552043162</v>
      </c>
      <c r="O3026">
        <v>12</v>
      </c>
    </row>
    <row r="3027" spans="1:15" x14ac:dyDescent="0.25">
      <c r="A3027" t="s">
        <v>46</v>
      </c>
      <c r="B3027" t="s">
        <v>16</v>
      </c>
      <c r="C3027" t="s">
        <v>41</v>
      </c>
      <c r="D3027" t="str">
        <f t="shared" si="284"/>
        <v>FAB3_1L  Ent Entera</v>
      </c>
      <c r="E3027">
        <v>2022</v>
      </c>
      <c r="F3027">
        <v>40</v>
      </c>
      <c r="G3027">
        <f t="shared" si="285"/>
        <v>10</v>
      </c>
      <c r="H3027" s="1">
        <f t="shared" si="286"/>
        <v>44837</v>
      </c>
      <c r="I3027" s="1">
        <f t="shared" si="287"/>
        <v>44835</v>
      </c>
      <c r="J3027">
        <v>2984949.4500000025</v>
      </c>
      <c r="K3027">
        <v>163152</v>
      </c>
      <c r="L3027">
        <f t="shared" si="283"/>
        <v>18.295512466902046</v>
      </c>
      <c r="M3027">
        <v>13596</v>
      </c>
      <c r="N3027" s="2">
        <f t="shared" si="288"/>
        <v>219.54614960282456</v>
      </c>
      <c r="O3027">
        <v>12</v>
      </c>
    </row>
    <row r="3028" spans="1:15" x14ac:dyDescent="0.25">
      <c r="A3028" t="s">
        <v>46</v>
      </c>
      <c r="B3028" t="s">
        <v>16</v>
      </c>
      <c r="C3028" t="s">
        <v>41</v>
      </c>
      <c r="D3028" t="str">
        <f t="shared" si="284"/>
        <v>FAB3_1L  Ent Entera</v>
      </c>
      <c r="E3028">
        <v>2022</v>
      </c>
      <c r="F3028">
        <v>40</v>
      </c>
      <c r="G3028">
        <f t="shared" si="285"/>
        <v>10</v>
      </c>
      <c r="H3028" s="1">
        <f t="shared" si="286"/>
        <v>44837</v>
      </c>
      <c r="I3028" s="1">
        <f t="shared" si="287"/>
        <v>44835</v>
      </c>
      <c r="J3028">
        <v>161580.64000000001</v>
      </c>
      <c r="K3028">
        <v>8556</v>
      </c>
      <c r="L3028">
        <f t="shared" si="283"/>
        <v>18.885067788686303</v>
      </c>
      <c r="M3028">
        <v>713</v>
      </c>
      <c r="N3028" s="2">
        <f t="shared" si="288"/>
        <v>226.62081346423565</v>
      </c>
      <c r="O3028">
        <v>12</v>
      </c>
    </row>
    <row r="3029" spans="1:15" x14ac:dyDescent="0.25">
      <c r="A3029" t="s">
        <v>46</v>
      </c>
      <c r="B3029" t="s">
        <v>16</v>
      </c>
      <c r="C3029" t="s">
        <v>41</v>
      </c>
      <c r="D3029" t="str">
        <f t="shared" si="284"/>
        <v>FAB3_1L  Ent Entera</v>
      </c>
      <c r="E3029">
        <v>2022</v>
      </c>
      <c r="F3029">
        <v>41</v>
      </c>
      <c r="G3029">
        <f t="shared" si="285"/>
        <v>10</v>
      </c>
      <c r="H3029" s="1">
        <f t="shared" si="286"/>
        <v>44844</v>
      </c>
      <c r="I3029" s="1">
        <f t="shared" si="287"/>
        <v>44835</v>
      </c>
      <c r="J3029">
        <v>1443264.0699999996</v>
      </c>
      <c r="K3029">
        <v>76212</v>
      </c>
      <c r="L3029">
        <f t="shared" si="283"/>
        <v>18.937491077520594</v>
      </c>
      <c r="M3029">
        <v>6351</v>
      </c>
      <c r="N3029" s="2">
        <f t="shared" si="288"/>
        <v>227.24989293024714</v>
      </c>
      <c r="O3029">
        <v>12</v>
      </c>
    </row>
    <row r="3030" spans="1:15" x14ac:dyDescent="0.25">
      <c r="A3030" t="s">
        <v>46</v>
      </c>
      <c r="B3030" t="s">
        <v>16</v>
      </c>
      <c r="C3030" t="s">
        <v>41</v>
      </c>
      <c r="D3030" t="str">
        <f t="shared" si="284"/>
        <v>FAB3_1L  Ent Entera</v>
      </c>
      <c r="E3030">
        <v>2022</v>
      </c>
      <c r="F3030">
        <v>41</v>
      </c>
      <c r="G3030">
        <f t="shared" si="285"/>
        <v>10</v>
      </c>
      <c r="H3030" s="1">
        <f t="shared" si="286"/>
        <v>44844</v>
      </c>
      <c r="I3030" s="1">
        <f t="shared" si="287"/>
        <v>44835</v>
      </c>
      <c r="J3030">
        <v>1079250</v>
      </c>
      <c r="K3030">
        <v>58200</v>
      </c>
      <c r="L3030">
        <f t="shared" si="283"/>
        <v>18.543814432989691</v>
      </c>
      <c r="M3030">
        <v>4850</v>
      </c>
      <c r="N3030" s="2">
        <f t="shared" si="288"/>
        <v>222.5257731958763</v>
      </c>
      <c r="O3030">
        <v>12</v>
      </c>
    </row>
    <row r="3031" spans="1:15" x14ac:dyDescent="0.25">
      <c r="A3031" t="s">
        <v>46</v>
      </c>
      <c r="B3031" t="s">
        <v>16</v>
      </c>
      <c r="C3031" t="s">
        <v>41</v>
      </c>
      <c r="D3031" t="str">
        <f t="shared" si="284"/>
        <v>FAB3_1L  Ent Entera</v>
      </c>
      <c r="E3031">
        <v>2022</v>
      </c>
      <c r="F3031">
        <v>42</v>
      </c>
      <c r="G3031">
        <f t="shared" si="285"/>
        <v>10</v>
      </c>
      <c r="H3031" s="1">
        <f t="shared" si="286"/>
        <v>44851</v>
      </c>
      <c r="I3031" s="1">
        <f t="shared" si="287"/>
        <v>44835</v>
      </c>
      <c r="J3031">
        <v>667098.10000000021</v>
      </c>
      <c r="K3031">
        <v>33936</v>
      </c>
      <c r="L3031">
        <f t="shared" si="283"/>
        <v>19.657534771334284</v>
      </c>
      <c r="M3031">
        <v>2828</v>
      </c>
      <c r="N3031" s="2">
        <f t="shared" si="288"/>
        <v>235.8904172560114</v>
      </c>
      <c r="O3031">
        <v>12</v>
      </c>
    </row>
    <row r="3032" spans="1:15" x14ac:dyDescent="0.25">
      <c r="A3032" t="s">
        <v>46</v>
      </c>
      <c r="B3032" t="s">
        <v>16</v>
      </c>
      <c r="C3032" t="s">
        <v>41</v>
      </c>
      <c r="D3032" t="str">
        <f t="shared" si="284"/>
        <v>FAB3_1L  Ent Entera</v>
      </c>
      <c r="E3032">
        <v>2022</v>
      </c>
      <c r="F3032">
        <v>42</v>
      </c>
      <c r="G3032">
        <f t="shared" si="285"/>
        <v>10</v>
      </c>
      <c r="H3032" s="1">
        <f t="shared" si="286"/>
        <v>44851</v>
      </c>
      <c r="I3032" s="1">
        <f t="shared" si="287"/>
        <v>44835</v>
      </c>
      <c r="J3032">
        <v>995298</v>
      </c>
      <c r="K3032">
        <v>50352</v>
      </c>
      <c r="L3032">
        <f t="shared" si="283"/>
        <v>19.766801715919925</v>
      </c>
      <c r="M3032">
        <v>4196</v>
      </c>
      <c r="N3032" s="2">
        <f t="shared" si="288"/>
        <v>237.20162059103907</v>
      </c>
      <c r="O3032">
        <v>12</v>
      </c>
    </row>
    <row r="3033" spans="1:15" x14ac:dyDescent="0.25">
      <c r="A3033" t="s">
        <v>46</v>
      </c>
      <c r="B3033" t="s">
        <v>16</v>
      </c>
      <c r="C3033" t="s">
        <v>41</v>
      </c>
      <c r="D3033" t="str">
        <f t="shared" si="284"/>
        <v>FAB3_1L  Ent Entera</v>
      </c>
      <c r="E3033">
        <v>2022</v>
      </c>
      <c r="F3033">
        <v>43</v>
      </c>
      <c r="G3033">
        <f t="shared" si="285"/>
        <v>10</v>
      </c>
      <c r="H3033" s="1">
        <f t="shared" si="286"/>
        <v>44858</v>
      </c>
      <c r="I3033" s="1">
        <f t="shared" si="287"/>
        <v>44835</v>
      </c>
      <c r="J3033">
        <v>252559.52999999997</v>
      </c>
      <c r="K3033">
        <v>12312</v>
      </c>
      <c r="L3033">
        <f t="shared" si="283"/>
        <v>20.513282163742687</v>
      </c>
      <c r="M3033">
        <v>1026</v>
      </c>
      <c r="N3033" s="2">
        <f t="shared" si="288"/>
        <v>246.15938596491225</v>
      </c>
      <c r="O3033">
        <v>12</v>
      </c>
    </row>
    <row r="3034" spans="1:15" x14ac:dyDescent="0.25">
      <c r="A3034" t="s">
        <v>46</v>
      </c>
      <c r="B3034" t="s">
        <v>16</v>
      </c>
      <c r="C3034" t="s">
        <v>41</v>
      </c>
      <c r="D3034" t="str">
        <f t="shared" si="284"/>
        <v>FAB3_1L  Ent Entera</v>
      </c>
      <c r="E3034">
        <v>2022</v>
      </c>
      <c r="F3034">
        <v>43</v>
      </c>
      <c r="G3034">
        <f t="shared" si="285"/>
        <v>10</v>
      </c>
      <c r="H3034" s="1">
        <f t="shared" si="286"/>
        <v>44858</v>
      </c>
      <c r="I3034" s="1">
        <f t="shared" si="287"/>
        <v>44835</v>
      </c>
      <c r="J3034">
        <v>1076015.25</v>
      </c>
      <c r="K3034">
        <v>52488</v>
      </c>
      <c r="L3034">
        <f t="shared" si="283"/>
        <v>20.500214334705074</v>
      </c>
      <c r="M3034">
        <v>4374</v>
      </c>
      <c r="N3034" s="2">
        <f t="shared" si="288"/>
        <v>246.0025720164609</v>
      </c>
      <c r="O3034">
        <v>12</v>
      </c>
    </row>
    <row r="3035" spans="1:15" x14ac:dyDescent="0.25">
      <c r="A3035" t="s">
        <v>46</v>
      </c>
      <c r="B3035" t="s">
        <v>16</v>
      </c>
      <c r="C3035" t="s">
        <v>41</v>
      </c>
      <c r="D3035" t="str">
        <f t="shared" si="284"/>
        <v>FAB3_1L  Ent Entera</v>
      </c>
      <c r="E3035">
        <v>2022</v>
      </c>
      <c r="F3035">
        <v>44</v>
      </c>
      <c r="G3035">
        <f t="shared" si="285"/>
        <v>11</v>
      </c>
      <c r="H3035" s="1">
        <f t="shared" si="286"/>
        <v>44865</v>
      </c>
      <c r="I3035" s="1">
        <f t="shared" si="287"/>
        <v>44866</v>
      </c>
      <c r="J3035">
        <v>150568.81000000003</v>
      </c>
      <c r="K3035">
        <v>7344</v>
      </c>
      <c r="L3035">
        <f t="shared" si="283"/>
        <v>20.502288943355122</v>
      </c>
      <c r="M3035">
        <v>612</v>
      </c>
      <c r="N3035" s="2">
        <f t="shared" si="288"/>
        <v>246.02746732026148</v>
      </c>
      <c r="O3035">
        <v>12</v>
      </c>
    </row>
    <row r="3036" spans="1:15" x14ac:dyDescent="0.25">
      <c r="A3036" t="s">
        <v>46</v>
      </c>
      <c r="B3036" t="s">
        <v>16</v>
      </c>
      <c r="C3036" t="s">
        <v>41</v>
      </c>
      <c r="D3036" t="str">
        <f t="shared" si="284"/>
        <v>FAB3_1L  Ent Entera</v>
      </c>
      <c r="E3036">
        <v>2022</v>
      </c>
      <c r="F3036">
        <v>44</v>
      </c>
      <c r="G3036">
        <f t="shared" si="285"/>
        <v>11</v>
      </c>
      <c r="H3036" s="1">
        <f t="shared" si="286"/>
        <v>44865</v>
      </c>
      <c r="I3036" s="1">
        <f t="shared" si="287"/>
        <v>44866</v>
      </c>
      <c r="J3036">
        <v>1403190.1899999997</v>
      </c>
      <c r="K3036">
        <v>68436</v>
      </c>
      <c r="L3036">
        <f t="shared" si="283"/>
        <v>20.503685048804719</v>
      </c>
      <c r="M3036">
        <v>5703</v>
      </c>
      <c r="N3036" s="2">
        <f t="shared" si="288"/>
        <v>246.04422058565663</v>
      </c>
      <c r="O3036">
        <v>12</v>
      </c>
    </row>
    <row r="3037" spans="1:15" x14ac:dyDescent="0.25">
      <c r="A3037" t="s">
        <v>46</v>
      </c>
      <c r="B3037" t="s">
        <v>16</v>
      </c>
      <c r="C3037" t="s">
        <v>41</v>
      </c>
      <c r="D3037" t="str">
        <f t="shared" si="284"/>
        <v>FAB3_1L  Ent Entera</v>
      </c>
      <c r="E3037">
        <v>2022</v>
      </c>
      <c r="F3037">
        <v>45</v>
      </c>
      <c r="G3037">
        <f t="shared" si="285"/>
        <v>11</v>
      </c>
      <c r="H3037" s="1">
        <f t="shared" si="286"/>
        <v>44872</v>
      </c>
      <c r="I3037" s="1">
        <f t="shared" si="287"/>
        <v>44866</v>
      </c>
      <c r="J3037">
        <v>46330.549999999996</v>
      </c>
      <c r="K3037">
        <v>2424</v>
      </c>
      <c r="L3037">
        <f t="shared" si="283"/>
        <v>19.11326320132013</v>
      </c>
      <c r="M3037">
        <v>202</v>
      </c>
      <c r="N3037" s="2">
        <f t="shared" si="288"/>
        <v>229.35915841584156</v>
      </c>
      <c r="O3037">
        <v>12</v>
      </c>
    </row>
    <row r="3038" spans="1:15" x14ac:dyDescent="0.25">
      <c r="A3038" t="s">
        <v>46</v>
      </c>
      <c r="B3038" t="s">
        <v>16</v>
      </c>
      <c r="C3038" t="s">
        <v>41</v>
      </c>
      <c r="D3038" t="str">
        <f t="shared" si="284"/>
        <v>FAB3_1L  Ent Entera</v>
      </c>
      <c r="E3038">
        <v>2022</v>
      </c>
      <c r="F3038">
        <v>45</v>
      </c>
      <c r="G3038">
        <f t="shared" si="285"/>
        <v>11</v>
      </c>
      <c r="H3038" s="1">
        <f t="shared" si="286"/>
        <v>44872</v>
      </c>
      <c r="I3038" s="1">
        <f t="shared" si="287"/>
        <v>44866</v>
      </c>
      <c r="J3038">
        <v>938875.44000000018</v>
      </c>
      <c r="K3038">
        <v>46032</v>
      </c>
      <c r="L3038">
        <f t="shared" si="283"/>
        <v>20.396147028154331</v>
      </c>
      <c r="M3038">
        <v>3836</v>
      </c>
      <c r="N3038" s="2">
        <f t="shared" si="288"/>
        <v>244.75376433785198</v>
      </c>
      <c r="O3038">
        <v>12</v>
      </c>
    </row>
    <row r="3039" spans="1:15" x14ac:dyDescent="0.25">
      <c r="A3039" t="s">
        <v>46</v>
      </c>
      <c r="B3039" t="s">
        <v>16</v>
      </c>
      <c r="C3039" t="s">
        <v>41</v>
      </c>
      <c r="D3039" t="str">
        <f t="shared" si="284"/>
        <v>FAB3_1L  Ent Entera</v>
      </c>
      <c r="E3039">
        <v>2022</v>
      </c>
      <c r="F3039">
        <v>46</v>
      </c>
      <c r="G3039">
        <f t="shared" si="285"/>
        <v>11</v>
      </c>
      <c r="H3039" s="1">
        <f t="shared" si="286"/>
        <v>44879</v>
      </c>
      <c r="I3039" s="1">
        <f t="shared" si="287"/>
        <v>44866</v>
      </c>
      <c r="J3039">
        <v>19887</v>
      </c>
      <c r="K3039">
        <v>3384</v>
      </c>
      <c r="L3039">
        <f t="shared" si="283"/>
        <v>5.87677304964539</v>
      </c>
      <c r="M3039">
        <v>282</v>
      </c>
      <c r="N3039" s="2">
        <f t="shared" si="288"/>
        <v>70.521276595744681</v>
      </c>
      <c r="O3039">
        <v>12</v>
      </c>
    </row>
    <row r="3040" spans="1:15" x14ac:dyDescent="0.25">
      <c r="A3040" t="s">
        <v>46</v>
      </c>
      <c r="B3040" t="s">
        <v>16</v>
      </c>
      <c r="C3040" t="s">
        <v>41</v>
      </c>
      <c r="D3040" t="str">
        <f t="shared" si="284"/>
        <v>FAB3_1L  Ent Entera</v>
      </c>
      <c r="E3040">
        <v>2022</v>
      </c>
      <c r="F3040">
        <v>46</v>
      </c>
      <c r="G3040">
        <f t="shared" si="285"/>
        <v>11</v>
      </c>
      <c r="H3040" s="1">
        <f t="shared" si="286"/>
        <v>44879</v>
      </c>
      <c r="I3040" s="1">
        <f t="shared" si="287"/>
        <v>44866</v>
      </c>
      <c r="J3040">
        <v>2150341.2599999974</v>
      </c>
      <c r="K3040">
        <v>107436</v>
      </c>
      <c r="L3040">
        <f t="shared" si="283"/>
        <v>20.015090472467307</v>
      </c>
      <c r="M3040">
        <v>8953</v>
      </c>
      <c r="N3040" s="2">
        <f t="shared" si="288"/>
        <v>240.18108566960765</v>
      </c>
      <c r="O3040">
        <v>12</v>
      </c>
    </row>
    <row r="3041" spans="1:15" x14ac:dyDescent="0.25">
      <c r="A3041" t="s">
        <v>46</v>
      </c>
      <c r="B3041" t="s">
        <v>16</v>
      </c>
      <c r="C3041" t="s">
        <v>41</v>
      </c>
      <c r="D3041" t="str">
        <f t="shared" si="284"/>
        <v>FAB3_1L  Ent Entera</v>
      </c>
      <c r="E3041">
        <v>2022</v>
      </c>
      <c r="F3041">
        <v>47</v>
      </c>
      <c r="G3041">
        <f t="shared" si="285"/>
        <v>11</v>
      </c>
      <c r="H3041" s="1">
        <f t="shared" si="286"/>
        <v>44886</v>
      </c>
      <c r="I3041" s="1">
        <f t="shared" si="287"/>
        <v>44866</v>
      </c>
      <c r="J3041">
        <v>7380</v>
      </c>
      <c r="K3041">
        <v>360</v>
      </c>
      <c r="L3041">
        <f t="shared" si="283"/>
        <v>20.5</v>
      </c>
      <c r="M3041">
        <v>30</v>
      </c>
      <c r="N3041" s="2">
        <f t="shared" si="288"/>
        <v>246</v>
      </c>
      <c r="O3041">
        <v>12</v>
      </c>
    </row>
    <row r="3042" spans="1:15" x14ac:dyDescent="0.25">
      <c r="A3042" t="s">
        <v>46</v>
      </c>
      <c r="B3042" t="s">
        <v>16</v>
      </c>
      <c r="C3042" t="s">
        <v>41</v>
      </c>
      <c r="D3042" t="str">
        <f t="shared" si="284"/>
        <v>FAB3_1L  Ent Entera</v>
      </c>
      <c r="E3042">
        <v>2022</v>
      </c>
      <c r="F3042">
        <v>47</v>
      </c>
      <c r="G3042">
        <f t="shared" si="285"/>
        <v>11</v>
      </c>
      <c r="H3042" s="1">
        <f t="shared" si="286"/>
        <v>44886</v>
      </c>
      <c r="I3042" s="1">
        <f t="shared" si="287"/>
        <v>44866</v>
      </c>
      <c r="J3042">
        <v>2237061.319999998</v>
      </c>
      <c r="K3042">
        <v>113424</v>
      </c>
      <c r="L3042">
        <f t="shared" si="283"/>
        <v>19.722997954577497</v>
      </c>
      <c r="M3042">
        <v>9452</v>
      </c>
      <c r="N3042" s="2">
        <f t="shared" si="288"/>
        <v>236.67597545492995</v>
      </c>
      <c r="O3042">
        <v>12</v>
      </c>
    </row>
    <row r="3043" spans="1:15" x14ac:dyDescent="0.25">
      <c r="A3043" t="s">
        <v>46</v>
      </c>
      <c r="B3043" t="s">
        <v>16</v>
      </c>
      <c r="C3043" t="s">
        <v>41</v>
      </c>
      <c r="D3043" t="str">
        <f t="shared" si="284"/>
        <v>FAB3_1L  Ent Entera</v>
      </c>
      <c r="E3043">
        <v>2022</v>
      </c>
      <c r="F3043">
        <v>48</v>
      </c>
      <c r="G3043">
        <f t="shared" si="285"/>
        <v>12</v>
      </c>
      <c r="H3043" s="1">
        <f t="shared" si="286"/>
        <v>44893</v>
      </c>
      <c r="I3043" s="1">
        <f t="shared" si="287"/>
        <v>44896</v>
      </c>
      <c r="J3043">
        <v>6396</v>
      </c>
      <c r="K3043">
        <v>312</v>
      </c>
      <c r="L3043">
        <f t="shared" si="283"/>
        <v>20.5</v>
      </c>
      <c r="M3043">
        <v>26</v>
      </c>
      <c r="N3043" s="2">
        <f t="shared" si="288"/>
        <v>246</v>
      </c>
      <c r="O3043">
        <v>12</v>
      </c>
    </row>
    <row r="3044" spans="1:15" x14ac:dyDescent="0.25">
      <c r="A3044" t="s">
        <v>46</v>
      </c>
      <c r="B3044" t="s">
        <v>16</v>
      </c>
      <c r="C3044" t="s">
        <v>41</v>
      </c>
      <c r="D3044" t="str">
        <f t="shared" si="284"/>
        <v>FAB3_1L  Ent Entera</v>
      </c>
      <c r="E3044">
        <v>2022</v>
      </c>
      <c r="F3044">
        <v>48</v>
      </c>
      <c r="G3044">
        <f t="shared" si="285"/>
        <v>12</v>
      </c>
      <c r="H3044" s="1">
        <f t="shared" si="286"/>
        <v>44893</v>
      </c>
      <c r="I3044" s="1">
        <f t="shared" si="287"/>
        <v>44896</v>
      </c>
      <c r="J3044">
        <v>1561441.1999999993</v>
      </c>
      <c r="K3044">
        <v>77400</v>
      </c>
      <c r="L3044">
        <f t="shared" si="283"/>
        <v>20.173658914728673</v>
      </c>
      <c r="M3044">
        <v>6450</v>
      </c>
      <c r="N3044" s="2">
        <f t="shared" si="288"/>
        <v>242.08390697674406</v>
      </c>
      <c r="O3044">
        <v>12</v>
      </c>
    </row>
    <row r="3045" spans="1:15" x14ac:dyDescent="0.25">
      <c r="A3045" t="s">
        <v>46</v>
      </c>
      <c r="B3045" t="s">
        <v>16</v>
      </c>
      <c r="C3045" t="s">
        <v>41</v>
      </c>
      <c r="D3045" t="str">
        <f t="shared" si="284"/>
        <v>FAB3_1L  Ent Entera</v>
      </c>
      <c r="E3045">
        <v>2022</v>
      </c>
      <c r="F3045">
        <v>49</v>
      </c>
      <c r="G3045">
        <f t="shared" si="285"/>
        <v>12</v>
      </c>
      <c r="H3045" s="1">
        <f t="shared" si="286"/>
        <v>44900</v>
      </c>
      <c r="I3045" s="1">
        <f t="shared" si="287"/>
        <v>44896</v>
      </c>
      <c r="J3045">
        <v>10788</v>
      </c>
      <c r="K3045">
        <v>540</v>
      </c>
      <c r="L3045">
        <f t="shared" si="283"/>
        <v>19.977777777777778</v>
      </c>
      <c r="M3045">
        <v>45</v>
      </c>
      <c r="N3045" s="2">
        <f t="shared" si="288"/>
        <v>239.73333333333332</v>
      </c>
      <c r="O3045">
        <v>12</v>
      </c>
    </row>
    <row r="3046" spans="1:15" x14ac:dyDescent="0.25">
      <c r="A3046" t="s">
        <v>46</v>
      </c>
      <c r="B3046" t="s">
        <v>16</v>
      </c>
      <c r="C3046" t="s">
        <v>41</v>
      </c>
      <c r="D3046" t="str">
        <f t="shared" si="284"/>
        <v>FAB3_1L  Ent Entera</v>
      </c>
      <c r="E3046">
        <v>2022</v>
      </c>
      <c r="F3046">
        <v>49</v>
      </c>
      <c r="G3046">
        <f t="shared" si="285"/>
        <v>12</v>
      </c>
      <c r="H3046" s="1">
        <f t="shared" si="286"/>
        <v>44900</v>
      </c>
      <c r="I3046" s="1">
        <f t="shared" si="287"/>
        <v>44896</v>
      </c>
      <c r="J3046">
        <v>1590942.4799999993</v>
      </c>
      <c r="K3046">
        <v>77580</v>
      </c>
      <c r="L3046">
        <f t="shared" si="283"/>
        <v>20.507121423047167</v>
      </c>
      <c r="M3046">
        <v>6465</v>
      </c>
      <c r="N3046" s="2">
        <f t="shared" si="288"/>
        <v>246.085457076566</v>
      </c>
      <c r="O3046">
        <v>12</v>
      </c>
    </row>
    <row r="3047" spans="1:15" x14ac:dyDescent="0.25">
      <c r="A3047" t="s">
        <v>46</v>
      </c>
      <c r="B3047" t="s">
        <v>16</v>
      </c>
      <c r="C3047" t="s">
        <v>41</v>
      </c>
      <c r="D3047" t="str">
        <f t="shared" si="284"/>
        <v>FAB3_1L  Ent Entera</v>
      </c>
      <c r="E3047">
        <v>2022</v>
      </c>
      <c r="F3047">
        <v>50</v>
      </c>
      <c r="G3047">
        <f t="shared" si="285"/>
        <v>12</v>
      </c>
      <c r="H3047" s="1">
        <f t="shared" si="286"/>
        <v>44907</v>
      </c>
      <c r="I3047" s="1">
        <f t="shared" si="287"/>
        <v>44896</v>
      </c>
      <c r="J3047">
        <v>4627</v>
      </c>
      <c r="K3047">
        <v>228</v>
      </c>
      <c r="L3047">
        <f t="shared" si="283"/>
        <v>20.293859649122808</v>
      </c>
      <c r="M3047">
        <v>19</v>
      </c>
      <c r="N3047" s="2">
        <f t="shared" si="288"/>
        <v>243.52631578947367</v>
      </c>
      <c r="O3047">
        <v>12</v>
      </c>
    </row>
    <row r="3048" spans="1:15" x14ac:dyDescent="0.25">
      <c r="A3048" t="s">
        <v>46</v>
      </c>
      <c r="B3048" t="s">
        <v>16</v>
      </c>
      <c r="C3048" t="s">
        <v>41</v>
      </c>
      <c r="D3048" t="str">
        <f t="shared" si="284"/>
        <v>FAB3_1L  Ent Entera</v>
      </c>
      <c r="E3048">
        <v>2022</v>
      </c>
      <c r="F3048">
        <v>50</v>
      </c>
      <c r="G3048">
        <f t="shared" si="285"/>
        <v>12</v>
      </c>
      <c r="H3048" s="1">
        <f t="shared" si="286"/>
        <v>44907</v>
      </c>
      <c r="I3048" s="1">
        <f t="shared" si="287"/>
        <v>44896</v>
      </c>
      <c r="J3048">
        <v>2020960.0599999982</v>
      </c>
      <c r="K3048">
        <v>100656</v>
      </c>
      <c r="L3048">
        <f t="shared" si="283"/>
        <v>20.077889643935762</v>
      </c>
      <c r="M3048">
        <v>8388</v>
      </c>
      <c r="N3048" s="2">
        <f t="shared" si="288"/>
        <v>240.93467572722915</v>
      </c>
      <c r="O3048">
        <v>12</v>
      </c>
    </row>
    <row r="3049" spans="1:15" x14ac:dyDescent="0.25">
      <c r="A3049" t="s">
        <v>46</v>
      </c>
      <c r="B3049" t="s">
        <v>16</v>
      </c>
      <c r="C3049" t="s">
        <v>41</v>
      </c>
      <c r="D3049" t="str">
        <f t="shared" si="284"/>
        <v>FAB3_1L  Ent Entera</v>
      </c>
      <c r="E3049">
        <v>2022</v>
      </c>
      <c r="F3049">
        <v>51</v>
      </c>
      <c r="G3049">
        <f t="shared" si="285"/>
        <v>12</v>
      </c>
      <c r="H3049" s="1">
        <f t="shared" si="286"/>
        <v>44914</v>
      </c>
      <c r="I3049" s="1">
        <f t="shared" si="287"/>
        <v>44896</v>
      </c>
      <c r="J3049">
        <v>4182</v>
      </c>
      <c r="K3049">
        <v>204</v>
      </c>
      <c r="L3049">
        <f t="shared" si="283"/>
        <v>20.5</v>
      </c>
      <c r="M3049">
        <v>17</v>
      </c>
      <c r="N3049" s="2">
        <f t="shared" si="288"/>
        <v>246</v>
      </c>
      <c r="O3049">
        <v>12</v>
      </c>
    </row>
    <row r="3050" spans="1:15" x14ac:dyDescent="0.25">
      <c r="A3050" t="s">
        <v>46</v>
      </c>
      <c r="B3050" t="s">
        <v>16</v>
      </c>
      <c r="C3050" t="s">
        <v>41</v>
      </c>
      <c r="D3050" t="str">
        <f t="shared" si="284"/>
        <v>FAB3_1L  Ent Entera</v>
      </c>
      <c r="E3050">
        <v>2022</v>
      </c>
      <c r="F3050">
        <v>51</v>
      </c>
      <c r="G3050">
        <f t="shared" si="285"/>
        <v>12</v>
      </c>
      <c r="H3050" s="1">
        <f t="shared" si="286"/>
        <v>44914</v>
      </c>
      <c r="I3050" s="1">
        <f t="shared" si="287"/>
        <v>44896</v>
      </c>
      <c r="J3050">
        <v>1528319.0899999987</v>
      </c>
      <c r="K3050">
        <v>74532</v>
      </c>
      <c r="L3050">
        <f t="shared" si="283"/>
        <v>20.505542451564413</v>
      </c>
      <c r="M3050">
        <v>6211</v>
      </c>
      <c r="N3050" s="2">
        <f t="shared" si="288"/>
        <v>246.06650941877294</v>
      </c>
      <c r="O3050">
        <v>12</v>
      </c>
    </row>
    <row r="3051" spans="1:15" x14ac:dyDescent="0.25">
      <c r="A3051" t="s">
        <v>46</v>
      </c>
      <c r="B3051" t="s">
        <v>16</v>
      </c>
      <c r="C3051" t="s">
        <v>41</v>
      </c>
      <c r="D3051" t="str">
        <f t="shared" si="284"/>
        <v>FAB3_1L  Ent Entera</v>
      </c>
      <c r="E3051">
        <v>2022</v>
      </c>
      <c r="F3051">
        <v>52</v>
      </c>
      <c r="G3051">
        <f t="shared" si="285"/>
        <v>12</v>
      </c>
      <c r="H3051" s="1">
        <f t="shared" si="286"/>
        <v>44921</v>
      </c>
      <c r="I3051" s="1">
        <f t="shared" si="287"/>
        <v>44896</v>
      </c>
      <c r="J3051">
        <v>1968</v>
      </c>
      <c r="K3051">
        <v>96</v>
      </c>
      <c r="L3051">
        <f t="shared" si="283"/>
        <v>20.5</v>
      </c>
      <c r="M3051">
        <v>8</v>
      </c>
      <c r="N3051" s="2">
        <f t="shared" si="288"/>
        <v>246</v>
      </c>
      <c r="O3051">
        <v>12</v>
      </c>
    </row>
    <row r="3052" spans="1:15" x14ac:dyDescent="0.25">
      <c r="A3052" t="s">
        <v>46</v>
      </c>
      <c r="B3052" t="s">
        <v>16</v>
      </c>
      <c r="C3052" t="s">
        <v>41</v>
      </c>
      <c r="D3052" t="str">
        <f t="shared" si="284"/>
        <v>FAB3_1L  Ent Entera</v>
      </c>
      <c r="E3052">
        <v>2022</v>
      </c>
      <c r="F3052">
        <v>52</v>
      </c>
      <c r="G3052">
        <f t="shared" si="285"/>
        <v>12</v>
      </c>
      <c r="H3052" s="1">
        <f t="shared" si="286"/>
        <v>44921</v>
      </c>
      <c r="I3052" s="1">
        <f t="shared" si="287"/>
        <v>44896</v>
      </c>
      <c r="J3052">
        <v>2092873.9099999976</v>
      </c>
      <c r="K3052">
        <v>108000</v>
      </c>
      <c r="L3052">
        <f t="shared" si="283"/>
        <v>19.378462129629607</v>
      </c>
      <c r="M3052">
        <v>9000</v>
      </c>
      <c r="N3052" s="2">
        <f t="shared" si="288"/>
        <v>232.54154555555527</v>
      </c>
      <c r="O3052">
        <v>12</v>
      </c>
    </row>
    <row r="3053" spans="1:15" x14ac:dyDescent="0.25">
      <c r="A3053" t="s">
        <v>46</v>
      </c>
      <c r="B3053" t="s">
        <v>16</v>
      </c>
      <c r="C3053" t="s">
        <v>41</v>
      </c>
      <c r="D3053" t="str">
        <f t="shared" si="284"/>
        <v>FAB3_1L  Ent Entera</v>
      </c>
      <c r="E3053">
        <v>2023</v>
      </c>
      <c r="F3053">
        <v>1</v>
      </c>
      <c r="G3053">
        <f t="shared" si="285"/>
        <v>1</v>
      </c>
      <c r="H3053" s="1">
        <f t="shared" si="286"/>
        <v>44928</v>
      </c>
      <c r="I3053" s="1">
        <f t="shared" si="287"/>
        <v>44927</v>
      </c>
      <c r="J3053">
        <v>2724049.86</v>
      </c>
      <c r="K3053">
        <v>151320</v>
      </c>
      <c r="L3053">
        <f t="shared" si="283"/>
        <v>18.001915543219667</v>
      </c>
      <c r="M3053">
        <v>12610</v>
      </c>
      <c r="N3053" s="2">
        <f t="shared" si="288"/>
        <v>216.022986518636</v>
      </c>
      <c r="O3053">
        <v>12</v>
      </c>
    </row>
    <row r="3054" spans="1:15" x14ac:dyDescent="0.25">
      <c r="A3054" t="s">
        <v>46</v>
      </c>
      <c r="B3054" t="s">
        <v>16</v>
      </c>
      <c r="C3054" t="s">
        <v>41</v>
      </c>
      <c r="D3054" t="str">
        <f t="shared" si="284"/>
        <v>FAB3_1L  Ent Entera</v>
      </c>
      <c r="E3054">
        <v>2023</v>
      </c>
      <c r="F3054">
        <v>1</v>
      </c>
      <c r="G3054">
        <f t="shared" si="285"/>
        <v>1</v>
      </c>
      <c r="H3054" s="1">
        <f t="shared" si="286"/>
        <v>44928</v>
      </c>
      <c r="I3054" s="1">
        <f t="shared" si="287"/>
        <v>44927</v>
      </c>
      <c r="J3054">
        <v>2981363.6400000011</v>
      </c>
      <c r="K3054">
        <v>157716</v>
      </c>
      <c r="L3054">
        <f t="shared" si="283"/>
        <v>18.903368332952908</v>
      </c>
      <c r="M3054">
        <v>13143</v>
      </c>
      <c r="N3054" s="2">
        <f t="shared" si="288"/>
        <v>226.8404199954349</v>
      </c>
      <c r="O3054">
        <v>12</v>
      </c>
    </row>
    <row r="3055" spans="1:15" x14ac:dyDescent="0.25">
      <c r="A3055" t="s">
        <v>46</v>
      </c>
      <c r="B3055" t="s">
        <v>16</v>
      </c>
      <c r="C3055" t="s">
        <v>41</v>
      </c>
      <c r="D3055" t="str">
        <f t="shared" si="284"/>
        <v>FAB3_1L  Ent Entera</v>
      </c>
      <c r="E3055">
        <v>2023</v>
      </c>
      <c r="F3055">
        <v>2</v>
      </c>
      <c r="G3055">
        <f t="shared" si="285"/>
        <v>1</v>
      </c>
      <c r="H3055" s="1">
        <f t="shared" si="286"/>
        <v>44935</v>
      </c>
      <c r="I3055" s="1">
        <f t="shared" si="287"/>
        <v>44927</v>
      </c>
      <c r="J3055">
        <v>2600761.7099999986</v>
      </c>
      <c r="K3055">
        <v>138120</v>
      </c>
      <c r="L3055">
        <f t="shared" si="283"/>
        <v>18.82972567332753</v>
      </c>
      <c r="M3055">
        <v>11510</v>
      </c>
      <c r="N3055" s="2">
        <f t="shared" si="288"/>
        <v>225.95670807993037</v>
      </c>
      <c r="O3055">
        <v>12</v>
      </c>
    </row>
    <row r="3056" spans="1:15" x14ac:dyDescent="0.25">
      <c r="A3056" t="s">
        <v>46</v>
      </c>
      <c r="B3056" t="s">
        <v>16</v>
      </c>
      <c r="C3056" t="s">
        <v>41</v>
      </c>
      <c r="D3056" t="str">
        <f t="shared" si="284"/>
        <v>FAB3_1L  Ent Entera</v>
      </c>
      <c r="E3056">
        <v>2023</v>
      </c>
      <c r="F3056">
        <v>3</v>
      </c>
      <c r="G3056">
        <f t="shared" si="285"/>
        <v>1</v>
      </c>
      <c r="H3056" s="1">
        <f t="shared" si="286"/>
        <v>44942</v>
      </c>
      <c r="I3056" s="1">
        <f t="shared" si="287"/>
        <v>44927</v>
      </c>
      <c r="J3056">
        <v>32359.48</v>
      </c>
      <c r="K3056">
        <v>1668</v>
      </c>
      <c r="L3056">
        <f t="shared" si="283"/>
        <v>19.400167865707434</v>
      </c>
      <c r="M3056">
        <v>139</v>
      </c>
      <c r="N3056" s="2">
        <f t="shared" si="288"/>
        <v>232.8020143884892</v>
      </c>
      <c r="O3056">
        <v>12</v>
      </c>
    </row>
    <row r="3057" spans="1:15" x14ac:dyDescent="0.25">
      <c r="A3057" t="s">
        <v>46</v>
      </c>
      <c r="B3057" t="s">
        <v>16</v>
      </c>
      <c r="C3057" t="s">
        <v>41</v>
      </c>
      <c r="D3057" t="str">
        <f t="shared" si="284"/>
        <v>FAB3_1L  Ent Entera</v>
      </c>
      <c r="E3057">
        <v>2023</v>
      </c>
      <c r="F3057">
        <v>3</v>
      </c>
      <c r="G3057">
        <f t="shared" si="285"/>
        <v>1</v>
      </c>
      <c r="H3057" s="1">
        <f t="shared" si="286"/>
        <v>44942</v>
      </c>
      <c r="I3057" s="1">
        <f t="shared" si="287"/>
        <v>44927</v>
      </c>
      <c r="J3057">
        <v>2375489.6300000004</v>
      </c>
      <c r="K3057">
        <v>127500</v>
      </c>
      <c r="L3057">
        <f t="shared" si="283"/>
        <v>18.631291215686279</v>
      </c>
      <c r="M3057">
        <v>10625</v>
      </c>
      <c r="N3057" s="2">
        <f t="shared" si="288"/>
        <v>223.57549458823533</v>
      </c>
      <c r="O3057">
        <v>12</v>
      </c>
    </row>
    <row r="3058" spans="1:15" x14ac:dyDescent="0.25">
      <c r="A3058" t="s">
        <v>46</v>
      </c>
      <c r="B3058" t="s">
        <v>16</v>
      </c>
      <c r="C3058" t="s">
        <v>41</v>
      </c>
      <c r="D3058" t="str">
        <f t="shared" si="284"/>
        <v>FAB3_1L  Ent Entera</v>
      </c>
      <c r="E3058">
        <v>2023</v>
      </c>
      <c r="F3058">
        <v>4</v>
      </c>
      <c r="G3058">
        <f t="shared" si="285"/>
        <v>1</v>
      </c>
      <c r="H3058" s="1">
        <f t="shared" si="286"/>
        <v>44949</v>
      </c>
      <c r="I3058" s="1">
        <f t="shared" si="287"/>
        <v>44927</v>
      </c>
      <c r="J3058">
        <v>492</v>
      </c>
      <c r="K3058">
        <v>24</v>
      </c>
      <c r="L3058">
        <f t="shared" si="283"/>
        <v>20.5</v>
      </c>
      <c r="M3058">
        <v>2</v>
      </c>
      <c r="N3058" s="2">
        <f t="shared" si="288"/>
        <v>246</v>
      </c>
      <c r="O3058">
        <v>12</v>
      </c>
    </row>
    <row r="3059" spans="1:15" x14ac:dyDescent="0.25">
      <c r="A3059" t="s">
        <v>46</v>
      </c>
      <c r="B3059" t="s">
        <v>16</v>
      </c>
      <c r="C3059" t="s">
        <v>41</v>
      </c>
      <c r="D3059" t="str">
        <f t="shared" si="284"/>
        <v>FAB3_1L  Ent Entera</v>
      </c>
      <c r="E3059">
        <v>2023</v>
      </c>
      <c r="F3059">
        <v>4</v>
      </c>
      <c r="G3059">
        <f t="shared" si="285"/>
        <v>1</v>
      </c>
      <c r="H3059" s="1">
        <f t="shared" si="286"/>
        <v>44949</v>
      </c>
      <c r="I3059" s="1">
        <f t="shared" si="287"/>
        <v>44927</v>
      </c>
      <c r="J3059">
        <v>1330242.4199999995</v>
      </c>
      <c r="K3059">
        <v>64884</v>
      </c>
      <c r="L3059">
        <f t="shared" si="283"/>
        <v>20.501855927501378</v>
      </c>
      <c r="M3059">
        <v>5407</v>
      </c>
      <c r="N3059" s="2">
        <f t="shared" si="288"/>
        <v>246.02227113001655</v>
      </c>
      <c r="O3059">
        <v>12</v>
      </c>
    </row>
    <row r="3060" spans="1:15" x14ac:dyDescent="0.25">
      <c r="A3060" t="s">
        <v>46</v>
      </c>
      <c r="B3060" t="s">
        <v>16</v>
      </c>
      <c r="C3060" t="s">
        <v>41</v>
      </c>
      <c r="D3060" t="str">
        <f t="shared" si="284"/>
        <v>FAB3_1L  Ent Entera</v>
      </c>
      <c r="E3060">
        <v>2023</v>
      </c>
      <c r="F3060">
        <v>5</v>
      </c>
      <c r="G3060">
        <f t="shared" si="285"/>
        <v>2</v>
      </c>
      <c r="H3060" s="1">
        <f t="shared" si="286"/>
        <v>44956</v>
      </c>
      <c r="I3060" s="1">
        <f t="shared" si="287"/>
        <v>44958</v>
      </c>
      <c r="J3060">
        <v>24107.989999999998</v>
      </c>
      <c r="K3060">
        <v>1176</v>
      </c>
      <c r="L3060">
        <f t="shared" si="283"/>
        <v>20.499991496598639</v>
      </c>
      <c r="M3060">
        <v>98</v>
      </c>
      <c r="N3060" s="2">
        <f t="shared" si="288"/>
        <v>245.99989795918364</v>
      </c>
      <c r="O3060">
        <v>12</v>
      </c>
    </row>
    <row r="3061" spans="1:15" x14ac:dyDescent="0.25">
      <c r="A3061" t="s">
        <v>46</v>
      </c>
      <c r="B3061" t="s">
        <v>16</v>
      </c>
      <c r="C3061" t="s">
        <v>41</v>
      </c>
      <c r="D3061" t="str">
        <f t="shared" si="284"/>
        <v>FAB3_1L  Ent Entera</v>
      </c>
      <c r="E3061">
        <v>2023</v>
      </c>
      <c r="F3061">
        <v>5</v>
      </c>
      <c r="G3061">
        <f t="shared" si="285"/>
        <v>2</v>
      </c>
      <c r="H3061" s="1">
        <f t="shared" si="286"/>
        <v>44956</v>
      </c>
      <c r="I3061" s="1">
        <f t="shared" si="287"/>
        <v>44958</v>
      </c>
      <c r="J3061">
        <v>1688029.859999998</v>
      </c>
      <c r="K3061">
        <v>82308</v>
      </c>
      <c r="L3061">
        <f t="shared" si="283"/>
        <v>20.508697331972567</v>
      </c>
      <c r="M3061">
        <v>6859</v>
      </c>
      <c r="N3061" s="2">
        <f t="shared" si="288"/>
        <v>246.10436798367081</v>
      </c>
      <c r="O3061">
        <v>12</v>
      </c>
    </row>
    <row r="3062" spans="1:15" x14ac:dyDescent="0.25">
      <c r="A3062" t="s">
        <v>46</v>
      </c>
      <c r="B3062" t="s">
        <v>16</v>
      </c>
      <c r="C3062" t="s">
        <v>41</v>
      </c>
      <c r="D3062" t="str">
        <f t="shared" si="284"/>
        <v>FAB3_1L  Ent Entera</v>
      </c>
      <c r="E3062">
        <v>2023</v>
      </c>
      <c r="F3062">
        <v>6</v>
      </c>
      <c r="G3062">
        <f t="shared" si="285"/>
        <v>2</v>
      </c>
      <c r="H3062" s="1">
        <f t="shared" si="286"/>
        <v>44963</v>
      </c>
      <c r="I3062" s="1">
        <f t="shared" si="287"/>
        <v>44958</v>
      </c>
      <c r="J3062">
        <v>4247.67</v>
      </c>
      <c r="K3062">
        <v>216</v>
      </c>
      <c r="L3062">
        <f t="shared" si="283"/>
        <v>19.66513888888889</v>
      </c>
      <c r="M3062">
        <v>18</v>
      </c>
      <c r="N3062" s="2">
        <f t="shared" si="288"/>
        <v>235.98166666666668</v>
      </c>
      <c r="O3062">
        <v>12</v>
      </c>
    </row>
    <row r="3063" spans="1:15" x14ac:dyDescent="0.25">
      <c r="A3063" t="s">
        <v>46</v>
      </c>
      <c r="B3063" t="s">
        <v>16</v>
      </c>
      <c r="C3063" t="s">
        <v>41</v>
      </c>
      <c r="D3063" t="str">
        <f t="shared" si="284"/>
        <v>FAB3_1L  Ent Entera</v>
      </c>
      <c r="E3063">
        <v>2023</v>
      </c>
      <c r="F3063">
        <v>6</v>
      </c>
      <c r="G3063">
        <f t="shared" si="285"/>
        <v>2</v>
      </c>
      <c r="H3063" s="1">
        <f t="shared" si="286"/>
        <v>44963</v>
      </c>
      <c r="I3063" s="1">
        <f t="shared" si="287"/>
        <v>44958</v>
      </c>
      <c r="J3063">
        <v>1959525.399999998</v>
      </c>
      <c r="K3063">
        <v>99096</v>
      </c>
      <c r="L3063">
        <f t="shared" si="283"/>
        <v>19.774011059982218</v>
      </c>
      <c r="M3063">
        <v>8258</v>
      </c>
      <c r="N3063" s="2">
        <f t="shared" si="288"/>
        <v>237.28813271978663</v>
      </c>
      <c r="O3063">
        <v>12</v>
      </c>
    </row>
    <row r="3064" spans="1:15" x14ac:dyDescent="0.25">
      <c r="A3064" t="s">
        <v>46</v>
      </c>
      <c r="B3064" t="s">
        <v>16</v>
      </c>
      <c r="C3064" t="s">
        <v>41</v>
      </c>
      <c r="D3064" t="str">
        <f t="shared" si="284"/>
        <v>FAB3_1L  Ent Entera</v>
      </c>
      <c r="E3064">
        <v>2023</v>
      </c>
      <c r="F3064">
        <v>7</v>
      </c>
      <c r="G3064">
        <f t="shared" si="285"/>
        <v>2</v>
      </c>
      <c r="H3064" s="1">
        <f t="shared" si="286"/>
        <v>44970</v>
      </c>
      <c r="I3064" s="1">
        <f t="shared" si="287"/>
        <v>44958</v>
      </c>
      <c r="J3064">
        <v>23351.05</v>
      </c>
      <c r="K3064">
        <v>1140</v>
      </c>
      <c r="L3064">
        <f t="shared" si="283"/>
        <v>20.483377192982456</v>
      </c>
      <c r="M3064">
        <v>95</v>
      </c>
      <c r="N3064" s="2">
        <f t="shared" si="288"/>
        <v>245.80052631578945</v>
      </c>
      <c r="O3064">
        <v>12</v>
      </c>
    </row>
    <row r="3065" spans="1:15" x14ac:dyDescent="0.25">
      <c r="A3065" t="s">
        <v>46</v>
      </c>
      <c r="B3065" t="s">
        <v>16</v>
      </c>
      <c r="C3065" t="s">
        <v>41</v>
      </c>
      <c r="D3065" t="str">
        <f t="shared" si="284"/>
        <v>FAB3_1L  Ent Entera</v>
      </c>
      <c r="E3065">
        <v>2023</v>
      </c>
      <c r="F3065">
        <v>7</v>
      </c>
      <c r="G3065">
        <f t="shared" si="285"/>
        <v>2</v>
      </c>
      <c r="H3065" s="1">
        <f t="shared" si="286"/>
        <v>44970</v>
      </c>
      <c r="I3065" s="1">
        <f t="shared" si="287"/>
        <v>44958</v>
      </c>
      <c r="J3065">
        <v>1796500.069999998</v>
      </c>
      <c r="K3065">
        <v>90108</v>
      </c>
      <c r="L3065">
        <f t="shared" si="283"/>
        <v>19.937187264171861</v>
      </c>
      <c r="M3065">
        <v>7509</v>
      </c>
      <c r="N3065" s="2">
        <f t="shared" si="288"/>
        <v>239.24624717006233</v>
      </c>
      <c r="O3065">
        <v>12</v>
      </c>
    </row>
    <row r="3066" spans="1:15" x14ac:dyDescent="0.25">
      <c r="A3066" t="s">
        <v>46</v>
      </c>
      <c r="B3066" t="s">
        <v>16</v>
      </c>
      <c r="C3066" t="s">
        <v>41</v>
      </c>
      <c r="D3066" t="str">
        <f t="shared" si="284"/>
        <v>FAB3_1L  Ent Entera</v>
      </c>
      <c r="E3066">
        <v>2023</v>
      </c>
      <c r="F3066">
        <v>8</v>
      </c>
      <c r="G3066">
        <f t="shared" si="285"/>
        <v>2</v>
      </c>
      <c r="H3066" s="1">
        <f t="shared" si="286"/>
        <v>44977</v>
      </c>
      <c r="I3066" s="1">
        <f t="shared" si="287"/>
        <v>44958</v>
      </c>
      <c r="J3066">
        <v>133753.90999999997</v>
      </c>
      <c r="K3066">
        <v>6612</v>
      </c>
      <c r="L3066">
        <f t="shared" si="283"/>
        <v>20.228964004839682</v>
      </c>
      <c r="M3066">
        <v>551</v>
      </c>
      <c r="N3066" s="2">
        <f t="shared" si="288"/>
        <v>242.74756805807618</v>
      </c>
      <c r="O3066">
        <v>12</v>
      </c>
    </row>
    <row r="3067" spans="1:15" x14ac:dyDescent="0.25">
      <c r="A3067" t="s">
        <v>46</v>
      </c>
      <c r="B3067" t="s">
        <v>16</v>
      </c>
      <c r="C3067" t="s">
        <v>41</v>
      </c>
      <c r="D3067" t="str">
        <f t="shared" si="284"/>
        <v>FAB3_1L  Ent Entera</v>
      </c>
      <c r="E3067">
        <v>2023</v>
      </c>
      <c r="F3067">
        <v>8</v>
      </c>
      <c r="G3067">
        <f t="shared" si="285"/>
        <v>2</v>
      </c>
      <c r="H3067" s="1">
        <f t="shared" si="286"/>
        <v>44977</v>
      </c>
      <c r="I3067" s="1">
        <f t="shared" si="287"/>
        <v>44958</v>
      </c>
      <c r="J3067">
        <v>1127894.9999999995</v>
      </c>
      <c r="K3067">
        <v>54984</v>
      </c>
      <c r="L3067">
        <f t="shared" si="283"/>
        <v>20.513149279790476</v>
      </c>
      <c r="M3067">
        <v>4582</v>
      </c>
      <c r="N3067" s="2">
        <f t="shared" si="288"/>
        <v>246.15779135748571</v>
      </c>
      <c r="O3067">
        <v>12</v>
      </c>
    </row>
    <row r="3068" spans="1:15" x14ac:dyDescent="0.25">
      <c r="A3068" t="s">
        <v>46</v>
      </c>
      <c r="B3068" t="s">
        <v>16</v>
      </c>
      <c r="C3068" t="s">
        <v>41</v>
      </c>
      <c r="D3068" t="str">
        <f t="shared" si="284"/>
        <v>FAB3_1L  Ent Entera</v>
      </c>
      <c r="E3068">
        <v>2023</v>
      </c>
      <c r="F3068">
        <v>9</v>
      </c>
      <c r="G3068">
        <f t="shared" si="285"/>
        <v>3</v>
      </c>
      <c r="H3068" s="1">
        <f t="shared" si="286"/>
        <v>44984</v>
      </c>
      <c r="I3068" s="1">
        <f t="shared" si="287"/>
        <v>44986</v>
      </c>
      <c r="J3068">
        <v>98163.35</v>
      </c>
      <c r="K3068">
        <v>46236</v>
      </c>
      <c r="L3068">
        <f t="shared" si="283"/>
        <v>2.1230934769443723</v>
      </c>
      <c r="M3068">
        <v>3853</v>
      </c>
      <c r="N3068" s="2">
        <f t="shared" si="288"/>
        <v>25.47712172333247</v>
      </c>
      <c r="O3068">
        <v>12</v>
      </c>
    </row>
    <row r="3069" spans="1:15" x14ac:dyDescent="0.25">
      <c r="A3069" t="s">
        <v>46</v>
      </c>
      <c r="B3069" t="s">
        <v>16</v>
      </c>
      <c r="C3069" t="s">
        <v>41</v>
      </c>
      <c r="D3069" t="str">
        <f t="shared" si="284"/>
        <v>FAB3_1L  Ent Entera</v>
      </c>
      <c r="E3069">
        <v>2023</v>
      </c>
      <c r="F3069">
        <v>9</v>
      </c>
      <c r="G3069">
        <f t="shared" si="285"/>
        <v>3</v>
      </c>
      <c r="H3069" s="1">
        <f t="shared" si="286"/>
        <v>44984</v>
      </c>
      <c r="I3069" s="1">
        <f t="shared" si="287"/>
        <v>44986</v>
      </c>
      <c r="J3069">
        <v>1620060.6399999983</v>
      </c>
      <c r="K3069">
        <v>79800</v>
      </c>
      <c r="L3069">
        <f t="shared" si="283"/>
        <v>20.3015117794486</v>
      </c>
      <c r="M3069">
        <v>6650</v>
      </c>
      <c r="N3069" s="2">
        <f t="shared" si="288"/>
        <v>243.61814135338321</v>
      </c>
      <c r="O3069">
        <v>12</v>
      </c>
    </row>
    <row r="3070" spans="1:15" x14ac:dyDescent="0.25">
      <c r="A3070" t="s">
        <v>46</v>
      </c>
      <c r="B3070" t="s">
        <v>16</v>
      </c>
      <c r="C3070" t="s">
        <v>41</v>
      </c>
      <c r="D3070" t="str">
        <f t="shared" si="284"/>
        <v>FAB3_1L  Ent Entera</v>
      </c>
      <c r="E3070">
        <v>2023</v>
      </c>
      <c r="F3070">
        <v>10</v>
      </c>
      <c r="G3070">
        <f t="shared" si="285"/>
        <v>3</v>
      </c>
      <c r="H3070" s="1">
        <f t="shared" si="286"/>
        <v>44991</v>
      </c>
      <c r="I3070" s="1">
        <f t="shared" si="287"/>
        <v>44986</v>
      </c>
      <c r="J3070">
        <v>909645.28</v>
      </c>
      <c r="K3070">
        <v>50532</v>
      </c>
      <c r="L3070">
        <f t="shared" ref="L3070:L3133" si="289">J3070/(M3070*O3070)</f>
        <v>18.001371012427768</v>
      </c>
      <c r="M3070">
        <v>4211</v>
      </c>
      <c r="N3070" s="2">
        <f t="shared" si="288"/>
        <v>216.01645214913322</v>
      </c>
      <c r="O3070">
        <v>12</v>
      </c>
    </row>
    <row r="3071" spans="1:15" x14ac:dyDescent="0.25">
      <c r="A3071" t="s">
        <v>46</v>
      </c>
      <c r="B3071" t="s">
        <v>16</v>
      </c>
      <c r="C3071" t="s">
        <v>41</v>
      </c>
      <c r="D3071" t="str">
        <f t="shared" si="284"/>
        <v>FAB3_1L  Ent Entera</v>
      </c>
      <c r="E3071">
        <v>2023</v>
      </c>
      <c r="F3071">
        <v>10</v>
      </c>
      <c r="G3071">
        <f t="shared" si="285"/>
        <v>3</v>
      </c>
      <c r="H3071" s="1">
        <f t="shared" si="286"/>
        <v>44991</v>
      </c>
      <c r="I3071" s="1">
        <f t="shared" si="287"/>
        <v>44986</v>
      </c>
      <c r="J3071">
        <v>1488382.6799999997</v>
      </c>
      <c r="K3071">
        <v>76416</v>
      </c>
      <c r="L3071">
        <f t="shared" si="289"/>
        <v>19.477369660804015</v>
      </c>
      <c r="M3071">
        <v>6368</v>
      </c>
      <c r="N3071" s="2">
        <f t="shared" si="288"/>
        <v>233.72843592964819</v>
      </c>
      <c r="O3071">
        <v>12</v>
      </c>
    </row>
    <row r="3072" spans="1:15" x14ac:dyDescent="0.25">
      <c r="A3072" t="s">
        <v>46</v>
      </c>
      <c r="B3072" t="s">
        <v>16</v>
      </c>
      <c r="C3072" t="s">
        <v>41</v>
      </c>
      <c r="D3072" t="str">
        <f t="shared" si="284"/>
        <v>FAB3_1L  Ent Entera</v>
      </c>
      <c r="E3072">
        <v>2023</v>
      </c>
      <c r="F3072">
        <v>11</v>
      </c>
      <c r="G3072">
        <f t="shared" si="285"/>
        <v>3</v>
      </c>
      <c r="H3072" s="1">
        <f t="shared" si="286"/>
        <v>44998</v>
      </c>
      <c r="I3072" s="1">
        <f t="shared" si="287"/>
        <v>44986</v>
      </c>
      <c r="J3072">
        <v>72352.81</v>
      </c>
      <c r="K3072">
        <v>4152</v>
      </c>
      <c r="L3072">
        <f t="shared" si="289"/>
        <v>17.426013969171482</v>
      </c>
      <c r="M3072">
        <v>346</v>
      </c>
      <c r="N3072" s="2">
        <f t="shared" si="288"/>
        <v>209.1121676300578</v>
      </c>
      <c r="O3072">
        <v>12</v>
      </c>
    </row>
    <row r="3073" spans="1:15" x14ac:dyDescent="0.25">
      <c r="A3073" t="s">
        <v>46</v>
      </c>
      <c r="B3073" t="s">
        <v>16</v>
      </c>
      <c r="C3073" t="s">
        <v>41</v>
      </c>
      <c r="D3073" t="str">
        <f t="shared" si="284"/>
        <v>FAB3_1L  Ent Entera</v>
      </c>
      <c r="E3073">
        <v>2023</v>
      </c>
      <c r="F3073">
        <v>11</v>
      </c>
      <c r="G3073">
        <f t="shared" si="285"/>
        <v>3</v>
      </c>
      <c r="H3073" s="1">
        <f t="shared" si="286"/>
        <v>44998</v>
      </c>
      <c r="I3073" s="1">
        <f t="shared" si="287"/>
        <v>44986</v>
      </c>
      <c r="J3073">
        <v>1713074.3999999994</v>
      </c>
      <c r="K3073">
        <v>89376</v>
      </c>
      <c r="L3073">
        <f t="shared" si="289"/>
        <v>19.167051557465086</v>
      </c>
      <c r="M3073">
        <v>7448</v>
      </c>
      <c r="N3073" s="2">
        <f t="shared" si="288"/>
        <v>230.00461868958101</v>
      </c>
      <c r="O3073">
        <v>12</v>
      </c>
    </row>
    <row r="3074" spans="1:15" x14ac:dyDescent="0.25">
      <c r="A3074" t="s">
        <v>46</v>
      </c>
      <c r="B3074" t="s">
        <v>16</v>
      </c>
      <c r="C3074" t="s">
        <v>41</v>
      </c>
      <c r="D3074" t="str">
        <f t="shared" si="284"/>
        <v>FAB3_1L  Ent Entera</v>
      </c>
      <c r="E3074">
        <v>2023</v>
      </c>
      <c r="F3074">
        <v>12</v>
      </c>
      <c r="G3074">
        <f t="shared" si="285"/>
        <v>3</v>
      </c>
      <c r="H3074" s="1">
        <f t="shared" si="286"/>
        <v>45005</v>
      </c>
      <c r="I3074" s="1">
        <f t="shared" si="287"/>
        <v>44986</v>
      </c>
      <c r="J3074">
        <v>330233.01</v>
      </c>
      <c r="K3074">
        <v>19164</v>
      </c>
      <c r="L3074">
        <f t="shared" si="289"/>
        <v>17.231945835942394</v>
      </c>
      <c r="M3074">
        <v>1597</v>
      </c>
      <c r="N3074" s="2">
        <f t="shared" si="288"/>
        <v>206.78335003130871</v>
      </c>
      <c r="O3074">
        <v>12</v>
      </c>
    </row>
    <row r="3075" spans="1:15" x14ac:dyDescent="0.25">
      <c r="A3075" t="s">
        <v>46</v>
      </c>
      <c r="B3075" t="s">
        <v>16</v>
      </c>
      <c r="C3075" t="s">
        <v>41</v>
      </c>
      <c r="D3075" t="str">
        <f t="shared" ref="D3075:D3138" si="290">B3075&amp;"_"&amp;C3075</f>
        <v>FAB3_1L  Ent Entera</v>
      </c>
      <c r="E3075">
        <v>2023</v>
      </c>
      <c r="F3075">
        <v>12</v>
      </c>
      <c r="G3075">
        <f t="shared" ref="G3075:G3138" si="291">MONTH(DATE(E3075,1,4)+(F3075-1)*7-WEEKDAY(DATE(E3075,1,4),2)+4)</f>
        <v>3</v>
      </c>
      <c r="H3075" s="1">
        <f t="shared" ref="H3075:H3138" si="292">DATE(E3075,1,-2)-WEEKDAY(DATE(E3075,1,3))+F3075*7</f>
        <v>45005</v>
      </c>
      <c r="I3075" s="1">
        <f t="shared" ref="I3075:I3138" si="293">DATE(E3075,G3075,1)</f>
        <v>44986</v>
      </c>
      <c r="J3075">
        <v>1372574.3099999989</v>
      </c>
      <c r="K3075">
        <v>68700</v>
      </c>
      <c r="L3075">
        <f t="shared" si="289"/>
        <v>19.979247598253259</v>
      </c>
      <c r="M3075">
        <v>5725</v>
      </c>
      <c r="N3075" s="2">
        <f t="shared" ref="N3075:N3138" si="294">J3075/M3075</f>
        <v>239.75097117903911</v>
      </c>
      <c r="O3075">
        <v>12</v>
      </c>
    </row>
    <row r="3076" spans="1:15" x14ac:dyDescent="0.25">
      <c r="A3076" t="s">
        <v>46</v>
      </c>
      <c r="B3076" t="s">
        <v>16</v>
      </c>
      <c r="C3076" t="s">
        <v>41</v>
      </c>
      <c r="D3076" t="str">
        <f t="shared" si="290"/>
        <v>FAB3_1L  Ent Entera</v>
      </c>
      <c r="E3076">
        <v>2023</v>
      </c>
      <c r="F3076">
        <v>13</v>
      </c>
      <c r="G3076">
        <f t="shared" si="291"/>
        <v>3</v>
      </c>
      <c r="H3076" s="1">
        <f t="shared" si="292"/>
        <v>45012</v>
      </c>
      <c r="I3076" s="1">
        <f t="shared" si="293"/>
        <v>44986</v>
      </c>
      <c r="J3076">
        <v>1252715.6600000001</v>
      </c>
      <c r="K3076">
        <v>73164</v>
      </c>
      <c r="L3076">
        <f t="shared" si="289"/>
        <v>17.12202257941064</v>
      </c>
      <c r="M3076">
        <v>6097</v>
      </c>
      <c r="N3076" s="2">
        <f t="shared" si="294"/>
        <v>205.46427095292771</v>
      </c>
      <c r="O3076">
        <v>12</v>
      </c>
    </row>
    <row r="3077" spans="1:15" x14ac:dyDescent="0.25">
      <c r="A3077" t="s">
        <v>46</v>
      </c>
      <c r="B3077" t="s">
        <v>16</v>
      </c>
      <c r="C3077" t="s">
        <v>41</v>
      </c>
      <c r="D3077" t="str">
        <f t="shared" si="290"/>
        <v>FAB3_1L  Ent Entera</v>
      </c>
      <c r="E3077">
        <v>2023</v>
      </c>
      <c r="F3077">
        <v>13</v>
      </c>
      <c r="G3077">
        <f t="shared" si="291"/>
        <v>3</v>
      </c>
      <c r="H3077" s="1">
        <f t="shared" si="292"/>
        <v>45012</v>
      </c>
      <c r="I3077" s="1">
        <f t="shared" si="293"/>
        <v>44986</v>
      </c>
      <c r="J3077">
        <v>1252233.0299999989</v>
      </c>
      <c r="K3077">
        <v>61104</v>
      </c>
      <c r="L3077">
        <f t="shared" si="289"/>
        <v>20.493470640219936</v>
      </c>
      <c r="M3077">
        <v>5092</v>
      </c>
      <c r="N3077" s="2">
        <f t="shared" si="294"/>
        <v>245.92164768263922</v>
      </c>
      <c r="O3077">
        <v>12</v>
      </c>
    </row>
    <row r="3078" spans="1:15" x14ac:dyDescent="0.25">
      <c r="A3078" t="s">
        <v>46</v>
      </c>
      <c r="B3078" t="s">
        <v>16</v>
      </c>
      <c r="C3078" t="s">
        <v>41</v>
      </c>
      <c r="D3078" t="str">
        <f t="shared" si="290"/>
        <v>FAB3_1L  Ent Entera</v>
      </c>
      <c r="E3078">
        <v>2023</v>
      </c>
      <c r="F3078">
        <v>14</v>
      </c>
      <c r="G3078">
        <f t="shared" si="291"/>
        <v>4</v>
      </c>
      <c r="H3078" s="1">
        <f t="shared" si="292"/>
        <v>45019</v>
      </c>
      <c r="I3078" s="1">
        <f t="shared" si="293"/>
        <v>45017</v>
      </c>
      <c r="J3078">
        <v>42246.7</v>
      </c>
      <c r="K3078">
        <v>2196</v>
      </c>
      <c r="L3078">
        <f t="shared" si="289"/>
        <v>19.238023679417122</v>
      </c>
      <c r="M3078">
        <v>183</v>
      </c>
      <c r="N3078" s="2">
        <f t="shared" si="294"/>
        <v>230.85628415300545</v>
      </c>
      <c r="O3078">
        <v>12</v>
      </c>
    </row>
    <row r="3079" spans="1:15" x14ac:dyDescent="0.25">
      <c r="A3079" t="s">
        <v>46</v>
      </c>
      <c r="B3079" t="s">
        <v>16</v>
      </c>
      <c r="C3079" t="s">
        <v>41</v>
      </c>
      <c r="D3079" t="str">
        <f t="shared" si="290"/>
        <v>FAB3_1L  Ent Entera</v>
      </c>
      <c r="E3079">
        <v>2023</v>
      </c>
      <c r="F3079">
        <v>14</v>
      </c>
      <c r="G3079">
        <f t="shared" si="291"/>
        <v>4</v>
      </c>
      <c r="H3079" s="1">
        <f t="shared" si="292"/>
        <v>45019</v>
      </c>
      <c r="I3079" s="1">
        <f t="shared" si="293"/>
        <v>45017</v>
      </c>
      <c r="J3079">
        <v>1576300.74</v>
      </c>
      <c r="K3079">
        <v>77256</v>
      </c>
      <c r="L3079">
        <f t="shared" si="289"/>
        <v>20.403602826964896</v>
      </c>
      <c r="M3079">
        <v>6438</v>
      </c>
      <c r="N3079" s="2">
        <f t="shared" si="294"/>
        <v>244.84323392357874</v>
      </c>
      <c r="O3079">
        <v>12</v>
      </c>
    </row>
    <row r="3080" spans="1:15" x14ac:dyDescent="0.25">
      <c r="A3080" t="s">
        <v>46</v>
      </c>
      <c r="B3080" t="s">
        <v>16</v>
      </c>
      <c r="C3080" t="s">
        <v>41</v>
      </c>
      <c r="D3080" t="str">
        <f t="shared" si="290"/>
        <v>FAB3_1L  Ent Entera</v>
      </c>
      <c r="E3080">
        <v>2023</v>
      </c>
      <c r="F3080">
        <v>15</v>
      </c>
      <c r="G3080">
        <f t="shared" si="291"/>
        <v>4</v>
      </c>
      <c r="H3080" s="1">
        <f t="shared" si="292"/>
        <v>45026</v>
      </c>
      <c r="I3080" s="1">
        <f t="shared" si="293"/>
        <v>45017</v>
      </c>
      <c r="J3080">
        <v>22219.510000000002</v>
      </c>
      <c r="K3080">
        <v>1128</v>
      </c>
      <c r="L3080">
        <f t="shared" si="289"/>
        <v>19.69814716312057</v>
      </c>
      <c r="M3080">
        <v>94</v>
      </c>
      <c r="N3080" s="2">
        <f t="shared" si="294"/>
        <v>236.37776595744683</v>
      </c>
      <c r="O3080">
        <v>12</v>
      </c>
    </row>
    <row r="3081" spans="1:15" x14ac:dyDescent="0.25">
      <c r="A3081" t="s">
        <v>46</v>
      </c>
      <c r="B3081" t="s">
        <v>16</v>
      </c>
      <c r="C3081" t="s">
        <v>41</v>
      </c>
      <c r="D3081" t="str">
        <f t="shared" si="290"/>
        <v>FAB3_1L  Ent Entera</v>
      </c>
      <c r="E3081">
        <v>2023</v>
      </c>
      <c r="F3081">
        <v>15</v>
      </c>
      <c r="G3081">
        <f t="shared" si="291"/>
        <v>4</v>
      </c>
      <c r="H3081" s="1">
        <f t="shared" si="292"/>
        <v>45026</v>
      </c>
      <c r="I3081" s="1">
        <f t="shared" si="293"/>
        <v>45017</v>
      </c>
      <c r="J3081">
        <v>1696398.1899999981</v>
      </c>
      <c r="K3081">
        <v>84984</v>
      </c>
      <c r="L3081">
        <f t="shared" si="289"/>
        <v>19.961383201543796</v>
      </c>
      <c r="M3081">
        <v>7082</v>
      </c>
      <c r="N3081" s="2">
        <f t="shared" si="294"/>
        <v>239.53659841852556</v>
      </c>
      <c r="O3081">
        <v>12</v>
      </c>
    </row>
    <row r="3082" spans="1:15" x14ac:dyDescent="0.25">
      <c r="A3082" t="s">
        <v>46</v>
      </c>
      <c r="B3082" t="s">
        <v>16</v>
      </c>
      <c r="C3082" t="s">
        <v>41</v>
      </c>
      <c r="D3082" t="str">
        <f t="shared" si="290"/>
        <v>FAB3_1L  Ent Entera</v>
      </c>
      <c r="E3082">
        <v>2023</v>
      </c>
      <c r="F3082">
        <v>16</v>
      </c>
      <c r="G3082">
        <f t="shared" si="291"/>
        <v>4</v>
      </c>
      <c r="H3082" s="1">
        <f t="shared" si="292"/>
        <v>45033</v>
      </c>
      <c r="I3082" s="1">
        <f t="shared" si="293"/>
        <v>45017</v>
      </c>
      <c r="J3082">
        <v>32465.850000000002</v>
      </c>
      <c r="K3082">
        <v>1716</v>
      </c>
      <c r="L3082">
        <f t="shared" si="289"/>
        <v>18.919493006993008</v>
      </c>
      <c r="M3082">
        <v>143</v>
      </c>
      <c r="N3082" s="2">
        <f t="shared" si="294"/>
        <v>227.0339160839161</v>
      </c>
      <c r="O3082">
        <v>12</v>
      </c>
    </row>
    <row r="3083" spans="1:15" x14ac:dyDescent="0.25">
      <c r="A3083" t="s">
        <v>46</v>
      </c>
      <c r="B3083" t="s">
        <v>16</v>
      </c>
      <c r="C3083" t="s">
        <v>41</v>
      </c>
      <c r="D3083" t="str">
        <f t="shared" si="290"/>
        <v>FAB3_1L  Ent Entera</v>
      </c>
      <c r="E3083">
        <v>2023</v>
      </c>
      <c r="F3083">
        <v>16</v>
      </c>
      <c r="G3083">
        <f t="shared" si="291"/>
        <v>4</v>
      </c>
      <c r="H3083" s="1">
        <f t="shared" si="292"/>
        <v>45033</v>
      </c>
      <c r="I3083" s="1">
        <f t="shared" si="293"/>
        <v>45017</v>
      </c>
      <c r="J3083">
        <v>1581011.109999998</v>
      </c>
      <c r="K3083">
        <v>77340</v>
      </c>
      <c r="L3083">
        <f t="shared" si="289"/>
        <v>20.442346909749133</v>
      </c>
      <c r="M3083">
        <v>6445</v>
      </c>
      <c r="N3083" s="2">
        <f t="shared" si="294"/>
        <v>245.3081629169896</v>
      </c>
      <c r="O3083">
        <v>12</v>
      </c>
    </row>
    <row r="3084" spans="1:15" x14ac:dyDescent="0.25">
      <c r="A3084" t="s">
        <v>46</v>
      </c>
      <c r="B3084" t="s">
        <v>16</v>
      </c>
      <c r="C3084" t="s">
        <v>41</v>
      </c>
      <c r="D3084" t="str">
        <f t="shared" si="290"/>
        <v>FAB3_1L  Ent Entera</v>
      </c>
      <c r="E3084">
        <v>2023</v>
      </c>
      <c r="F3084">
        <v>17</v>
      </c>
      <c r="G3084">
        <f t="shared" si="291"/>
        <v>4</v>
      </c>
      <c r="H3084" s="1">
        <f t="shared" si="292"/>
        <v>45040</v>
      </c>
      <c r="I3084" s="1">
        <f t="shared" si="293"/>
        <v>45017</v>
      </c>
      <c r="J3084">
        <v>57995.37999999999</v>
      </c>
      <c r="K3084">
        <v>3132</v>
      </c>
      <c r="L3084">
        <f t="shared" si="289"/>
        <v>18.517043422733074</v>
      </c>
      <c r="M3084">
        <v>261</v>
      </c>
      <c r="N3084" s="2">
        <f t="shared" si="294"/>
        <v>222.20452107279689</v>
      </c>
      <c r="O3084">
        <v>12</v>
      </c>
    </row>
    <row r="3085" spans="1:15" x14ac:dyDescent="0.25">
      <c r="A3085" t="s">
        <v>46</v>
      </c>
      <c r="B3085" t="s">
        <v>16</v>
      </c>
      <c r="C3085" t="s">
        <v>41</v>
      </c>
      <c r="D3085" t="str">
        <f t="shared" si="290"/>
        <v>FAB3_1L  Ent Entera</v>
      </c>
      <c r="E3085">
        <v>2023</v>
      </c>
      <c r="F3085">
        <v>17</v>
      </c>
      <c r="G3085">
        <f t="shared" si="291"/>
        <v>4</v>
      </c>
      <c r="H3085" s="1">
        <f t="shared" si="292"/>
        <v>45040</v>
      </c>
      <c r="I3085" s="1">
        <f t="shared" si="293"/>
        <v>45017</v>
      </c>
      <c r="J3085">
        <v>1264438.1299999994</v>
      </c>
      <c r="K3085">
        <v>62676</v>
      </c>
      <c r="L3085">
        <f t="shared" si="289"/>
        <v>20.174199534111931</v>
      </c>
      <c r="M3085">
        <v>5223</v>
      </c>
      <c r="N3085" s="2">
        <f t="shared" si="294"/>
        <v>242.09039440934319</v>
      </c>
      <c r="O3085">
        <v>12</v>
      </c>
    </row>
    <row r="3086" spans="1:15" x14ac:dyDescent="0.25">
      <c r="A3086" t="s">
        <v>46</v>
      </c>
      <c r="B3086" t="s">
        <v>16</v>
      </c>
      <c r="C3086" t="s">
        <v>41</v>
      </c>
      <c r="D3086" t="str">
        <f t="shared" si="290"/>
        <v>FAB3_1L  Ent Entera</v>
      </c>
      <c r="E3086">
        <v>2023</v>
      </c>
      <c r="F3086">
        <v>18</v>
      </c>
      <c r="G3086">
        <f t="shared" si="291"/>
        <v>5</v>
      </c>
      <c r="H3086" s="1">
        <f t="shared" si="292"/>
        <v>45047</v>
      </c>
      <c r="I3086" s="1">
        <f t="shared" si="293"/>
        <v>45047</v>
      </c>
      <c r="J3086">
        <v>71514.579999999987</v>
      </c>
      <c r="K3086">
        <v>3876</v>
      </c>
      <c r="L3086">
        <f t="shared" si="289"/>
        <v>18.450614035087717</v>
      </c>
      <c r="M3086">
        <v>323</v>
      </c>
      <c r="N3086" s="2">
        <f t="shared" si="294"/>
        <v>221.40736842105258</v>
      </c>
      <c r="O3086">
        <v>12</v>
      </c>
    </row>
    <row r="3087" spans="1:15" x14ac:dyDescent="0.25">
      <c r="A3087" t="s">
        <v>46</v>
      </c>
      <c r="B3087" t="s">
        <v>16</v>
      </c>
      <c r="C3087" t="s">
        <v>41</v>
      </c>
      <c r="D3087" t="str">
        <f t="shared" si="290"/>
        <v>FAB3_1L  Ent Entera</v>
      </c>
      <c r="E3087">
        <v>2023</v>
      </c>
      <c r="F3087">
        <v>18</v>
      </c>
      <c r="G3087">
        <f t="shared" si="291"/>
        <v>5</v>
      </c>
      <c r="H3087" s="1">
        <f t="shared" si="292"/>
        <v>45047</v>
      </c>
      <c r="I3087" s="1">
        <f t="shared" si="293"/>
        <v>45047</v>
      </c>
      <c r="J3087">
        <v>1614061.7499999993</v>
      </c>
      <c r="K3087">
        <v>78972</v>
      </c>
      <c r="L3087">
        <f t="shared" si="289"/>
        <v>20.43840538418679</v>
      </c>
      <c r="M3087">
        <v>6581</v>
      </c>
      <c r="N3087" s="2">
        <f t="shared" si="294"/>
        <v>245.2608646102415</v>
      </c>
      <c r="O3087">
        <v>12</v>
      </c>
    </row>
    <row r="3088" spans="1:15" x14ac:dyDescent="0.25">
      <c r="A3088" t="s">
        <v>46</v>
      </c>
      <c r="B3088" t="s">
        <v>16</v>
      </c>
      <c r="C3088" t="s">
        <v>41</v>
      </c>
      <c r="D3088" t="str">
        <f t="shared" si="290"/>
        <v>FAB3_1L  Ent Entera</v>
      </c>
      <c r="E3088">
        <v>2023</v>
      </c>
      <c r="F3088">
        <v>19</v>
      </c>
      <c r="G3088">
        <f t="shared" si="291"/>
        <v>5</v>
      </c>
      <c r="H3088" s="1">
        <f t="shared" si="292"/>
        <v>45054</v>
      </c>
      <c r="I3088" s="1">
        <f t="shared" si="293"/>
        <v>45047</v>
      </c>
      <c r="J3088">
        <v>96484.04</v>
      </c>
      <c r="K3088">
        <v>5136</v>
      </c>
      <c r="L3088">
        <f t="shared" si="289"/>
        <v>18.785833333333333</v>
      </c>
      <c r="M3088">
        <v>428</v>
      </c>
      <c r="N3088" s="2">
        <f t="shared" si="294"/>
        <v>225.42999999999998</v>
      </c>
      <c r="O3088">
        <v>12</v>
      </c>
    </row>
    <row r="3089" spans="1:15" x14ac:dyDescent="0.25">
      <c r="A3089" t="s">
        <v>46</v>
      </c>
      <c r="B3089" t="s">
        <v>16</v>
      </c>
      <c r="C3089" t="s">
        <v>41</v>
      </c>
      <c r="D3089" t="str">
        <f t="shared" si="290"/>
        <v>FAB3_1L  Ent Entera</v>
      </c>
      <c r="E3089">
        <v>2023</v>
      </c>
      <c r="F3089">
        <v>19</v>
      </c>
      <c r="G3089">
        <f t="shared" si="291"/>
        <v>5</v>
      </c>
      <c r="H3089" s="1">
        <f t="shared" si="292"/>
        <v>45054</v>
      </c>
      <c r="I3089" s="1">
        <f t="shared" si="293"/>
        <v>45047</v>
      </c>
      <c r="J3089">
        <v>1323360.51</v>
      </c>
      <c r="K3089">
        <v>66240</v>
      </c>
      <c r="L3089">
        <f t="shared" si="289"/>
        <v>19.97826856884058</v>
      </c>
      <c r="M3089">
        <v>5520</v>
      </c>
      <c r="N3089" s="2">
        <f t="shared" si="294"/>
        <v>239.73922282608694</v>
      </c>
      <c r="O3089">
        <v>12</v>
      </c>
    </row>
    <row r="3090" spans="1:15" x14ac:dyDescent="0.25">
      <c r="A3090" t="s">
        <v>46</v>
      </c>
      <c r="B3090" t="s">
        <v>16</v>
      </c>
      <c r="C3090" t="s">
        <v>41</v>
      </c>
      <c r="D3090" t="str">
        <f t="shared" si="290"/>
        <v>FAB3_1L  Ent Entera</v>
      </c>
      <c r="E3090">
        <v>2023</v>
      </c>
      <c r="F3090">
        <v>20</v>
      </c>
      <c r="G3090">
        <f t="shared" si="291"/>
        <v>5</v>
      </c>
      <c r="H3090" s="1">
        <f t="shared" si="292"/>
        <v>45061</v>
      </c>
      <c r="I3090" s="1">
        <f t="shared" si="293"/>
        <v>45047</v>
      </c>
      <c r="J3090">
        <v>64950.36</v>
      </c>
      <c r="K3090">
        <v>3660</v>
      </c>
      <c r="L3090">
        <f t="shared" si="289"/>
        <v>17.745999999999999</v>
      </c>
      <c r="M3090">
        <v>305</v>
      </c>
      <c r="N3090" s="2">
        <f t="shared" si="294"/>
        <v>212.952</v>
      </c>
      <c r="O3090">
        <v>12</v>
      </c>
    </row>
    <row r="3091" spans="1:15" x14ac:dyDescent="0.25">
      <c r="A3091" t="s">
        <v>46</v>
      </c>
      <c r="B3091" t="s">
        <v>16</v>
      </c>
      <c r="C3091" t="s">
        <v>41</v>
      </c>
      <c r="D3091" t="str">
        <f t="shared" si="290"/>
        <v>FAB3_1L  Ent Entera</v>
      </c>
      <c r="E3091">
        <v>2023</v>
      </c>
      <c r="F3091">
        <v>20</v>
      </c>
      <c r="G3091">
        <f t="shared" si="291"/>
        <v>5</v>
      </c>
      <c r="H3091" s="1">
        <f t="shared" si="292"/>
        <v>45061</v>
      </c>
      <c r="I3091" s="1">
        <f t="shared" si="293"/>
        <v>45047</v>
      </c>
      <c r="J3091">
        <v>1232387.709999999</v>
      </c>
      <c r="K3091">
        <v>60912</v>
      </c>
      <c r="L3091">
        <f t="shared" si="289"/>
        <v>20.232264742579442</v>
      </c>
      <c r="M3091">
        <v>5076</v>
      </c>
      <c r="N3091" s="2">
        <f t="shared" si="294"/>
        <v>242.78717691095332</v>
      </c>
      <c r="O3091">
        <v>12</v>
      </c>
    </row>
    <row r="3092" spans="1:15" x14ac:dyDescent="0.25">
      <c r="A3092" t="s">
        <v>46</v>
      </c>
      <c r="B3092" t="s">
        <v>16</v>
      </c>
      <c r="C3092" t="s">
        <v>41</v>
      </c>
      <c r="D3092" t="str">
        <f t="shared" si="290"/>
        <v>FAB3_1L  Ent Entera</v>
      </c>
      <c r="E3092">
        <v>2023</v>
      </c>
      <c r="F3092">
        <v>21</v>
      </c>
      <c r="G3092">
        <f t="shared" si="291"/>
        <v>5</v>
      </c>
      <c r="H3092" s="1">
        <f t="shared" si="292"/>
        <v>45068</v>
      </c>
      <c r="I3092" s="1">
        <f t="shared" si="293"/>
        <v>45047</v>
      </c>
      <c r="J3092">
        <v>1188.8600000000001</v>
      </c>
      <c r="K3092">
        <v>60</v>
      </c>
      <c r="L3092">
        <f t="shared" si="289"/>
        <v>19.814333333333334</v>
      </c>
      <c r="M3092">
        <v>5</v>
      </c>
      <c r="N3092" s="2">
        <f t="shared" si="294"/>
        <v>237.77200000000002</v>
      </c>
      <c r="O3092">
        <v>12</v>
      </c>
    </row>
    <row r="3093" spans="1:15" x14ac:dyDescent="0.25">
      <c r="A3093" t="s">
        <v>46</v>
      </c>
      <c r="B3093" t="s">
        <v>16</v>
      </c>
      <c r="C3093" t="s">
        <v>41</v>
      </c>
      <c r="D3093" t="str">
        <f t="shared" si="290"/>
        <v>FAB3_1L  Ent Entera</v>
      </c>
      <c r="E3093">
        <v>2023</v>
      </c>
      <c r="F3093">
        <v>21</v>
      </c>
      <c r="G3093">
        <f t="shared" si="291"/>
        <v>5</v>
      </c>
      <c r="H3093" s="1">
        <f t="shared" si="292"/>
        <v>45068</v>
      </c>
      <c r="I3093" s="1">
        <f t="shared" si="293"/>
        <v>45047</v>
      </c>
      <c r="J3093">
        <v>1230886.0699999994</v>
      </c>
      <c r="K3093">
        <v>61800</v>
      </c>
      <c r="L3093">
        <f t="shared" si="289"/>
        <v>19.917250323624586</v>
      </c>
      <c r="M3093">
        <v>5150</v>
      </c>
      <c r="N3093" s="2">
        <f t="shared" si="294"/>
        <v>239.00700388349503</v>
      </c>
      <c r="O3093">
        <v>12</v>
      </c>
    </row>
    <row r="3094" spans="1:15" x14ac:dyDescent="0.25">
      <c r="A3094" t="s">
        <v>46</v>
      </c>
      <c r="B3094" t="s">
        <v>16</v>
      </c>
      <c r="C3094" t="s">
        <v>41</v>
      </c>
      <c r="D3094" t="str">
        <f t="shared" si="290"/>
        <v>FAB3_1L  Ent Entera</v>
      </c>
      <c r="E3094">
        <v>2023</v>
      </c>
      <c r="F3094">
        <v>22</v>
      </c>
      <c r="G3094">
        <f t="shared" si="291"/>
        <v>6</v>
      </c>
      <c r="H3094" s="1">
        <f t="shared" si="292"/>
        <v>45075</v>
      </c>
      <c r="I3094" s="1">
        <f t="shared" si="293"/>
        <v>45078</v>
      </c>
      <c r="J3094">
        <v>984</v>
      </c>
      <c r="K3094">
        <v>48</v>
      </c>
      <c r="L3094">
        <f t="shared" si="289"/>
        <v>20.5</v>
      </c>
      <c r="M3094">
        <v>4</v>
      </c>
      <c r="N3094" s="2">
        <f t="shared" si="294"/>
        <v>246</v>
      </c>
      <c r="O3094">
        <v>12</v>
      </c>
    </row>
    <row r="3095" spans="1:15" x14ac:dyDescent="0.25">
      <c r="A3095" t="s">
        <v>46</v>
      </c>
      <c r="B3095" t="s">
        <v>16</v>
      </c>
      <c r="C3095" t="s">
        <v>41</v>
      </c>
      <c r="D3095" t="str">
        <f t="shared" si="290"/>
        <v>FAB3_1L  Ent Entera</v>
      </c>
      <c r="E3095">
        <v>2023</v>
      </c>
      <c r="F3095">
        <v>22</v>
      </c>
      <c r="G3095">
        <f t="shared" si="291"/>
        <v>6</v>
      </c>
      <c r="H3095" s="1">
        <f t="shared" si="292"/>
        <v>45075</v>
      </c>
      <c r="I3095" s="1">
        <f t="shared" si="293"/>
        <v>45078</v>
      </c>
      <c r="J3095">
        <v>1457582.6899999983</v>
      </c>
      <c r="K3095">
        <v>71208</v>
      </c>
      <c r="L3095">
        <f t="shared" si="289"/>
        <v>20.469367065498236</v>
      </c>
      <c r="M3095">
        <v>5934</v>
      </c>
      <c r="N3095" s="2">
        <f t="shared" si="294"/>
        <v>245.63240478597882</v>
      </c>
      <c r="O3095">
        <v>12</v>
      </c>
    </row>
    <row r="3096" spans="1:15" x14ac:dyDescent="0.25">
      <c r="A3096" t="s">
        <v>46</v>
      </c>
      <c r="B3096" t="s">
        <v>16</v>
      </c>
      <c r="C3096" t="s">
        <v>41</v>
      </c>
      <c r="D3096" t="str">
        <f t="shared" si="290"/>
        <v>FAB3_1L  Ent Entera</v>
      </c>
      <c r="E3096">
        <v>2023</v>
      </c>
      <c r="F3096">
        <v>23</v>
      </c>
      <c r="G3096">
        <f t="shared" si="291"/>
        <v>6</v>
      </c>
      <c r="H3096" s="1">
        <f t="shared" si="292"/>
        <v>45082</v>
      </c>
      <c r="I3096" s="1">
        <f t="shared" si="293"/>
        <v>45078</v>
      </c>
      <c r="J3096">
        <v>17465.97</v>
      </c>
      <c r="K3096">
        <v>852</v>
      </c>
      <c r="L3096">
        <f t="shared" si="289"/>
        <v>20.499964788732395</v>
      </c>
      <c r="M3096">
        <v>71</v>
      </c>
      <c r="N3096" s="2">
        <f t="shared" si="294"/>
        <v>245.99957746478876</v>
      </c>
      <c r="O3096">
        <v>12</v>
      </c>
    </row>
    <row r="3097" spans="1:15" x14ac:dyDescent="0.25">
      <c r="A3097" t="s">
        <v>46</v>
      </c>
      <c r="B3097" t="s">
        <v>16</v>
      </c>
      <c r="C3097" t="s">
        <v>41</v>
      </c>
      <c r="D3097" t="str">
        <f t="shared" si="290"/>
        <v>FAB3_1L  Ent Entera</v>
      </c>
      <c r="E3097">
        <v>2023</v>
      </c>
      <c r="F3097">
        <v>23</v>
      </c>
      <c r="G3097">
        <f t="shared" si="291"/>
        <v>6</v>
      </c>
      <c r="H3097" s="1">
        <f t="shared" si="292"/>
        <v>45082</v>
      </c>
      <c r="I3097" s="1">
        <f t="shared" si="293"/>
        <v>45078</v>
      </c>
      <c r="J3097">
        <v>1480383.2299999986</v>
      </c>
      <c r="K3097">
        <v>72240</v>
      </c>
      <c r="L3097">
        <f t="shared" si="289"/>
        <v>20.492569629014376</v>
      </c>
      <c r="M3097">
        <v>6020</v>
      </c>
      <c r="N3097" s="2">
        <f t="shared" si="294"/>
        <v>245.91083554817251</v>
      </c>
      <c r="O3097">
        <v>12</v>
      </c>
    </row>
    <row r="3098" spans="1:15" x14ac:dyDescent="0.25">
      <c r="A3098" t="s">
        <v>46</v>
      </c>
      <c r="B3098" t="s">
        <v>16</v>
      </c>
      <c r="C3098" t="s">
        <v>41</v>
      </c>
      <c r="D3098" t="str">
        <f t="shared" si="290"/>
        <v>FAB3_1L  Ent Entera</v>
      </c>
      <c r="E3098">
        <v>2023</v>
      </c>
      <c r="F3098">
        <v>24</v>
      </c>
      <c r="G3098">
        <f t="shared" si="291"/>
        <v>6</v>
      </c>
      <c r="H3098" s="1">
        <f t="shared" si="292"/>
        <v>45089</v>
      </c>
      <c r="I3098" s="1">
        <f t="shared" si="293"/>
        <v>45078</v>
      </c>
      <c r="J3098">
        <v>600041.96</v>
      </c>
      <c r="K3098">
        <v>33204</v>
      </c>
      <c r="L3098">
        <f t="shared" si="289"/>
        <v>18.071375737862908</v>
      </c>
      <c r="M3098">
        <v>2767</v>
      </c>
      <c r="N3098" s="2">
        <f t="shared" si="294"/>
        <v>216.85650885435487</v>
      </c>
      <c r="O3098">
        <v>12</v>
      </c>
    </row>
    <row r="3099" spans="1:15" x14ac:dyDescent="0.25">
      <c r="A3099" t="s">
        <v>46</v>
      </c>
      <c r="B3099" t="s">
        <v>16</v>
      </c>
      <c r="C3099" t="s">
        <v>41</v>
      </c>
      <c r="D3099" t="str">
        <f t="shared" si="290"/>
        <v>FAB3_1L  Ent Entera</v>
      </c>
      <c r="E3099">
        <v>2023</v>
      </c>
      <c r="F3099">
        <v>24</v>
      </c>
      <c r="G3099">
        <f t="shared" si="291"/>
        <v>6</v>
      </c>
      <c r="H3099" s="1">
        <f t="shared" si="292"/>
        <v>45089</v>
      </c>
      <c r="I3099" s="1">
        <f t="shared" si="293"/>
        <v>45078</v>
      </c>
      <c r="J3099">
        <v>1277188.8599999987</v>
      </c>
      <c r="K3099">
        <v>62316</v>
      </c>
      <c r="L3099">
        <f t="shared" si="289"/>
        <v>20.495360100134775</v>
      </c>
      <c r="M3099">
        <v>5193</v>
      </c>
      <c r="N3099" s="2">
        <f t="shared" si="294"/>
        <v>245.9443212016173</v>
      </c>
      <c r="O3099">
        <v>12</v>
      </c>
    </row>
    <row r="3100" spans="1:15" x14ac:dyDescent="0.25">
      <c r="A3100" t="s">
        <v>46</v>
      </c>
      <c r="B3100" t="s">
        <v>16</v>
      </c>
      <c r="C3100" t="s">
        <v>41</v>
      </c>
      <c r="D3100" t="str">
        <f t="shared" si="290"/>
        <v>FAB3_1L  Ent Entera</v>
      </c>
      <c r="E3100">
        <v>2023</v>
      </c>
      <c r="F3100">
        <v>25</v>
      </c>
      <c r="G3100">
        <f t="shared" si="291"/>
        <v>6</v>
      </c>
      <c r="H3100" s="1">
        <f t="shared" si="292"/>
        <v>45096</v>
      </c>
      <c r="I3100" s="1">
        <f t="shared" si="293"/>
        <v>45078</v>
      </c>
      <c r="J3100">
        <v>36654</v>
      </c>
      <c r="K3100">
        <v>1788</v>
      </c>
      <c r="L3100">
        <f t="shared" si="289"/>
        <v>20.5</v>
      </c>
      <c r="M3100">
        <v>149</v>
      </c>
      <c r="N3100" s="2">
        <f t="shared" si="294"/>
        <v>246</v>
      </c>
      <c r="O3100">
        <v>12</v>
      </c>
    </row>
    <row r="3101" spans="1:15" x14ac:dyDescent="0.25">
      <c r="A3101" t="s">
        <v>46</v>
      </c>
      <c r="B3101" t="s">
        <v>16</v>
      </c>
      <c r="C3101" t="s">
        <v>41</v>
      </c>
      <c r="D3101" t="str">
        <f t="shared" si="290"/>
        <v>FAB3_1L  Ent Entera</v>
      </c>
      <c r="E3101">
        <v>2023</v>
      </c>
      <c r="F3101">
        <v>25</v>
      </c>
      <c r="G3101">
        <f t="shared" si="291"/>
        <v>6</v>
      </c>
      <c r="H3101" s="1">
        <f t="shared" si="292"/>
        <v>45096</v>
      </c>
      <c r="I3101" s="1">
        <f t="shared" si="293"/>
        <v>45078</v>
      </c>
      <c r="J3101">
        <v>1680276.7499999977</v>
      </c>
      <c r="K3101">
        <v>84888</v>
      </c>
      <c r="L3101">
        <f t="shared" si="289"/>
        <v>19.794043327678796</v>
      </c>
      <c r="M3101">
        <v>7074</v>
      </c>
      <c r="N3101" s="2">
        <f t="shared" si="294"/>
        <v>237.52851993214557</v>
      </c>
      <c r="O3101">
        <v>12</v>
      </c>
    </row>
    <row r="3102" spans="1:15" x14ac:dyDescent="0.25">
      <c r="A3102" t="s">
        <v>46</v>
      </c>
      <c r="B3102" t="s">
        <v>16</v>
      </c>
      <c r="C3102" t="s">
        <v>41</v>
      </c>
      <c r="D3102" t="str">
        <f t="shared" si="290"/>
        <v>FAB3_1L  Ent Entera</v>
      </c>
      <c r="E3102">
        <v>2023</v>
      </c>
      <c r="F3102">
        <v>26</v>
      </c>
      <c r="G3102">
        <f t="shared" si="291"/>
        <v>6</v>
      </c>
      <c r="H3102" s="1">
        <f t="shared" si="292"/>
        <v>45103</v>
      </c>
      <c r="I3102" s="1">
        <f t="shared" si="293"/>
        <v>45078</v>
      </c>
      <c r="J3102">
        <v>889956</v>
      </c>
      <c r="K3102">
        <v>49032</v>
      </c>
      <c r="L3102">
        <f t="shared" si="289"/>
        <v>18.150513950073421</v>
      </c>
      <c r="M3102">
        <v>4086</v>
      </c>
      <c r="N3102" s="2">
        <f t="shared" si="294"/>
        <v>217.80616740088107</v>
      </c>
      <c r="O3102">
        <v>12</v>
      </c>
    </row>
    <row r="3103" spans="1:15" x14ac:dyDescent="0.25">
      <c r="A3103" t="s">
        <v>46</v>
      </c>
      <c r="B3103" t="s">
        <v>16</v>
      </c>
      <c r="C3103" t="s">
        <v>41</v>
      </c>
      <c r="D3103" t="str">
        <f t="shared" si="290"/>
        <v>FAB3_1L  Ent Entera</v>
      </c>
      <c r="E3103">
        <v>2023</v>
      </c>
      <c r="F3103">
        <v>26</v>
      </c>
      <c r="G3103">
        <f t="shared" si="291"/>
        <v>6</v>
      </c>
      <c r="H3103" s="1">
        <f t="shared" si="292"/>
        <v>45103</v>
      </c>
      <c r="I3103" s="1">
        <f t="shared" si="293"/>
        <v>45078</v>
      </c>
      <c r="J3103">
        <v>1082778.4800000002</v>
      </c>
      <c r="K3103">
        <v>52884</v>
      </c>
      <c r="L3103">
        <f t="shared" si="289"/>
        <v>20.474594962559568</v>
      </c>
      <c r="M3103">
        <v>4407</v>
      </c>
      <c r="N3103" s="2">
        <f t="shared" si="294"/>
        <v>245.69513955071483</v>
      </c>
      <c r="O3103">
        <v>12</v>
      </c>
    </row>
    <row r="3104" spans="1:15" x14ac:dyDescent="0.25">
      <c r="A3104" t="s">
        <v>46</v>
      </c>
      <c r="B3104" t="s">
        <v>16</v>
      </c>
      <c r="C3104" t="s">
        <v>41</v>
      </c>
      <c r="D3104" t="str">
        <f t="shared" si="290"/>
        <v>FAB3_1L  Ent Entera</v>
      </c>
      <c r="E3104">
        <v>2023</v>
      </c>
      <c r="F3104">
        <v>27</v>
      </c>
      <c r="G3104">
        <f t="shared" si="291"/>
        <v>7</v>
      </c>
      <c r="H3104" s="1">
        <f t="shared" si="292"/>
        <v>45110</v>
      </c>
      <c r="I3104" s="1">
        <f t="shared" si="293"/>
        <v>45108</v>
      </c>
      <c r="J3104">
        <v>435398.63</v>
      </c>
      <c r="K3104">
        <v>24048</v>
      </c>
      <c r="L3104">
        <f t="shared" si="289"/>
        <v>18.10539878576181</v>
      </c>
      <c r="M3104">
        <v>2004</v>
      </c>
      <c r="N3104" s="2">
        <f t="shared" si="294"/>
        <v>217.26478542914171</v>
      </c>
      <c r="O3104">
        <v>12</v>
      </c>
    </row>
    <row r="3105" spans="1:15" x14ac:dyDescent="0.25">
      <c r="A3105" t="s">
        <v>46</v>
      </c>
      <c r="B3105" t="s">
        <v>16</v>
      </c>
      <c r="C3105" t="s">
        <v>41</v>
      </c>
      <c r="D3105" t="str">
        <f t="shared" si="290"/>
        <v>FAB3_1L  Ent Entera</v>
      </c>
      <c r="E3105">
        <v>2023</v>
      </c>
      <c r="F3105">
        <v>27</v>
      </c>
      <c r="G3105">
        <f t="shared" si="291"/>
        <v>7</v>
      </c>
      <c r="H3105" s="1">
        <f t="shared" si="292"/>
        <v>45110</v>
      </c>
      <c r="I3105" s="1">
        <f t="shared" si="293"/>
        <v>45108</v>
      </c>
      <c r="J3105">
        <v>1486994.969999999</v>
      </c>
      <c r="K3105">
        <v>71868</v>
      </c>
      <c r="L3105">
        <f t="shared" si="289"/>
        <v>20.690640758056425</v>
      </c>
      <c r="M3105">
        <v>5989</v>
      </c>
      <c r="N3105" s="2">
        <f t="shared" si="294"/>
        <v>248.28768909667707</v>
      </c>
      <c r="O3105">
        <v>12</v>
      </c>
    </row>
    <row r="3106" spans="1:15" x14ac:dyDescent="0.25">
      <c r="A3106" t="s">
        <v>46</v>
      </c>
      <c r="B3106" t="s">
        <v>16</v>
      </c>
      <c r="C3106" t="s">
        <v>41</v>
      </c>
      <c r="D3106" t="str">
        <f t="shared" si="290"/>
        <v>FAB3_1L  Ent Entera</v>
      </c>
      <c r="E3106">
        <v>2023</v>
      </c>
      <c r="F3106">
        <v>28</v>
      </c>
      <c r="G3106">
        <f t="shared" si="291"/>
        <v>7</v>
      </c>
      <c r="H3106" s="1">
        <f t="shared" si="292"/>
        <v>45117</v>
      </c>
      <c r="I3106" s="1">
        <f t="shared" si="293"/>
        <v>45108</v>
      </c>
      <c r="J3106">
        <v>43283.26</v>
      </c>
      <c r="K3106">
        <v>2040</v>
      </c>
      <c r="L3106">
        <f t="shared" si="289"/>
        <v>21.217284313725493</v>
      </c>
      <c r="M3106">
        <v>170</v>
      </c>
      <c r="N3106" s="2">
        <f t="shared" si="294"/>
        <v>254.60741176470589</v>
      </c>
      <c r="O3106">
        <v>12</v>
      </c>
    </row>
    <row r="3107" spans="1:15" x14ac:dyDescent="0.25">
      <c r="A3107" t="s">
        <v>46</v>
      </c>
      <c r="B3107" t="s">
        <v>16</v>
      </c>
      <c r="C3107" t="s">
        <v>41</v>
      </c>
      <c r="D3107" t="str">
        <f t="shared" si="290"/>
        <v>FAB3_1L  Ent Entera</v>
      </c>
      <c r="E3107">
        <v>2023</v>
      </c>
      <c r="F3107">
        <v>28</v>
      </c>
      <c r="G3107">
        <f t="shared" si="291"/>
        <v>7</v>
      </c>
      <c r="H3107" s="1">
        <f t="shared" si="292"/>
        <v>45117</v>
      </c>
      <c r="I3107" s="1">
        <f t="shared" si="293"/>
        <v>45108</v>
      </c>
      <c r="J3107">
        <v>1391403.6799999997</v>
      </c>
      <c r="K3107">
        <v>66396</v>
      </c>
      <c r="L3107">
        <f t="shared" si="289"/>
        <v>20.956137116693771</v>
      </c>
      <c r="M3107">
        <v>5533</v>
      </c>
      <c r="N3107" s="2">
        <f t="shared" si="294"/>
        <v>251.47364540032527</v>
      </c>
      <c r="O3107">
        <v>12</v>
      </c>
    </row>
    <row r="3108" spans="1:15" x14ac:dyDescent="0.25">
      <c r="A3108" t="s">
        <v>46</v>
      </c>
      <c r="B3108" t="s">
        <v>16</v>
      </c>
      <c r="C3108" t="s">
        <v>41</v>
      </c>
      <c r="D3108" t="str">
        <f t="shared" si="290"/>
        <v>FAB3_1L  Ent Entera</v>
      </c>
      <c r="E3108">
        <v>2023</v>
      </c>
      <c r="F3108">
        <v>29</v>
      </c>
      <c r="G3108">
        <f t="shared" si="291"/>
        <v>7</v>
      </c>
      <c r="H3108" s="1">
        <f t="shared" si="292"/>
        <v>45124</v>
      </c>
      <c r="I3108" s="1">
        <f t="shared" si="293"/>
        <v>45108</v>
      </c>
      <c r="J3108">
        <v>11015.3</v>
      </c>
      <c r="K3108">
        <v>516</v>
      </c>
      <c r="L3108">
        <f t="shared" si="289"/>
        <v>21.347480620155036</v>
      </c>
      <c r="M3108">
        <v>43</v>
      </c>
      <c r="N3108" s="2">
        <f t="shared" si="294"/>
        <v>256.16976744186047</v>
      </c>
      <c r="O3108">
        <v>12</v>
      </c>
    </row>
    <row r="3109" spans="1:15" x14ac:dyDescent="0.25">
      <c r="A3109" t="s">
        <v>46</v>
      </c>
      <c r="B3109" t="s">
        <v>16</v>
      </c>
      <c r="C3109" t="s">
        <v>41</v>
      </c>
      <c r="D3109" t="str">
        <f t="shared" si="290"/>
        <v>FAB3_1L  Ent Entera</v>
      </c>
      <c r="E3109">
        <v>2023</v>
      </c>
      <c r="F3109">
        <v>29</v>
      </c>
      <c r="G3109">
        <f t="shared" si="291"/>
        <v>7</v>
      </c>
      <c r="H3109" s="1">
        <f t="shared" si="292"/>
        <v>45124</v>
      </c>
      <c r="I3109" s="1">
        <f t="shared" si="293"/>
        <v>45108</v>
      </c>
      <c r="J3109">
        <v>1411941.4599999995</v>
      </c>
      <c r="K3109">
        <v>66312</v>
      </c>
      <c r="L3109">
        <f t="shared" si="289"/>
        <v>21.292397454457706</v>
      </c>
      <c r="M3109">
        <v>5526</v>
      </c>
      <c r="N3109" s="2">
        <f t="shared" si="294"/>
        <v>255.50876945349248</v>
      </c>
      <c r="O3109">
        <v>12</v>
      </c>
    </row>
    <row r="3110" spans="1:15" x14ac:dyDescent="0.25">
      <c r="A3110" t="s">
        <v>46</v>
      </c>
      <c r="B3110" t="s">
        <v>16</v>
      </c>
      <c r="C3110" t="s">
        <v>41</v>
      </c>
      <c r="D3110" t="str">
        <f t="shared" si="290"/>
        <v>FAB3_1L  Ent Entera</v>
      </c>
      <c r="E3110">
        <v>2023</v>
      </c>
      <c r="F3110">
        <v>30</v>
      </c>
      <c r="G3110">
        <f t="shared" si="291"/>
        <v>7</v>
      </c>
      <c r="H3110" s="1">
        <f t="shared" si="292"/>
        <v>45131</v>
      </c>
      <c r="I3110" s="1">
        <f t="shared" si="293"/>
        <v>45108</v>
      </c>
      <c r="J3110">
        <v>440168.44</v>
      </c>
      <c r="K3110">
        <v>23604</v>
      </c>
      <c r="L3110">
        <f t="shared" si="289"/>
        <v>18.648044399254363</v>
      </c>
      <c r="M3110">
        <v>1967</v>
      </c>
      <c r="N3110" s="2">
        <f t="shared" si="294"/>
        <v>223.77653279105238</v>
      </c>
      <c r="O3110">
        <v>12</v>
      </c>
    </row>
    <row r="3111" spans="1:15" x14ac:dyDescent="0.25">
      <c r="A3111" t="s">
        <v>46</v>
      </c>
      <c r="B3111" t="s">
        <v>16</v>
      </c>
      <c r="C3111" t="s">
        <v>41</v>
      </c>
      <c r="D3111" t="str">
        <f t="shared" si="290"/>
        <v>FAB3_1L  Ent Entera</v>
      </c>
      <c r="E3111">
        <v>2023</v>
      </c>
      <c r="F3111">
        <v>30</v>
      </c>
      <c r="G3111">
        <f t="shared" si="291"/>
        <v>7</v>
      </c>
      <c r="H3111" s="1">
        <f t="shared" si="292"/>
        <v>45131</v>
      </c>
      <c r="I3111" s="1">
        <f t="shared" si="293"/>
        <v>45108</v>
      </c>
      <c r="J3111">
        <v>1208869.56</v>
      </c>
      <c r="K3111">
        <v>56772</v>
      </c>
      <c r="L3111">
        <f t="shared" si="289"/>
        <v>21.293411540900443</v>
      </c>
      <c r="M3111">
        <v>4731</v>
      </c>
      <c r="N3111" s="2">
        <f t="shared" si="294"/>
        <v>255.52093849080535</v>
      </c>
      <c r="O3111">
        <v>12</v>
      </c>
    </row>
    <row r="3112" spans="1:15" x14ac:dyDescent="0.25">
      <c r="A3112" t="s">
        <v>46</v>
      </c>
      <c r="B3112" t="s">
        <v>16</v>
      </c>
      <c r="C3112" t="s">
        <v>41</v>
      </c>
      <c r="D3112" t="str">
        <f t="shared" si="290"/>
        <v>FAB3_1L  Ent Entera</v>
      </c>
      <c r="E3112">
        <v>2023</v>
      </c>
      <c r="F3112">
        <v>31</v>
      </c>
      <c r="G3112">
        <f t="shared" si="291"/>
        <v>8</v>
      </c>
      <c r="H3112" s="1">
        <f t="shared" si="292"/>
        <v>45138</v>
      </c>
      <c r="I3112" s="1">
        <f t="shared" si="293"/>
        <v>45139</v>
      </c>
      <c r="J3112">
        <v>257</v>
      </c>
      <c r="K3112">
        <v>12</v>
      </c>
      <c r="L3112">
        <f t="shared" si="289"/>
        <v>21.416666666666668</v>
      </c>
      <c r="M3112">
        <v>1</v>
      </c>
      <c r="N3112" s="2">
        <f t="shared" si="294"/>
        <v>257</v>
      </c>
      <c r="O3112">
        <v>12</v>
      </c>
    </row>
    <row r="3113" spans="1:15" x14ac:dyDescent="0.25">
      <c r="A3113" t="s">
        <v>46</v>
      </c>
      <c r="B3113" t="s">
        <v>16</v>
      </c>
      <c r="C3113" t="s">
        <v>41</v>
      </c>
      <c r="D3113" t="str">
        <f t="shared" si="290"/>
        <v>FAB3_1L  Ent Entera</v>
      </c>
      <c r="E3113">
        <v>2023</v>
      </c>
      <c r="F3113">
        <v>31</v>
      </c>
      <c r="G3113">
        <f t="shared" si="291"/>
        <v>8</v>
      </c>
      <c r="H3113" s="1">
        <f t="shared" si="292"/>
        <v>45138</v>
      </c>
      <c r="I3113" s="1">
        <f t="shared" si="293"/>
        <v>45139</v>
      </c>
      <c r="J3113">
        <v>1813978.2399999993</v>
      </c>
      <c r="K3113">
        <v>87888</v>
      </c>
      <c r="L3113">
        <f t="shared" si="289"/>
        <v>20.639657746222458</v>
      </c>
      <c r="M3113">
        <v>7324</v>
      </c>
      <c r="N3113" s="2">
        <f t="shared" si="294"/>
        <v>247.67589295466948</v>
      </c>
      <c r="O3113">
        <v>12</v>
      </c>
    </row>
    <row r="3114" spans="1:15" x14ac:dyDescent="0.25">
      <c r="A3114" t="s">
        <v>46</v>
      </c>
      <c r="B3114" t="s">
        <v>16</v>
      </c>
      <c r="C3114" t="s">
        <v>41</v>
      </c>
      <c r="D3114" t="str">
        <f t="shared" si="290"/>
        <v>FAB3_1L  Ent Entera</v>
      </c>
      <c r="E3114">
        <v>2023</v>
      </c>
      <c r="F3114">
        <v>32</v>
      </c>
      <c r="G3114">
        <f t="shared" si="291"/>
        <v>8</v>
      </c>
      <c r="H3114" s="1">
        <f t="shared" si="292"/>
        <v>45145</v>
      </c>
      <c r="I3114" s="1">
        <f t="shared" si="293"/>
        <v>45139</v>
      </c>
      <c r="J3114">
        <v>28998</v>
      </c>
      <c r="K3114">
        <v>1368</v>
      </c>
      <c r="L3114">
        <f t="shared" si="289"/>
        <v>21.19736842105263</v>
      </c>
      <c r="M3114">
        <v>114</v>
      </c>
      <c r="N3114" s="2">
        <f t="shared" si="294"/>
        <v>254.36842105263159</v>
      </c>
      <c r="O3114">
        <v>12</v>
      </c>
    </row>
    <row r="3115" spans="1:15" x14ac:dyDescent="0.25">
      <c r="A3115" t="s">
        <v>46</v>
      </c>
      <c r="B3115" t="s">
        <v>16</v>
      </c>
      <c r="C3115" t="s">
        <v>41</v>
      </c>
      <c r="D3115" t="str">
        <f t="shared" si="290"/>
        <v>FAB3_1L  Ent Entera</v>
      </c>
      <c r="E3115">
        <v>2023</v>
      </c>
      <c r="F3115">
        <v>32</v>
      </c>
      <c r="G3115">
        <f t="shared" si="291"/>
        <v>8</v>
      </c>
      <c r="H3115" s="1">
        <f t="shared" si="292"/>
        <v>45145</v>
      </c>
      <c r="I3115" s="1">
        <f t="shared" si="293"/>
        <v>45139</v>
      </c>
      <c r="J3115">
        <v>1882533.4599999997</v>
      </c>
      <c r="K3115">
        <v>93984</v>
      </c>
      <c r="L3115">
        <f t="shared" si="289"/>
        <v>20.030361125297919</v>
      </c>
      <c r="M3115">
        <v>7832</v>
      </c>
      <c r="N3115" s="2">
        <f t="shared" si="294"/>
        <v>240.36433350357504</v>
      </c>
      <c r="O3115">
        <v>12</v>
      </c>
    </row>
    <row r="3116" spans="1:15" x14ac:dyDescent="0.25">
      <c r="A3116" t="s">
        <v>46</v>
      </c>
      <c r="B3116" t="s">
        <v>16</v>
      </c>
      <c r="C3116" t="s">
        <v>41</v>
      </c>
      <c r="D3116" t="str">
        <f t="shared" si="290"/>
        <v>FAB3_1L  Ent Entera</v>
      </c>
      <c r="E3116">
        <v>2023</v>
      </c>
      <c r="F3116">
        <v>33</v>
      </c>
      <c r="G3116">
        <f t="shared" si="291"/>
        <v>8</v>
      </c>
      <c r="H3116" s="1">
        <f t="shared" si="292"/>
        <v>45152</v>
      </c>
      <c r="I3116" s="1">
        <f t="shared" si="293"/>
        <v>45139</v>
      </c>
      <c r="J3116">
        <v>1159442.98</v>
      </c>
      <c r="K3116">
        <v>62880</v>
      </c>
      <c r="L3116">
        <f t="shared" si="289"/>
        <v>18.438978689567431</v>
      </c>
      <c r="M3116">
        <v>5240</v>
      </c>
      <c r="N3116" s="2">
        <f t="shared" si="294"/>
        <v>221.26774427480916</v>
      </c>
      <c r="O3116">
        <v>12</v>
      </c>
    </row>
    <row r="3117" spans="1:15" x14ac:dyDescent="0.25">
      <c r="A3117" t="s">
        <v>46</v>
      </c>
      <c r="B3117" t="s">
        <v>16</v>
      </c>
      <c r="C3117" t="s">
        <v>41</v>
      </c>
      <c r="D3117" t="str">
        <f t="shared" si="290"/>
        <v>FAB3_1L  Ent Entera</v>
      </c>
      <c r="E3117">
        <v>2023</v>
      </c>
      <c r="F3117">
        <v>33</v>
      </c>
      <c r="G3117">
        <f t="shared" si="291"/>
        <v>8</v>
      </c>
      <c r="H3117" s="1">
        <f t="shared" si="292"/>
        <v>45152</v>
      </c>
      <c r="I3117" s="1">
        <f t="shared" si="293"/>
        <v>45139</v>
      </c>
      <c r="J3117">
        <v>1966936.4599999997</v>
      </c>
      <c r="K3117">
        <v>97788</v>
      </c>
      <c r="L3117">
        <f t="shared" si="289"/>
        <v>20.114292755757351</v>
      </c>
      <c r="M3117">
        <v>8149</v>
      </c>
      <c r="N3117" s="2">
        <f t="shared" si="294"/>
        <v>241.37151306908819</v>
      </c>
      <c r="O3117">
        <v>12</v>
      </c>
    </row>
    <row r="3118" spans="1:15" x14ac:dyDescent="0.25">
      <c r="A3118" t="s">
        <v>46</v>
      </c>
      <c r="B3118" t="s">
        <v>16</v>
      </c>
      <c r="C3118" t="s">
        <v>41</v>
      </c>
      <c r="D3118" t="str">
        <f t="shared" si="290"/>
        <v>FAB3_1L  Ent Entera</v>
      </c>
      <c r="E3118">
        <v>2023</v>
      </c>
      <c r="F3118">
        <v>34</v>
      </c>
      <c r="G3118">
        <f t="shared" si="291"/>
        <v>8</v>
      </c>
      <c r="H3118" s="1">
        <f t="shared" si="292"/>
        <v>45159</v>
      </c>
      <c r="I3118" s="1">
        <f t="shared" si="293"/>
        <v>45139</v>
      </c>
      <c r="J3118">
        <v>21761.85</v>
      </c>
      <c r="K3118">
        <v>1032</v>
      </c>
      <c r="L3118">
        <f t="shared" si="289"/>
        <v>21.087063953488371</v>
      </c>
      <c r="M3118">
        <v>86</v>
      </c>
      <c r="N3118" s="2">
        <f t="shared" si="294"/>
        <v>253.04476744186044</v>
      </c>
      <c r="O3118">
        <v>12</v>
      </c>
    </row>
    <row r="3119" spans="1:15" x14ac:dyDescent="0.25">
      <c r="A3119" t="s">
        <v>46</v>
      </c>
      <c r="B3119" t="s">
        <v>16</v>
      </c>
      <c r="C3119" t="s">
        <v>41</v>
      </c>
      <c r="D3119" t="str">
        <f t="shared" si="290"/>
        <v>FAB3_1L  Ent Entera</v>
      </c>
      <c r="E3119">
        <v>2023</v>
      </c>
      <c r="F3119">
        <v>34</v>
      </c>
      <c r="G3119">
        <f t="shared" si="291"/>
        <v>8</v>
      </c>
      <c r="H3119" s="1">
        <f t="shared" si="292"/>
        <v>45159</v>
      </c>
      <c r="I3119" s="1">
        <f t="shared" si="293"/>
        <v>45139</v>
      </c>
      <c r="J3119">
        <v>1683906.2499999991</v>
      </c>
      <c r="K3119">
        <v>82020</v>
      </c>
      <c r="L3119">
        <f t="shared" si="289"/>
        <v>20.530434650085333</v>
      </c>
      <c r="M3119">
        <v>6835</v>
      </c>
      <c r="N3119" s="2">
        <f t="shared" si="294"/>
        <v>246.36521580102399</v>
      </c>
      <c r="O3119">
        <v>12</v>
      </c>
    </row>
    <row r="3120" spans="1:15" x14ac:dyDescent="0.25">
      <c r="A3120" t="s">
        <v>46</v>
      </c>
      <c r="B3120" t="s">
        <v>16</v>
      </c>
      <c r="C3120" t="s">
        <v>41</v>
      </c>
      <c r="D3120" t="str">
        <f t="shared" si="290"/>
        <v>FAB3_1L  Ent Entera</v>
      </c>
      <c r="E3120">
        <v>2023</v>
      </c>
      <c r="F3120">
        <v>35</v>
      </c>
      <c r="G3120">
        <f t="shared" si="291"/>
        <v>8</v>
      </c>
      <c r="H3120" s="1">
        <f t="shared" si="292"/>
        <v>45166</v>
      </c>
      <c r="I3120" s="1">
        <f t="shared" si="293"/>
        <v>45139</v>
      </c>
      <c r="J3120">
        <v>510</v>
      </c>
      <c r="K3120">
        <v>24</v>
      </c>
      <c r="L3120">
        <f t="shared" si="289"/>
        <v>21.25</v>
      </c>
      <c r="M3120">
        <v>2</v>
      </c>
      <c r="N3120" s="2">
        <f t="shared" si="294"/>
        <v>255</v>
      </c>
      <c r="O3120">
        <v>12</v>
      </c>
    </row>
    <row r="3121" spans="1:15" x14ac:dyDescent="0.25">
      <c r="A3121" t="s">
        <v>46</v>
      </c>
      <c r="B3121" t="s">
        <v>16</v>
      </c>
      <c r="C3121" t="s">
        <v>41</v>
      </c>
      <c r="D3121" t="str">
        <f t="shared" si="290"/>
        <v>FAB3_1L  Ent Entera</v>
      </c>
      <c r="E3121">
        <v>2023</v>
      </c>
      <c r="F3121">
        <v>35</v>
      </c>
      <c r="G3121">
        <f t="shared" si="291"/>
        <v>8</v>
      </c>
      <c r="H3121" s="1">
        <f t="shared" si="292"/>
        <v>45166</v>
      </c>
      <c r="I3121" s="1">
        <f t="shared" si="293"/>
        <v>45139</v>
      </c>
      <c r="J3121">
        <v>1542002.8399999987</v>
      </c>
      <c r="K3121">
        <v>72060</v>
      </c>
      <c r="L3121">
        <f t="shared" si="289"/>
        <v>21.39887371634747</v>
      </c>
      <c r="M3121">
        <v>6005</v>
      </c>
      <c r="N3121" s="2">
        <f t="shared" si="294"/>
        <v>256.78648459616966</v>
      </c>
      <c r="O3121">
        <v>12</v>
      </c>
    </row>
    <row r="3122" spans="1:15" x14ac:dyDescent="0.25">
      <c r="A3122" t="s">
        <v>46</v>
      </c>
      <c r="B3122" t="s">
        <v>16</v>
      </c>
      <c r="C3122" t="s">
        <v>41</v>
      </c>
      <c r="D3122" t="str">
        <f t="shared" si="290"/>
        <v>FAB3_1L  Ent Entera</v>
      </c>
      <c r="E3122">
        <v>2023</v>
      </c>
      <c r="F3122">
        <v>36</v>
      </c>
      <c r="G3122">
        <f t="shared" si="291"/>
        <v>9</v>
      </c>
      <c r="H3122" s="1">
        <f t="shared" si="292"/>
        <v>45173</v>
      </c>
      <c r="I3122" s="1">
        <f t="shared" si="293"/>
        <v>45170</v>
      </c>
      <c r="J3122">
        <v>140617</v>
      </c>
      <c r="K3122">
        <v>7668</v>
      </c>
      <c r="L3122">
        <f t="shared" si="289"/>
        <v>18.338158581116328</v>
      </c>
      <c r="M3122">
        <v>639</v>
      </c>
      <c r="N3122" s="2">
        <f t="shared" si="294"/>
        <v>220.05790297339593</v>
      </c>
      <c r="O3122">
        <v>12</v>
      </c>
    </row>
    <row r="3123" spans="1:15" x14ac:dyDescent="0.25">
      <c r="A3123" t="s">
        <v>46</v>
      </c>
      <c r="B3123" t="s">
        <v>16</v>
      </c>
      <c r="C3123" t="s">
        <v>41</v>
      </c>
      <c r="D3123" t="str">
        <f t="shared" si="290"/>
        <v>FAB3_1L  Ent Entera</v>
      </c>
      <c r="E3123">
        <v>2023</v>
      </c>
      <c r="F3123">
        <v>36</v>
      </c>
      <c r="G3123">
        <f t="shared" si="291"/>
        <v>9</v>
      </c>
      <c r="H3123" s="1">
        <f t="shared" si="292"/>
        <v>45173</v>
      </c>
      <c r="I3123" s="1">
        <f t="shared" si="293"/>
        <v>45170</v>
      </c>
      <c r="J3123">
        <v>1872778.0299999975</v>
      </c>
      <c r="K3123">
        <v>87468</v>
      </c>
      <c r="L3123">
        <f t="shared" si="289"/>
        <v>21.411007797137209</v>
      </c>
      <c r="M3123">
        <v>7289</v>
      </c>
      <c r="N3123" s="2">
        <f t="shared" si="294"/>
        <v>256.93209356564654</v>
      </c>
      <c r="O3123">
        <v>12</v>
      </c>
    </row>
    <row r="3124" spans="1:15" x14ac:dyDescent="0.25">
      <c r="A3124" t="s">
        <v>46</v>
      </c>
      <c r="B3124" t="s">
        <v>16</v>
      </c>
      <c r="C3124" t="s">
        <v>41</v>
      </c>
      <c r="D3124" t="str">
        <f t="shared" si="290"/>
        <v>FAB3_1L  Ent Entera</v>
      </c>
      <c r="E3124">
        <v>2023</v>
      </c>
      <c r="F3124">
        <v>37</v>
      </c>
      <c r="G3124">
        <f t="shared" si="291"/>
        <v>9</v>
      </c>
      <c r="H3124" s="1">
        <f t="shared" si="292"/>
        <v>45180</v>
      </c>
      <c r="I3124" s="1">
        <f t="shared" si="293"/>
        <v>45170</v>
      </c>
      <c r="J3124">
        <v>266877</v>
      </c>
      <c r="K3124">
        <v>13596</v>
      </c>
      <c r="L3124">
        <f t="shared" si="289"/>
        <v>19.629082082965578</v>
      </c>
      <c r="M3124">
        <v>1133</v>
      </c>
      <c r="N3124" s="2">
        <f t="shared" si="294"/>
        <v>235.54898499558695</v>
      </c>
      <c r="O3124">
        <v>12</v>
      </c>
    </row>
    <row r="3125" spans="1:15" x14ac:dyDescent="0.25">
      <c r="A3125" t="s">
        <v>46</v>
      </c>
      <c r="B3125" t="s">
        <v>16</v>
      </c>
      <c r="C3125" t="s">
        <v>41</v>
      </c>
      <c r="D3125" t="str">
        <f t="shared" si="290"/>
        <v>FAB3_1L  Ent Entera</v>
      </c>
      <c r="E3125">
        <v>2023</v>
      </c>
      <c r="F3125">
        <v>37</v>
      </c>
      <c r="G3125">
        <f t="shared" si="291"/>
        <v>9</v>
      </c>
      <c r="H3125" s="1">
        <f t="shared" si="292"/>
        <v>45180</v>
      </c>
      <c r="I3125" s="1">
        <f t="shared" si="293"/>
        <v>45170</v>
      </c>
      <c r="J3125">
        <v>1692305.2099999997</v>
      </c>
      <c r="K3125">
        <v>79596</v>
      </c>
      <c r="L3125">
        <f t="shared" si="289"/>
        <v>21.261184104728876</v>
      </c>
      <c r="M3125">
        <v>6633</v>
      </c>
      <c r="N3125" s="2">
        <f t="shared" si="294"/>
        <v>255.13420925674652</v>
      </c>
      <c r="O3125">
        <v>12</v>
      </c>
    </row>
    <row r="3126" spans="1:15" x14ac:dyDescent="0.25">
      <c r="A3126" t="s">
        <v>46</v>
      </c>
      <c r="B3126" t="s">
        <v>16</v>
      </c>
      <c r="C3126" t="s">
        <v>41</v>
      </c>
      <c r="D3126" t="str">
        <f t="shared" si="290"/>
        <v>FAB3_1L  Ent Entera</v>
      </c>
      <c r="E3126">
        <v>2023</v>
      </c>
      <c r="F3126">
        <v>38</v>
      </c>
      <c r="G3126">
        <f t="shared" si="291"/>
        <v>9</v>
      </c>
      <c r="H3126" s="1">
        <f t="shared" si="292"/>
        <v>45187</v>
      </c>
      <c r="I3126" s="1">
        <f t="shared" si="293"/>
        <v>45170</v>
      </c>
      <c r="J3126">
        <v>5312.99</v>
      </c>
      <c r="K3126">
        <v>252</v>
      </c>
      <c r="L3126">
        <f t="shared" si="289"/>
        <v>21.083293650793649</v>
      </c>
      <c r="M3126">
        <v>21</v>
      </c>
      <c r="N3126" s="2">
        <f t="shared" si="294"/>
        <v>252.99952380952379</v>
      </c>
      <c r="O3126">
        <v>12</v>
      </c>
    </row>
    <row r="3127" spans="1:15" x14ac:dyDescent="0.25">
      <c r="A3127" t="s">
        <v>46</v>
      </c>
      <c r="B3127" t="s">
        <v>16</v>
      </c>
      <c r="C3127" t="s">
        <v>41</v>
      </c>
      <c r="D3127" t="str">
        <f t="shared" si="290"/>
        <v>FAB3_1L  Ent Entera</v>
      </c>
      <c r="E3127">
        <v>2023</v>
      </c>
      <c r="F3127">
        <v>38</v>
      </c>
      <c r="G3127">
        <f t="shared" si="291"/>
        <v>9</v>
      </c>
      <c r="H3127" s="1">
        <f t="shared" si="292"/>
        <v>45187</v>
      </c>
      <c r="I3127" s="1">
        <f t="shared" si="293"/>
        <v>45170</v>
      </c>
      <c r="J3127">
        <v>1722885.0299999989</v>
      </c>
      <c r="K3127">
        <v>81384</v>
      </c>
      <c r="L3127">
        <f t="shared" si="289"/>
        <v>21.169824904158052</v>
      </c>
      <c r="M3127">
        <v>6782</v>
      </c>
      <c r="N3127" s="2">
        <f t="shared" si="294"/>
        <v>254.03789884989661</v>
      </c>
      <c r="O3127">
        <v>12</v>
      </c>
    </row>
    <row r="3128" spans="1:15" x14ac:dyDescent="0.25">
      <c r="A3128" t="s">
        <v>46</v>
      </c>
      <c r="B3128" t="s">
        <v>16</v>
      </c>
      <c r="C3128" t="s">
        <v>41</v>
      </c>
      <c r="D3128" t="str">
        <f t="shared" si="290"/>
        <v>FAB3_1L  Ent Entera</v>
      </c>
      <c r="E3128">
        <v>2023</v>
      </c>
      <c r="F3128">
        <v>39</v>
      </c>
      <c r="G3128">
        <f t="shared" si="291"/>
        <v>9</v>
      </c>
      <c r="H3128" s="1">
        <f t="shared" si="292"/>
        <v>45194</v>
      </c>
      <c r="I3128" s="1">
        <f t="shared" si="293"/>
        <v>45170</v>
      </c>
      <c r="J3128">
        <v>26420</v>
      </c>
      <c r="K3128">
        <v>1332</v>
      </c>
      <c r="L3128">
        <f t="shared" si="289"/>
        <v>19.834834834834833</v>
      </c>
      <c r="M3128">
        <v>111</v>
      </c>
      <c r="N3128" s="2">
        <f t="shared" si="294"/>
        <v>238.01801801801801</v>
      </c>
      <c r="O3128">
        <v>12</v>
      </c>
    </row>
    <row r="3129" spans="1:15" x14ac:dyDescent="0.25">
      <c r="A3129" t="s">
        <v>46</v>
      </c>
      <c r="B3129" t="s">
        <v>16</v>
      </c>
      <c r="C3129" t="s">
        <v>41</v>
      </c>
      <c r="D3129" t="str">
        <f t="shared" si="290"/>
        <v>FAB3_1L  Ent Entera</v>
      </c>
      <c r="E3129">
        <v>2023</v>
      </c>
      <c r="F3129">
        <v>39</v>
      </c>
      <c r="G3129">
        <f t="shared" si="291"/>
        <v>9</v>
      </c>
      <c r="H3129" s="1">
        <f t="shared" si="292"/>
        <v>45194</v>
      </c>
      <c r="I3129" s="1">
        <f t="shared" si="293"/>
        <v>45170</v>
      </c>
      <c r="J3129">
        <v>1511046.1899999992</v>
      </c>
      <c r="K3129">
        <v>71616</v>
      </c>
      <c r="L3129">
        <f t="shared" si="289"/>
        <v>21.099282143655039</v>
      </c>
      <c r="M3129">
        <v>5968</v>
      </c>
      <c r="N3129" s="2">
        <f t="shared" si="294"/>
        <v>253.19138572386046</v>
      </c>
      <c r="O3129">
        <v>12</v>
      </c>
    </row>
    <row r="3130" spans="1:15" x14ac:dyDescent="0.25">
      <c r="A3130" t="s">
        <v>46</v>
      </c>
      <c r="B3130" t="s">
        <v>16</v>
      </c>
      <c r="C3130" t="s">
        <v>41</v>
      </c>
      <c r="D3130" t="str">
        <f t="shared" si="290"/>
        <v>FAB3_1L  Ent Entera</v>
      </c>
      <c r="E3130">
        <v>2023</v>
      </c>
      <c r="F3130">
        <v>40</v>
      </c>
      <c r="G3130">
        <f t="shared" si="291"/>
        <v>10</v>
      </c>
      <c r="H3130" s="1">
        <f t="shared" si="292"/>
        <v>45201</v>
      </c>
      <c r="I3130" s="1">
        <f t="shared" si="293"/>
        <v>45200</v>
      </c>
      <c r="J3130">
        <v>18317</v>
      </c>
      <c r="K3130">
        <v>1764</v>
      </c>
      <c r="L3130">
        <f t="shared" si="289"/>
        <v>10.383786848072562</v>
      </c>
      <c r="M3130">
        <v>147</v>
      </c>
      <c r="N3130" s="2">
        <f t="shared" si="294"/>
        <v>124.60544217687075</v>
      </c>
      <c r="O3130">
        <v>12</v>
      </c>
    </row>
    <row r="3131" spans="1:15" x14ac:dyDescent="0.25">
      <c r="A3131" t="s">
        <v>46</v>
      </c>
      <c r="B3131" t="s">
        <v>16</v>
      </c>
      <c r="C3131" t="s">
        <v>41</v>
      </c>
      <c r="D3131" t="str">
        <f t="shared" si="290"/>
        <v>FAB3_1L  Ent Entera</v>
      </c>
      <c r="E3131">
        <v>2023</v>
      </c>
      <c r="F3131">
        <v>40</v>
      </c>
      <c r="G3131">
        <f t="shared" si="291"/>
        <v>10</v>
      </c>
      <c r="H3131" s="1">
        <f t="shared" si="292"/>
        <v>45201</v>
      </c>
      <c r="I3131" s="1">
        <f t="shared" si="293"/>
        <v>45200</v>
      </c>
      <c r="J3131">
        <v>1944976.8999999987</v>
      </c>
      <c r="K3131">
        <v>92040</v>
      </c>
      <c r="L3131">
        <f t="shared" si="289"/>
        <v>21.131865493263785</v>
      </c>
      <c r="M3131">
        <v>7670</v>
      </c>
      <c r="N3131" s="2">
        <f t="shared" si="294"/>
        <v>253.5823859191654</v>
      </c>
      <c r="O3131">
        <v>12</v>
      </c>
    </row>
    <row r="3132" spans="1:15" x14ac:dyDescent="0.25">
      <c r="A3132" t="s">
        <v>46</v>
      </c>
      <c r="B3132" t="s">
        <v>16</v>
      </c>
      <c r="C3132" t="s">
        <v>41</v>
      </c>
      <c r="D3132" t="str">
        <f t="shared" si="290"/>
        <v>FAB3_1L  Ent Entera</v>
      </c>
      <c r="E3132">
        <v>2023</v>
      </c>
      <c r="F3132">
        <v>41</v>
      </c>
      <c r="G3132">
        <f t="shared" si="291"/>
        <v>10</v>
      </c>
      <c r="H3132" s="1">
        <f t="shared" si="292"/>
        <v>45208</v>
      </c>
      <c r="I3132" s="1">
        <f t="shared" si="293"/>
        <v>45200</v>
      </c>
      <c r="J3132">
        <v>2298386.3900000015</v>
      </c>
      <c r="K3132">
        <v>112620</v>
      </c>
      <c r="L3132">
        <f t="shared" si="289"/>
        <v>20.40833235659742</v>
      </c>
      <c r="M3132">
        <v>9385</v>
      </c>
      <c r="N3132" s="2">
        <f t="shared" si="294"/>
        <v>244.89998827916904</v>
      </c>
      <c r="O3132">
        <v>12</v>
      </c>
    </row>
    <row r="3133" spans="1:15" x14ac:dyDescent="0.25">
      <c r="A3133" t="s">
        <v>46</v>
      </c>
      <c r="B3133" t="s">
        <v>16</v>
      </c>
      <c r="C3133" t="s">
        <v>41</v>
      </c>
      <c r="D3133" t="str">
        <f t="shared" si="290"/>
        <v>FAB3_1L  Ent Entera</v>
      </c>
      <c r="E3133">
        <v>2023</v>
      </c>
      <c r="F3133">
        <v>42</v>
      </c>
      <c r="G3133">
        <f t="shared" si="291"/>
        <v>10</v>
      </c>
      <c r="H3133" s="1">
        <f t="shared" si="292"/>
        <v>45215</v>
      </c>
      <c r="I3133" s="1">
        <f t="shared" si="293"/>
        <v>45200</v>
      </c>
      <c r="J3133">
        <v>2695706.5300000003</v>
      </c>
      <c r="K3133">
        <v>135720</v>
      </c>
      <c r="L3133">
        <f t="shared" si="289"/>
        <v>19.862264441497203</v>
      </c>
      <c r="M3133">
        <v>11310</v>
      </c>
      <c r="N3133" s="2">
        <f t="shared" si="294"/>
        <v>238.34717329796644</v>
      </c>
      <c r="O3133">
        <v>12</v>
      </c>
    </row>
    <row r="3134" spans="1:15" x14ac:dyDescent="0.25">
      <c r="A3134" t="s">
        <v>46</v>
      </c>
      <c r="B3134" t="s">
        <v>16</v>
      </c>
      <c r="C3134" t="s">
        <v>41</v>
      </c>
      <c r="D3134" t="str">
        <f t="shared" si="290"/>
        <v>FAB3_1L  Ent Entera</v>
      </c>
      <c r="E3134">
        <v>2023</v>
      </c>
      <c r="F3134">
        <v>43</v>
      </c>
      <c r="G3134">
        <f t="shared" si="291"/>
        <v>10</v>
      </c>
      <c r="H3134" s="1">
        <f t="shared" si="292"/>
        <v>45222</v>
      </c>
      <c r="I3134" s="1">
        <f t="shared" si="293"/>
        <v>45200</v>
      </c>
      <c r="J3134">
        <v>5654</v>
      </c>
      <c r="K3134">
        <v>264</v>
      </c>
      <c r="L3134">
        <f t="shared" ref="L3134:L3197" si="295">J3134/(M3134*O3134)</f>
        <v>21.416666666666668</v>
      </c>
      <c r="M3134">
        <v>22</v>
      </c>
      <c r="N3134" s="2">
        <f t="shared" si="294"/>
        <v>257</v>
      </c>
      <c r="O3134">
        <v>12</v>
      </c>
    </row>
    <row r="3135" spans="1:15" x14ac:dyDescent="0.25">
      <c r="A3135" t="s">
        <v>46</v>
      </c>
      <c r="B3135" t="s">
        <v>16</v>
      </c>
      <c r="C3135" t="s">
        <v>41</v>
      </c>
      <c r="D3135" t="str">
        <f t="shared" si="290"/>
        <v>FAB3_1L  Ent Entera</v>
      </c>
      <c r="E3135">
        <v>2023</v>
      </c>
      <c r="F3135">
        <v>43</v>
      </c>
      <c r="G3135">
        <f t="shared" si="291"/>
        <v>10</v>
      </c>
      <c r="H3135" s="1">
        <f t="shared" si="292"/>
        <v>45222</v>
      </c>
      <c r="I3135" s="1">
        <f t="shared" si="293"/>
        <v>45200</v>
      </c>
      <c r="J3135">
        <v>1514978.8499999999</v>
      </c>
      <c r="K3135">
        <v>74124</v>
      </c>
      <c r="L3135">
        <f t="shared" si="295"/>
        <v>20.438438967136147</v>
      </c>
      <c r="M3135">
        <v>6177</v>
      </c>
      <c r="N3135" s="2">
        <f t="shared" si="294"/>
        <v>245.26126760563378</v>
      </c>
      <c r="O3135">
        <v>12</v>
      </c>
    </row>
    <row r="3136" spans="1:15" x14ac:dyDescent="0.25">
      <c r="A3136" t="s">
        <v>46</v>
      </c>
      <c r="B3136" t="s">
        <v>16</v>
      </c>
      <c r="C3136" t="s">
        <v>41</v>
      </c>
      <c r="D3136" t="str">
        <f t="shared" si="290"/>
        <v>FAB3_1L  Ent Entera</v>
      </c>
      <c r="E3136">
        <v>2023</v>
      </c>
      <c r="F3136">
        <v>44</v>
      </c>
      <c r="G3136">
        <f t="shared" si="291"/>
        <v>11</v>
      </c>
      <c r="H3136" s="1">
        <f t="shared" si="292"/>
        <v>45229</v>
      </c>
      <c r="I3136" s="1">
        <f t="shared" si="293"/>
        <v>45231</v>
      </c>
      <c r="J3136">
        <v>32446.28</v>
      </c>
      <c r="K3136">
        <v>1560</v>
      </c>
      <c r="L3136">
        <f t="shared" si="295"/>
        <v>20.798897435897434</v>
      </c>
      <c r="M3136">
        <v>130</v>
      </c>
      <c r="N3136" s="2">
        <f t="shared" si="294"/>
        <v>249.58676923076922</v>
      </c>
      <c r="O3136">
        <v>12</v>
      </c>
    </row>
    <row r="3137" spans="1:15" x14ac:dyDescent="0.25">
      <c r="A3137" t="s">
        <v>46</v>
      </c>
      <c r="B3137" t="s">
        <v>16</v>
      </c>
      <c r="C3137" t="s">
        <v>41</v>
      </c>
      <c r="D3137" t="str">
        <f t="shared" si="290"/>
        <v>FAB3_1L  Ent Entera</v>
      </c>
      <c r="E3137">
        <v>2023</v>
      </c>
      <c r="F3137">
        <v>44</v>
      </c>
      <c r="G3137">
        <f t="shared" si="291"/>
        <v>11</v>
      </c>
      <c r="H3137" s="1">
        <f t="shared" si="292"/>
        <v>45229</v>
      </c>
      <c r="I3137" s="1">
        <f t="shared" si="293"/>
        <v>45231</v>
      </c>
      <c r="J3137">
        <v>1657373.2099999981</v>
      </c>
      <c r="K3137">
        <v>77268</v>
      </c>
      <c r="L3137">
        <f t="shared" si="295"/>
        <v>21.449671403427008</v>
      </c>
      <c r="M3137">
        <v>6439</v>
      </c>
      <c r="N3137" s="2">
        <f t="shared" si="294"/>
        <v>257.39605684112411</v>
      </c>
      <c r="O3137">
        <v>12</v>
      </c>
    </row>
    <row r="3138" spans="1:15" x14ac:dyDescent="0.25">
      <c r="A3138" t="s">
        <v>46</v>
      </c>
      <c r="B3138" t="s">
        <v>16</v>
      </c>
      <c r="C3138" t="s">
        <v>41</v>
      </c>
      <c r="D3138" t="str">
        <f t="shared" si="290"/>
        <v>FAB3_1L  Ent Entera</v>
      </c>
      <c r="E3138">
        <v>2023</v>
      </c>
      <c r="F3138">
        <v>45</v>
      </c>
      <c r="G3138">
        <f t="shared" si="291"/>
        <v>11</v>
      </c>
      <c r="H3138" s="1">
        <f t="shared" si="292"/>
        <v>45236</v>
      </c>
      <c r="I3138" s="1">
        <f t="shared" si="293"/>
        <v>45231</v>
      </c>
      <c r="J3138">
        <v>19966.43</v>
      </c>
      <c r="K3138">
        <v>888</v>
      </c>
      <c r="L3138">
        <f t="shared" si="295"/>
        <v>22.484718468468468</v>
      </c>
      <c r="M3138">
        <v>74</v>
      </c>
      <c r="N3138" s="2">
        <f t="shared" si="294"/>
        <v>269.81662162162161</v>
      </c>
      <c r="O3138">
        <v>12</v>
      </c>
    </row>
    <row r="3139" spans="1:15" x14ac:dyDescent="0.25">
      <c r="A3139" t="s">
        <v>46</v>
      </c>
      <c r="B3139" t="s">
        <v>16</v>
      </c>
      <c r="C3139" t="s">
        <v>41</v>
      </c>
      <c r="D3139" t="str">
        <f t="shared" ref="D3139:D3202" si="296">B3139&amp;"_"&amp;C3139</f>
        <v>FAB3_1L  Ent Entera</v>
      </c>
      <c r="E3139">
        <v>2023</v>
      </c>
      <c r="F3139">
        <v>45</v>
      </c>
      <c r="G3139">
        <f t="shared" ref="G3139:G3202" si="297">MONTH(DATE(E3139,1,4)+(F3139-1)*7-WEEKDAY(DATE(E3139,1,4),2)+4)</f>
        <v>11</v>
      </c>
      <c r="H3139" s="1">
        <f t="shared" ref="H3139:H3202" si="298">DATE(E3139,1,-2)-WEEKDAY(DATE(E3139,1,3))+F3139*7</f>
        <v>45236</v>
      </c>
      <c r="I3139" s="1">
        <f t="shared" ref="I3139:I3202" si="299">DATE(E3139,G3139,1)</f>
        <v>45231</v>
      </c>
      <c r="J3139">
        <v>1450661.969999999</v>
      </c>
      <c r="K3139">
        <v>65832</v>
      </c>
      <c r="L3139">
        <f t="shared" si="295"/>
        <v>22.03581799125044</v>
      </c>
      <c r="M3139">
        <v>5486</v>
      </c>
      <c r="N3139" s="2">
        <f t="shared" ref="N3139:N3202" si="300">J3139/M3139</f>
        <v>264.42981589500528</v>
      </c>
      <c r="O3139">
        <v>12</v>
      </c>
    </row>
    <row r="3140" spans="1:15" x14ac:dyDescent="0.25">
      <c r="A3140" t="s">
        <v>46</v>
      </c>
      <c r="B3140" t="s">
        <v>16</v>
      </c>
      <c r="C3140" t="s">
        <v>41</v>
      </c>
      <c r="D3140" t="str">
        <f t="shared" si="296"/>
        <v>FAB3_1L  Ent Entera</v>
      </c>
      <c r="E3140">
        <v>2023</v>
      </c>
      <c r="F3140">
        <v>46</v>
      </c>
      <c r="G3140">
        <f t="shared" si="297"/>
        <v>11</v>
      </c>
      <c r="H3140" s="1">
        <f t="shared" si="298"/>
        <v>45243</v>
      </c>
      <c r="I3140" s="1">
        <f t="shared" si="299"/>
        <v>45231</v>
      </c>
      <c r="J3140">
        <v>5691</v>
      </c>
      <c r="K3140">
        <v>252</v>
      </c>
      <c r="L3140">
        <f t="shared" si="295"/>
        <v>22.583333333333332</v>
      </c>
      <c r="M3140">
        <v>21</v>
      </c>
      <c r="N3140" s="2">
        <f t="shared" si="300"/>
        <v>271</v>
      </c>
      <c r="O3140">
        <v>12</v>
      </c>
    </row>
    <row r="3141" spans="1:15" x14ac:dyDescent="0.25">
      <c r="A3141" t="s">
        <v>46</v>
      </c>
      <c r="B3141" t="s">
        <v>16</v>
      </c>
      <c r="C3141" t="s">
        <v>41</v>
      </c>
      <c r="D3141" t="str">
        <f t="shared" si="296"/>
        <v>FAB3_1L  Ent Entera</v>
      </c>
      <c r="E3141">
        <v>2023</v>
      </c>
      <c r="F3141">
        <v>46</v>
      </c>
      <c r="G3141">
        <f t="shared" si="297"/>
        <v>11</v>
      </c>
      <c r="H3141" s="1">
        <f t="shared" si="298"/>
        <v>45243</v>
      </c>
      <c r="I3141" s="1">
        <f t="shared" si="299"/>
        <v>45231</v>
      </c>
      <c r="J3141">
        <v>1712929.4699999993</v>
      </c>
      <c r="K3141">
        <v>77736</v>
      </c>
      <c r="L3141">
        <f t="shared" si="295"/>
        <v>22.035214958320459</v>
      </c>
      <c r="M3141">
        <v>6478</v>
      </c>
      <c r="N3141" s="2">
        <f t="shared" si="300"/>
        <v>264.42257949984554</v>
      </c>
      <c r="O3141">
        <v>12</v>
      </c>
    </row>
    <row r="3142" spans="1:15" x14ac:dyDescent="0.25">
      <c r="A3142" t="s">
        <v>46</v>
      </c>
      <c r="B3142" t="s">
        <v>16</v>
      </c>
      <c r="C3142" t="s">
        <v>41</v>
      </c>
      <c r="D3142" t="str">
        <f t="shared" si="296"/>
        <v>FAB3_1L  Ent Entera</v>
      </c>
      <c r="E3142">
        <v>2023</v>
      </c>
      <c r="F3142">
        <v>47</v>
      </c>
      <c r="G3142">
        <f t="shared" si="297"/>
        <v>11</v>
      </c>
      <c r="H3142" s="1">
        <f t="shared" si="298"/>
        <v>45250</v>
      </c>
      <c r="I3142" s="1">
        <f t="shared" si="299"/>
        <v>45231</v>
      </c>
      <c r="J3142">
        <v>540.23</v>
      </c>
      <c r="K3142">
        <v>24</v>
      </c>
      <c r="L3142">
        <f t="shared" si="295"/>
        <v>22.509583333333335</v>
      </c>
      <c r="M3142">
        <v>2</v>
      </c>
      <c r="N3142" s="2">
        <f t="shared" si="300"/>
        <v>270.11500000000001</v>
      </c>
      <c r="O3142">
        <v>12</v>
      </c>
    </row>
    <row r="3143" spans="1:15" x14ac:dyDescent="0.25">
      <c r="A3143" t="s">
        <v>46</v>
      </c>
      <c r="B3143" t="s">
        <v>16</v>
      </c>
      <c r="C3143" t="s">
        <v>41</v>
      </c>
      <c r="D3143" t="str">
        <f t="shared" si="296"/>
        <v>FAB3_1L  Ent Entera</v>
      </c>
      <c r="E3143">
        <v>2023</v>
      </c>
      <c r="F3143">
        <v>47</v>
      </c>
      <c r="G3143">
        <f t="shared" si="297"/>
        <v>11</v>
      </c>
      <c r="H3143" s="1">
        <f t="shared" si="298"/>
        <v>45250</v>
      </c>
      <c r="I3143" s="1">
        <f t="shared" si="299"/>
        <v>45231</v>
      </c>
      <c r="J3143">
        <v>2034329.2399999991</v>
      </c>
      <c r="K3143">
        <v>92100</v>
      </c>
      <c r="L3143">
        <f t="shared" si="295"/>
        <v>22.088265363735061</v>
      </c>
      <c r="M3143">
        <v>7675</v>
      </c>
      <c r="N3143" s="2">
        <f t="shared" si="300"/>
        <v>265.05918436482074</v>
      </c>
      <c r="O3143">
        <v>12</v>
      </c>
    </row>
    <row r="3144" spans="1:15" x14ac:dyDescent="0.25">
      <c r="A3144" t="s">
        <v>46</v>
      </c>
      <c r="B3144" t="s">
        <v>16</v>
      </c>
      <c r="C3144" t="s">
        <v>41</v>
      </c>
      <c r="D3144" t="str">
        <f t="shared" si="296"/>
        <v>FAB3_1L  Ent Entera</v>
      </c>
      <c r="E3144">
        <v>2023</v>
      </c>
      <c r="F3144">
        <v>48</v>
      </c>
      <c r="G3144">
        <f t="shared" si="297"/>
        <v>11</v>
      </c>
      <c r="H3144" s="1">
        <f t="shared" si="298"/>
        <v>45257</v>
      </c>
      <c r="I3144" s="1">
        <f t="shared" si="299"/>
        <v>45231</v>
      </c>
      <c r="J3144">
        <v>3155.9700000000003</v>
      </c>
      <c r="K3144">
        <v>144</v>
      </c>
      <c r="L3144">
        <f t="shared" si="295"/>
        <v>21.916458333333335</v>
      </c>
      <c r="M3144">
        <v>12</v>
      </c>
      <c r="N3144" s="2">
        <f t="shared" si="300"/>
        <v>262.9975</v>
      </c>
      <c r="O3144">
        <v>12</v>
      </c>
    </row>
    <row r="3145" spans="1:15" x14ac:dyDescent="0.25">
      <c r="A3145" t="s">
        <v>46</v>
      </c>
      <c r="B3145" t="s">
        <v>16</v>
      </c>
      <c r="C3145" t="s">
        <v>41</v>
      </c>
      <c r="D3145" t="str">
        <f t="shared" si="296"/>
        <v>FAB3_1L  Ent Entera</v>
      </c>
      <c r="E3145">
        <v>2023</v>
      </c>
      <c r="F3145">
        <v>48</v>
      </c>
      <c r="G3145">
        <f t="shared" si="297"/>
        <v>11</v>
      </c>
      <c r="H3145" s="1">
        <f t="shared" si="298"/>
        <v>45257</v>
      </c>
      <c r="I3145" s="1">
        <f t="shared" si="299"/>
        <v>45231</v>
      </c>
      <c r="J3145">
        <v>1425046.8099999996</v>
      </c>
      <c r="K3145">
        <v>63792</v>
      </c>
      <c r="L3145">
        <f t="shared" si="295"/>
        <v>22.338958019814392</v>
      </c>
      <c r="M3145">
        <v>5316</v>
      </c>
      <c r="N3145" s="2">
        <f t="shared" si="300"/>
        <v>268.06749623777267</v>
      </c>
      <c r="O3145">
        <v>12</v>
      </c>
    </row>
    <row r="3146" spans="1:15" x14ac:dyDescent="0.25">
      <c r="A3146" t="s">
        <v>46</v>
      </c>
      <c r="B3146" t="s">
        <v>16</v>
      </c>
      <c r="C3146" t="s">
        <v>41</v>
      </c>
      <c r="D3146" t="str">
        <f t="shared" si="296"/>
        <v>FAB3_1L  Ent Entera</v>
      </c>
      <c r="E3146">
        <v>2023</v>
      </c>
      <c r="F3146">
        <v>49</v>
      </c>
      <c r="G3146">
        <f t="shared" si="297"/>
        <v>12</v>
      </c>
      <c r="H3146" s="1">
        <f t="shared" si="298"/>
        <v>45264</v>
      </c>
      <c r="I3146" s="1">
        <f t="shared" si="299"/>
        <v>45261</v>
      </c>
      <c r="J3146">
        <v>2366.98</v>
      </c>
      <c r="K3146">
        <v>108</v>
      </c>
      <c r="L3146">
        <f t="shared" si="295"/>
        <v>21.916481481481483</v>
      </c>
      <c r="M3146">
        <v>9</v>
      </c>
      <c r="N3146" s="2">
        <f t="shared" si="300"/>
        <v>262.9977777777778</v>
      </c>
      <c r="O3146">
        <v>12</v>
      </c>
    </row>
    <row r="3147" spans="1:15" x14ac:dyDescent="0.25">
      <c r="A3147" t="s">
        <v>46</v>
      </c>
      <c r="B3147" t="s">
        <v>16</v>
      </c>
      <c r="C3147" t="s">
        <v>41</v>
      </c>
      <c r="D3147" t="str">
        <f t="shared" si="296"/>
        <v>FAB3_1L  Ent Entera</v>
      </c>
      <c r="E3147">
        <v>2023</v>
      </c>
      <c r="F3147">
        <v>49</v>
      </c>
      <c r="G3147">
        <f t="shared" si="297"/>
        <v>12</v>
      </c>
      <c r="H3147" s="1">
        <f t="shared" si="298"/>
        <v>45264</v>
      </c>
      <c r="I3147" s="1">
        <f t="shared" si="299"/>
        <v>45261</v>
      </c>
      <c r="J3147">
        <v>1616440.4899999986</v>
      </c>
      <c r="K3147">
        <v>73572</v>
      </c>
      <c r="L3147">
        <f t="shared" si="295"/>
        <v>21.970865138911524</v>
      </c>
      <c r="M3147">
        <v>6131</v>
      </c>
      <c r="N3147" s="2">
        <f t="shared" si="300"/>
        <v>263.6503816669383</v>
      </c>
      <c r="O3147">
        <v>12</v>
      </c>
    </row>
    <row r="3148" spans="1:15" x14ac:dyDescent="0.25">
      <c r="A3148" t="s">
        <v>46</v>
      </c>
      <c r="B3148" t="s">
        <v>16</v>
      </c>
      <c r="C3148" t="s">
        <v>41</v>
      </c>
      <c r="D3148" t="str">
        <f t="shared" si="296"/>
        <v>FAB3_1L  Ent Entera</v>
      </c>
      <c r="E3148">
        <v>2023</v>
      </c>
      <c r="F3148">
        <v>50</v>
      </c>
      <c r="G3148">
        <f t="shared" si="297"/>
        <v>12</v>
      </c>
      <c r="H3148" s="1">
        <f t="shared" si="298"/>
        <v>45271</v>
      </c>
      <c r="I3148" s="1">
        <f t="shared" si="299"/>
        <v>45261</v>
      </c>
      <c r="J3148">
        <v>467092.03</v>
      </c>
      <c r="K3148">
        <v>23064</v>
      </c>
      <c r="L3148">
        <f t="shared" si="295"/>
        <v>20.251995750953867</v>
      </c>
      <c r="M3148">
        <v>1922</v>
      </c>
      <c r="N3148" s="2">
        <f t="shared" si="300"/>
        <v>243.02394901144643</v>
      </c>
      <c r="O3148">
        <v>12</v>
      </c>
    </row>
    <row r="3149" spans="1:15" x14ac:dyDescent="0.25">
      <c r="A3149" t="s">
        <v>46</v>
      </c>
      <c r="B3149" t="s">
        <v>16</v>
      </c>
      <c r="C3149" t="s">
        <v>41</v>
      </c>
      <c r="D3149" t="str">
        <f t="shared" si="296"/>
        <v>FAB3_1L  Ent Entera</v>
      </c>
      <c r="E3149">
        <v>2023</v>
      </c>
      <c r="F3149">
        <v>50</v>
      </c>
      <c r="G3149">
        <f t="shared" si="297"/>
        <v>12</v>
      </c>
      <c r="H3149" s="1">
        <f t="shared" si="298"/>
        <v>45271</v>
      </c>
      <c r="I3149" s="1">
        <f t="shared" si="299"/>
        <v>45261</v>
      </c>
      <c r="J3149">
        <v>2775270.9299999978</v>
      </c>
      <c r="K3149">
        <v>134880</v>
      </c>
      <c r="L3149">
        <f t="shared" si="295"/>
        <v>20.575852090747315</v>
      </c>
      <c r="M3149">
        <v>11240</v>
      </c>
      <c r="N3149" s="2">
        <f t="shared" si="300"/>
        <v>246.91022508896779</v>
      </c>
      <c r="O3149">
        <v>12</v>
      </c>
    </row>
    <row r="3150" spans="1:15" x14ac:dyDescent="0.25">
      <c r="A3150" t="s">
        <v>46</v>
      </c>
      <c r="B3150" t="s">
        <v>16</v>
      </c>
      <c r="C3150" t="s">
        <v>41</v>
      </c>
      <c r="D3150" t="str">
        <f t="shared" si="296"/>
        <v>FAB3_1L  Ent Entera</v>
      </c>
      <c r="E3150">
        <v>2023</v>
      </c>
      <c r="F3150">
        <v>51</v>
      </c>
      <c r="G3150">
        <f t="shared" si="297"/>
        <v>12</v>
      </c>
      <c r="H3150" s="1">
        <f t="shared" si="298"/>
        <v>45278</v>
      </c>
      <c r="I3150" s="1">
        <f t="shared" si="299"/>
        <v>45261</v>
      </c>
      <c r="J3150">
        <v>317.90999999999997</v>
      </c>
      <c r="K3150">
        <v>12</v>
      </c>
      <c r="L3150">
        <f t="shared" si="295"/>
        <v>26.492499999999996</v>
      </c>
      <c r="M3150">
        <v>1</v>
      </c>
      <c r="N3150" s="2">
        <f t="shared" si="300"/>
        <v>317.90999999999997</v>
      </c>
      <c r="O3150">
        <v>12</v>
      </c>
    </row>
    <row r="3151" spans="1:15" x14ac:dyDescent="0.25">
      <c r="A3151" t="s">
        <v>46</v>
      </c>
      <c r="B3151" t="s">
        <v>16</v>
      </c>
      <c r="C3151" t="s">
        <v>41</v>
      </c>
      <c r="D3151" t="str">
        <f t="shared" si="296"/>
        <v>FAB3_1L  Ent Entera</v>
      </c>
      <c r="E3151">
        <v>2023</v>
      </c>
      <c r="F3151">
        <v>51</v>
      </c>
      <c r="G3151">
        <f t="shared" si="297"/>
        <v>12</v>
      </c>
      <c r="H3151" s="1">
        <f t="shared" si="298"/>
        <v>45278</v>
      </c>
      <c r="I3151" s="1">
        <f t="shared" si="299"/>
        <v>45261</v>
      </c>
      <c r="J3151">
        <v>1588957.3299999994</v>
      </c>
      <c r="K3151">
        <v>74532</v>
      </c>
      <c r="L3151">
        <f t="shared" si="295"/>
        <v>21.319129098910526</v>
      </c>
      <c r="M3151">
        <v>6211</v>
      </c>
      <c r="N3151" s="2">
        <f t="shared" si="300"/>
        <v>255.82954918692633</v>
      </c>
      <c r="O3151">
        <v>12</v>
      </c>
    </row>
    <row r="3152" spans="1:15" x14ac:dyDescent="0.25">
      <c r="A3152" t="s">
        <v>46</v>
      </c>
      <c r="B3152" t="s">
        <v>16</v>
      </c>
      <c r="C3152" t="s">
        <v>41</v>
      </c>
      <c r="D3152" t="str">
        <f t="shared" si="296"/>
        <v>FAB3_1L  Ent Entera</v>
      </c>
      <c r="E3152">
        <v>2023</v>
      </c>
      <c r="F3152">
        <v>52</v>
      </c>
      <c r="G3152">
        <f t="shared" si="297"/>
        <v>12</v>
      </c>
      <c r="H3152" s="1">
        <f t="shared" si="298"/>
        <v>45285</v>
      </c>
      <c r="I3152" s="1">
        <f t="shared" si="299"/>
        <v>45261</v>
      </c>
      <c r="J3152">
        <v>2157647.5200000014</v>
      </c>
      <c r="K3152">
        <v>106968</v>
      </c>
      <c r="L3152">
        <f t="shared" si="295"/>
        <v>20.17096253085036</v>
      </c>
      <c r="M3152">
        <v>8914</v>
      </c>
      <c r="N3152" s="2">
        <f t="shared" si="300"/>
        <v>242.05155037020432</v>
      </c>
      <c r="O3152">
        <v>12</v>
      </c>
    </row>
    <row r="3153" spans="1:15" x14ac:dyDescent="0.25">
      <c r="A3153" t="s">
        <v>46</v>
      </c>
      <c r="B3153" t="s">
        <v>16</v>
      </c>
      <c r="C3153" t="s">
        <v>41</v>
      </c>
      <c r="D3153" t="str">
        <f t="shared" si="296"/>
        <v>FAB3_1L  Ent Entera</v>
      </c>
      <c r="E3153">
        <v>2024</v>
      </c>
      <c r="F3153">
        <v>1</v>
      </c>
      <c r="G3153">
        <f t="shared" si="297"/>
        <v>1</v>
      </c>
      <c r="H3153" s="1">
        <f t="shared" si="298"/>
        <v>45292</v>
      </c>
      <c r="I3153" s="1">
        <f t="shared" si="299"/>
        <v>45292</v>
      </c>
      <c r="J3153">
        <v>933526.5</v>
      </c>
      <c r="K3153">
        <v>46140</v>
      </c>
      <c r="L3153">
        <f t="shared" si="295"/>
        <v>20.232477243172951</v>
      </c>
      <c r="M3153">
        <v>3845</v>
      </c>
      <c r="N3153" s="2">
        <f t="shared" si="300"/>
        <v>242.78972691807542</v>
      </c>
      <c r="O3153">
        <v>12</v>
      </c>
    </row>
    <row r="3154" spans="1:15" x14ac:dyDescent="0.25">
      <c r="A3154" t="s">
        <v>46</v>
      </c>
      <c r="B3154" t="s">
        <v>16</v>
      </c>
      <c r="C3154" t="s">
        <v>41</v>
      </c>
      <c r="D3154" t="str">
        <f t="shared" si="296"/>
        <v>FAB3_1L  Ent Entera</v>
      </c>
      <c r="E3154">
        <v>2024</v>
      </c>
      <c r="F3154">
        <v>1</v>
      </c>
      <c r="G3154">
        <f t="shared" si="297"/>
        <v>1</v>
      </c>
      <c r="H3154" s="1">
        <f t="shared" si="298"/>
        <v>45292</v>
      </c>
      <c r="I3154" s="1">
        <f t="shared" si="299"/>
        <v>45292</v>
      </c>
      <c r="J3154">
        <v>2619263.9900000002</v>
      </c>
      <c r="K3154">
        <v>129780</v>
      </c>
      <c r="L3154">
        <f t="shared" si="295"/>
        <v>20.182339266450917</v>
      </c>
      <c r="M3154">
        <v>10815</v>
      </c>
      <c r="N3154" s="2">
        <f t="shared" si="300"/>
        <v>242.18807119741103</v>
      </c>
      <c r="O3154">
        <v>12</v>
      </c>
    </row>
    <row r="3155" spans="1:15" x14ac:dyDescent="0.25">
      <c r="A3155" t="s">
        <v>46</v>
      </c>
      <c r="B3155" t="s">
        <v>16</v>
      </c>
      <c r="C3155" t="s">
        <v>41</v>
      </c>
      <c r="D3155" t="str">
        <f t="shared" si="296"/>
        <v>FAB3_1L  Ent Entera</v>
      </c>
      <c r="E3155">
        <v>2024</v>
      </c>
      <c r="F3155">
        <v>2</v>
      </c>
      <c r="G3155">
        <f t="shared" si="297"/>
        <v>1</v>
      </c>
      <c r="H3155" s="1">
        <f t="shared" si="298"/>
        <v>45299</v>
      </c>
      <c r="I3155" s="1">
        <f t="shared" si="299"/>
        <v>45292</v>
      </c>
      <c r="J3155">
        <v>81.3</v>
      </c>
      <c r="K3155">
        <v>12</v>
      </c>
      <c r="L3155">
        <f t="shared" si="295"/>
        <v>6.7749999999999995</v>
      </c>
      <c r="M3155">
        <v>1</v>
      </c>
      <c r="N3155" s="2">
        <f t="shared" si="300"/>
        <v>81.3</v>
      </c>
      <c r="O3155">
        <v>12</v>
      </c>
    </row>
    <row r="3156" spans="1:15" x14ac:dyDescent="0.25">
      <c r="A3156" t="s">
        <v>46</v>
      </c>
      <c r="B3156" t="s">
        <v>16</v>
      </c>
      <c r="C3156" t="s">
        <v>41</v>
      </c>
      <c r="D3156" t="str">
        <f t="shared" si="296"/>
        <v>FAB3_1L  Ent Entera</v>
      </c>
      <c r="E3156">
        <v>2024</v>
      </c>
      <c r="F3156">
        <v>2</v>
      </c>
      <c r="G3156">
        <f t="shared" si="297"/>
        <v>1</v>
      </c>
      <c r="H3156" s="1">
        <f t="shared" si="298"/>
        <v>45299</v>
      </c>
      <c r="I3156" s="1">
        <f t="shared" si="299"/>
        <v>45292</v>
      </c>
      <c r="J3156">
        <v>2373247.2799999998</v>
      </c>
      <c r="K3156">
        <v>118776</v>
      </c>
      <c r="L3156">
        <f t="shared" si="295"/>
        <v>19.980865494712734</v>
      </c>
      <c r="M3156">
        <v>9898</v>
      </c>
      <c r="N3156" s="2">
        <f t="shared" si="300"/>
        <v>239.77038593655283</v>
      </c>
      <c r="O3156">
        <v>12</v>
      </c>
    </row>
    <row r="3157" spans="1:15" x14ac:dyDescent="0.25">
      <c r="A3157" t="s">
        <v>46</v>
      </c>
      <c r="B3157" t="s">
        <v>16</v>
      </c>
      <c r="C3157" t="s">
        <v>41</v>
      </c>
      <c r="D3157" t="str">
        <f t="shared" si="296"/>
        <v>FAB3_1L  Ent Entera</v>
      </c>
      <c r="E3157">
        <v>2024</v>
      </c>
      <c r="F3157">
        <v>3</v>
      </c>
      <c r="G3157">
        <f t="shared" si="297"/>
        <v>1</v>
      </c>
      <c r="H3157" s="1">
        <f t="shared" si="298"/>
        <v>45306</v>
      </c>
      <c r="I3157" s="1">
        <f t="shared" si="299"/>
        <v>45292</v>
      </c>
      <c r="J3157">
        <v>1400574.3</v>
      </c>
      <c r="K3157">
        <v>69168</v>
      </c>
      <c r="L3157">
        <f t="shared" si="295"/>
        <v>20.248876648161001</v>
      </c>
      <c r="M3157">
        <v>5764</v>
      </c>
      <c r="N3157" s="2">
        <f t="shared" si="300"/>
        <v>242.98651977793199</v>
      </c>
      <c r="O3157">
        <v>12</v>
      </c>
    </row>
    <row r="3158" spans="1:15" x14ac:dyDescent="0.25">
      <c r="A3158" t="s">
        <v>46</v>
      </c>
      <c r="B3158" t="s">
        <v>16</v>
      </c>
      <c r="C3158" t="s">
        <v>41</v>
      </c>
      <c r="D3158" t="str">
        <f t="shared" si="296"/>
        <v>FAB3_1L  Ent Entera</v>
      </c>
      <c r="E3158">
        <v>2024</v>
      </c>
      <c r="F3158">
        <v>3</v>
      </c>
      <c r="G3158">
        <f t="shared" si="297"/>
        <v>1</v>
      </c>
      <c r="H3158" s="1">
        <f t="shared" si="298"/>
        <v>45306</v>
      </c>
      <c r="I3158" s="1">
        <f t="shared" si="299"/>
        <v>45292</v>
      </c>
      <c r="J3158">
        <v>2819064.4600000004</v>
      </c>
      <c r="K3158">
        <v>145800</v>
      </c>
      <c r="L3158">
        <f t="shared" si="295"/>
        <v>19.335147187928673</v>
      </c>
      <c r="M3158">
        <v>12150</v>
      </c>
      <c r="N3158" s="2">
        <f t="shared" si="300"/>
        <v>232.02176625514406</v>
      </c>
      <c r="O3158">
        <v>12</v>
      </c>
    </row>
    <row r="3159" spans="1:15" x14ac:dyDescent="0.25">
      <c r="A3159" t="s">
        <v>46</v>
      </c>
      <c r="B3159" t="s">
        <v>16</v>
      </c>
      <c r="C3159" t="s">
        <v>41</v>
      </c>
      <c r="D3159" t="str">
        <f t="shared" si="296"/>
        <v>FAB3_1L  Ent Entera</v>
      </c>
      <c r="E3159">
        <v>2024</v>
      </c>
      <c r="F3159">
        <v>4</v>
      </c>
      <c r="G3159">
        <f t="shared" si="297"/>
        <v>1</v>
      </c>
      <c r="H3159" s="1">
        <f t="shared" si="298"/>
        <v>45313</v>
      </c>
      <c r="I3159" s="1">
        <f t="shared" si="299"/>
        <v>45292</v>
      </c>
      <c r="J3159">
        <v>1583355.1199999994</v>
      </c>
      <c r="K3159">
        <v>74232</v>
      </c>
      <c r="L3159">
        <f t="shared" si="295"/>
        <v>21.329818946007105</v>
      </c>
      <c r="M3159">
        <v>6186</v>
      </c>
      <c r="N3159" s="2">
        <f t="shared" si="300"/>
        <v>255.95782735208525</v>
      </c>
      <c r="O3159">
        <v>12</v>
      </c>
    </row>
    <row r="3160" spans="1:15" x14ac:dyDescent="0.25">
      <c r="A3160" t="s">
        <v>46</v>
      </c>
      <c r="B3160" t="s">
        <v>16</v>
      </c>
      <c r="C3160" t="s">
        <v>41</v>
      </c>
      <c r="D3160" t="str">
        <f t="shared" si="296"/>
        <v>FAB3_1L  Ent Entera</v>
      </c>
      <c r="E3160">
        <v>2024</v>
      </c>
      <c r="F3160">
        <v>5</v>
      </c>
      <c r="G3160">
        <f t="shared" si="297"/>
        <v>2</v>
      </c>
      <c r="H3160" s="1">
        <f t="shared" si="298"/>
        <v>45320</v>
      </c>
      <c r="I3160" s="1">
        <f t="shared" si="299"/>
        <v>45323</v>
      </c>
      <c r="J3160">
        <v>1978.3</v>
      </c>
      <c r="K3160">
        <v>96</v>
      </c>
      <c r="L3160">
        <f t="shared" si="295"/>
        <v>20.607291666666665</v>
      </c>
      <c r="M3160">
        <v>8</v>
      </c>
      <c r="N3160" s="2">
        <f t="shared" si="300"/>
        <v>247.28749999999999</v>
      </c>
      <c r="O3160">
        <v>12</v>
      </c>
    </row>
    <row r="3161" spans="1:15" x14ac:dyDescent="0.25">
      <c r="A3161" t="s">
        <v>46</v>
      </c>
      <c r="B3161" t="s">
        <v>16</v>
      </c>
      <c r="C3161" t="s">
        <v>41</v>
      </c>
      <c r="D3161" t="str">
        <f t="shared" si="296"/>
        <v>FAB3_1L  Ent Entera</v>
      </c>
      <c r="E3161">
        <v>2024</v>
      </c>
      <c r="F3161">
        <v>5</v>
      </c>
      <c r="G3161">
        <f t="shared" si="297"/>
        <v>2</v>
      </c>
      <c r="H3161" s="1">
        <f t="shared" si="298"/>
        <v>45320</v>
      </c>
      <c r="I3161" s="1">
        <f t="shared" si="299"/>
        <v>45323</v>
      </c>
      <c r="J3161">
        <v>1960271.040000001</v>
      </c>
      <c r="K3161">
        <v>89124</v>
      </c>
      <c r="L3161">
        <f t="shared" si="295"/>
        <v>21.994872761545722</v>
      </c>
      <c r="M3161">
        <v>7427</v>
      </c>
      <c r="N3161" s="2">
        <f t="shared" si="300"/>
        <v>263.93847313854866</v>
      </c>
      <c r="O3161">
        <v>12</v>
      </c>
    </row>
    <row r="3162" spans="1:15" x14ac:dyDescent="0.25">
      <c r="A3162" t="s">
        <v>46</v>
      </c>
      <c r="B3162" t="s">
        <v>16</v>
      </c>
      <c r="C3162" t="s">
        <v>41</v>
      </c>
      <c r="D3162" t="str">
        <f t="shared" si="296"/>
        <v>FAB3_1L  Ent Entera</v>
      </c>
      <c r="E3162">
        <v>2024</v>
      </c>
      <c r="F3162">
        <v>6</v>
      </c>
      <c r="G3162">
        <f t="shared" si="297"/>
        <v>2</v>
      </c>
      <c r="H3162" s="1">
        <f t="shared" si="298"/>
        <v>45327</v>
      </c>
      <c r="I3162" s="1">
        <f t="shared" si="299"/>
        <v>45323</v>
      </c>
      <c r="J3162">
        <v>61246</v>
      </c>
      <c r="K3162">
        <v>2712</v>
      </c>
      <c r="L3162">
        <f t="shared" si="295"/>
        <v>22.583333333333332</v>
      </c>
      <c r="M3162">
        <v>226</v>
      </c>
      <c r="N3162" s="2">
        <f t="shared" si="300"/>
        <v>271</v>
      </c>
      <c r="O3162">
        <v>12</v>
      </c>
    </row>
    <row r="3163" spans="1:15" x14ac:dyDescent="0.25">
      <c r="A3163" t="s">
        <v>46</v>
      </c>
      <c r="B3163" t="s">
        <v>16</v>
      </c>
      <c r="C3163" t="s">
        <v>41</v>
      </c>
      <c r="D3163" t="str">
        <f t="shared" si="296"/>
        <v>FAB3_1L  Ent Entera</v>
      </c>
      <c r="E3163">
        <v>2024</v>
      </c>
      <c r="F3163">
        <v>6</v>
      </c>
      <c r="G3163">
        <f t="shared" si="297"/>
        <v>2</v>
      </c>
      <c r="H3163" s="1">
        <f t="shared" si="298"/>
        <v>45327</v>
      </c>
      <c r="I3163" s="1">
        <f t="shared" si="299"/>
        <v>45323</v>
      </c>
      <c r="J3163">
        <v>1544713.8299999987</v>
      </c>
      <c r="K3163">
        <v>68712</v>
      </c>
      <c r="L3163">
        <f t="shared" si="295"/>
        <v>22.480990656653841</v>
      </c>
      <c r="M3163">
        <v>5726</v>
      </c>
      <c r="N3163" s="2">
        <f t="shared" si="300"/>
        <v>269.77188787984608</v>
      </c>
      <c r="O3163">
        <v>12</v>
      </c>
    </row>
    <row r="3164" spans="1:15" x14ac:dyDescent="0.25">
      <c r="A3164" t="s">
        <v>46</v>
      </c>
      <c r="B3164" t="s">
        <v>16</v>
      </c>
      <c r="C3164" t="s">
        <v>41</v>
      </c>
      <c r="D3164" t="str">
        <f t="shared" si="296"/>
        <v>FAB3_1L  Ent Entera</v>
      </c>
      <c r="E3164">
        <v>2024</v>
      </c>
      <c r="F3164">
        <v>7</v>
      </c>
      <c r="G3164">
        <f t="shared" si="297"/>
        <v>2</v>
      </c>
      <c r="H3164" s="1">
        <f t="shared" si="298"/>
        <v>45334</v>
      </c>
      <c r="I3164" s="1">
        <f t="shared" si="299"/>
        <v>45323</v>
      </c>
      <c r="J3164">
        <v>2562120</v>
      </c>
      <c r="K3164">
        <v>140184</v>
      </c>
      <c r="L3164">
        <f t="shared" si="295"/>
        <v>18.27683615819209</v>
      </c>
      <c r="M3164">
        <v>11682</v>
      </c>
      <c r="N3164" s="2">
        <f t="shared" si="300"/>
        <v>219.32203389830508</v>
      </c>
      <c r="O3164">
        <v>12</v>
      </c>
    </row>
    <row r="3165" spans="1:15" x14ac:dyDescent="0.25">
      <c r="A3165" t="s">
        <v>46</v>
      </c>
      <c r="B3165" t="s">
        <v>16</v>
      </c>
      <c r="C3165" t="s">
        <v>41</v>
      </c>
      <c r="D3165" t="str">
        <f t="shared" si="296"/>
        <v>FAB3_1L  Ent Entera</v>
      </c>
      <c r="E3165">
        <v>2024</v>
      </c>
      <c r="F3165">
        <v>7</v>
      </c>
      <c r="G3165">
        <f t="shared" si="297"/>
        <v>2</v>
      </c>
      <c r="H3165" s="1">
        <f t="shared" si="298"/>
        <v>45334</v>
      </c>
      <c r="I3165" s="1">
        <f t="shared" si="299"/>
        <v>45323</v>
      </c>
      <c r="J3165">
        <v>1947412.9099999978</v>
      </c>
      <c r="K3165">
        <v>88620</v>
      </c>
      <c r="L3165">
        <f t="shared" si="295"/>
        <v>21.974869216881039</v>
      </c>
      <c r="M3165">
        <v>7385</v>
      </c>
      <c r="N3165" s="2">
        <f t="shared" si="300"/>
        <v>263.6984306025725</v>
      </c>
      <c r="O3165">
        <v>12</v>
      </c>
    </row>
    <row r="3166" spans="1:15" x14ac:dyDescent="0.25">
      <c r="A3166" t="s">
        <v>46</v>
      </c>
      <c r="B3166" t="s">
        <v>16</v>
      </c>
      <c r="C3166" t="s">
        <v>41</v>
      </c>
      <c r="D3166" t="str">
        <f t="shared" si="296"/>
        <v>FAB3_1L  Ent Entera</v>
      </c>
      <c r="E3166">
        <v>2024</v>
      </c>
      <c r="F3166">
        <v>8</v>
      </c>
      <c r="G3166">
        <f t="shared" si="297"/>
        <v>2</v>
      </c>
      <c r="H3166" s="1">
        <f t="shared" si="298"/>
        <v>45341</v>
      </c>
      <c r="I3166" s="1">
        <f t="shared" si="299"/>
        <v>45323</v>
      </c>
      <c r="J3166">
        <v>352.3</v>
      </c>
      <c r="K3166">
        <v>24</v>
      </c>
      <c r="L3166">
        <f t="shared" si="295"/>
        <v>14.679166666666667</v>
      </c>
      <c r="M3166">
        <v>2</v>
      </c>
      <c r="N3166" s="2">
        <f t="shared" si="300"/>
        <v>176.15</v>
      </c>
      <c r="O3166">
        <v>12</v>
      </c>
    </row>
    <row r="3167" spans="1:15" x14ac:dyDescent="0.25">
      <c r="A3167" t="s">
        <v>46</v>
      </c>
      <c r="B3167" t="s">
        <v>16</v>
      </c>
      <c r="C3167" t="s">
        <v>41</v>
      </c>
      <c r="D3167" t="str">
        <f t="shared" si="296"/>
        <v>FAB3_1L  Ent Entera</v>
      </c>
      <c r="E3167">
        <v>2024</v>
      </c>
      <c r="F3167">
        <v>8</v>
      </c>
      <c r="G3167">
        <f t="shared" si="297"/>
        <v>2</v>
      </c>
      <c r="H3167" s="1">
        <f t="shared" si="298"/>
        <v>45341</v>
      </c>
      <c r="I3167" s="1">
        <f t="shared" si="299"/>
        <v>45323</v>
      </c>
      <c r="J3167">
        <v>1927712.1500000001</v>
      </c>
      <c r="K3167">
        <v>89064</v>
      </c>
      <c r="L3167">
        <f t="shared" si="295"/>
        <v>21.644122765651669</v>
      </c>
      <c r="M3167">
        <v>7422</v>
      </c>
      <c r="N3167" s="2">
        <f t="shared" si="300"/>
        <v>259.72947318782002</v>
      </c>
      <c r="O3167">
        <v>12</v>
      </c>
    </row>
    <row r="3168" spans="1:15" x14ac:dyDescent="0.25">
      <c r="A3168" t="s">
        <v>46</v>
      </c>
      <c r="B3168" t="s">
        <v>16</v>
      </c>
      <c r="C3168" t="s">
        <v>41</v>
      </c>
      <c r="D3168" t="str">
        <f t="shared" si="296"/>
        <v>FAB3_1L  Ent Entera</v>
      </c>
      <c r="E3168">
        <v>2024</v>
      </c>
      <c r="F3168">
        <v>9</v>
      </c>
      <c r="G3168">
        <f t="shared" si="297"/>
        <v>2</v>
      </c>
      <c r="H3168" s="1">
        <f t="shared" si="298"/>
        <v>45348</v>
      </c>
      <c r="I3168" s="1">
        <f t="shared" si="299"/>
        <v>45323</v>
      </c>
      <c r="J3168">
        <v>1841413.6599999983</v>
      </c>
      <c r="K3168">
        <v>82932</v>
      </c>
      <c r="L3168">
        <f t="shared" si="295"/>
        <v>22.203897892249049</v>
      </c>
      <c r="M3168">
        <v>6911</v>
      </c>
      <c r="N3168" s="2">
        <f t="shared" si="300"/>
        <v>266.44677470698861</v>
      </c>
      <c r="O3168">
        <v>12</v>
      </c>
    </row>
    <row r="3169" spans="1:15" x14ac:dyDescent="0.25">
      <c r="A3169" t="s">
        <v>46</v>
      </c>
      <c r="B3169" t="s">
        <v>16</v>
      </c>
      <c r="C3169" t="s">
        <v>41</v>
      </c>
      <c r="D3169" t="str">
        <f t="shared" si="296"/>
        <v>FAB3_1L  Ent Entera</v>
      </c>
      <c r="E3169">
        <v>2024</v>
      </c>
      <c r="F3169">
        <v>10</v>
      </c>
      <c r="G3169">
        <f t="shared" si="297"/>
        <v>3</v>
      </c>
      <c r="H3169" s="1">
        <f t="shared" si="298"/>
        <v>45355</v>
      </c>
      <c r="I3169" s="1">
        <f t="shared" si="299"/>
        <v>45352</v>
      </c>
      <c r="J3169">
        <v>16374.23</v>
      </c>
      <c r="K3169">
        <v>768</v>
      </c>
      <c r="L3169">
        <f t="shared" si="295"/>
        <v>21.320611979166667</v>
      </c>
      <c r="M3169">
        <v>64</v>
      </c>
      <c r="N3169" s="2">
        <f t="shared" si="300"/>
        <v>255.84734374999999</v>
      </c>
      <c r="O3169">
        <v>12</v>
      </c>
    </row>
    <row r="3170" spans="1:15" x14ac:dyDescent="0.25">
      <c r="A3170" t="s">
        <v>46</v>
      </c>
      <c r="B3170" t="s">
        <v>16</v>
      </c>
      <c r="C3170" t="s">
        <v>41</v>
      </c>
      <c r="D3170" t="str">
        <f t="shared" si="296"/>
        <v>FAB3_1L  Ent Entera</v>
      </c>
      <c r="E3170">
        <v>2024</v>
      </c>
      <c r="F3170">
        <v>10</v>
      </c>
      <c r="G3170">
        <f t="shared" si="297"/>
        <v>3</v>
      </c>
      <c r="H3170" s="1">
        <f t="shared" si="298"/>
        <v>45355</v>
      </c>
      <c r="I3170" s="1">
        <f t="shared" si="299"/>
        <v>45352</v>
      </c>
      <c r="J3170">
        <v>2152125.2799999984</v>
      </c>
      <c r="K3170">
        <v>98928</v>
      </c>
      <c r="L3170">
        <f t="shared" si="295"/>
        <v>21.754460617823046</v>
      </c>
      <c r="M3170">
        <v>8244</v>
      </c>
      <c r="N3170" s="2">
        <f t="shared" si="300"/>
        <v>261.05352741387657</v>
      </c>
      <c r="O3170">
        <v>12</v>
      </c>
    </row>
    <row r="3171" spans="1:15" x14ac:dyDescent="0.25">
      <c r="A3171" t="s">
        <v>46</v>
      </c>
      <c r="B3171" t="s">
        <v>16</v>
      </c>
      <c r="C3171" t="s">
        <v>41</v>
      </c>
      <c r="D3171" t="str">
        <f t="shared" si="296"/>
        <v>FAB3_1L  Ent Entera</v>
      </c>
      <c r="E3171">
        <v>2024</v>
      </c>
      <c r="F3171">
        <v>11</v>
      </c>
      <c r="G3171">
        <f t="shared" si="297"/>
        <v>3</v>
      </c>
      <c r="H3171" s="1">
        <f t="shared" si="298"/>
        <v>45362</v>
      </c>
      <c r="I3171" s="1">
        <f t="shared" si="299"/>
        <v>45352</v>
      </c>
      <c r="J3171">
        <v>29756.23</v>
      </c>
      <c r="K3171">
        <v>1320</v>
      </c>
      <c r="L3171">
        <f t="shared" si="295"/>
        <v>22.542598484848483</v>
      </c>
      <c r="M3171">
        <v>110</v>
      </c>
      <c r="N3171" s="2">
        <f t="shared" si="300"/>
        <v>270.5111818181818</v>
      </c>
      <c r="O3171">
        <v>12</v>
      </c>
    </row>
    <row r="3172" spans="1:15" x14ac:dyDescent="0.25">
      <c r="A3172" t="s">
        <v>46</v>
      </c>
      <c r="B3172" t="s">
        <v>16</v>
      </c>
      <c r="C3172" t="s">
        <v>41</v>
      </c>
      <c r="D3172" t="str">
        <f t="shared" si="296"/>
        <v>FAB3_1L  Ent Entera</v>
      </c>
      <c r="E3172">
        <v>2024</v>
      </c>
      <c r="F3172">
        <v>11</v>
      </c>
      <c r="G3172">
        <f t="shared" si="297"/>
        <v>3</v>
      </c>
      <c r="H3172" s="1">
        <f t="shared" si="298"/>
        <v>45362</v>
      </c>
      <c r="I3172" s="1">
        <f t="shared" si="299"/>
        <v>45352</v>
      </c>
      <c r="J3172">
        <v>2288044.3199999989</v>
      </c>
      <c r="K3172">
        <v>108000</v>
      </c>
      <c r="L3172">
        <f t="shared" si="295"/>
        <v>21.185595555555544</v>
      </c>
      <c r="M3172">
        <v>9000</v>
      </c>
      <c r="N3172" s="2">
        <f t="shared" si="300"/>
        <v>254.22714666666656</v>
      </c>
      <c r="O3172">
        <v>12</v>
      </c>
    </row>
    <row r="3173" spans="1:15" x14ac:dyDescent="0.25">
      <c r="A3173" t="s">
        <v>46</v>
      </c>
      <c r="B3173" t="s">
        <v>16</v>
      </c>
      <c r="C3173" t="s">
        <v>41</v>
      </c>
      <c r="D3173" t="str">
        <f t="shared" si="296"/>
        <v>FAB3_1L  Ent Entera</v>
      </c>
      <c r="E3173">
        <v>2024</v>
      </c>
      <c r="F3173">
        <v>12</v>
      </c>
      <c r="G3173">
        <f t="shared" si="297"/>
        <v>3</v>
      </c>
      <c r="H3173" s="1">
        <f t="shared" si="298"/>
        <v>45369</v>
      </c>
      <c r="I3173" s="1">
        <f t="shared" si="299"/>
        <v>45352</v>
      </c>
      <c r="J3173">
        <v>2122505.2599999993</v>
      </c>
      <c r="K3173">
        <v>100668</v>
      </c>
      <c r="L3173">
        <f t="shared" si="295"/>
        <v>21.084210076687718</v>
      </c>
      <c r="M3173">
        <v>8389</v>
      </c>
      <c r="N3173" s="2">
        <f t="shared" si="300"/>
        <v>253.01052092025262</v>
      </c>
      <c r="O3173">
        <v>12</v>
      </c>
    </row>
    <row r="3174" spans="1:15" x14ac:dyDescent="0.25">
      <c r="A3174" t="s">
        <v>46</v>
      </c>
      <c r="B3174" t="s">
        <v>16</v>
      </c>
      <c r="C3174" t="s">
        <v>41</v>
      </c>
      <c r="D3174" t="str">
        <f t="shared" si="296"/>
        <v>FAB3_1L  Ent Entera</v>
      </c>
      <c r="E3174">
        <v>2024</v>
      </c>
      <c r="F3174">
        <v>13</v>
      </c>
      <c r="G3174">
        <f t="shared" si="297"/>
        <v>3</v>
      </c>
      <c r="H3174" s="1">
        <f t="shared" si="298"/>
        <v>45376</v>
      </c>
      <c r="I3174" s="1">
        <f t="shared" si="299"/>
        <v>45352</v>
      </c>
      <c r="J3174">
        <v>1856845.6400000008</v>
      </c>
      <c r="K3174">
        <v>86844</v>
      </c>
      <c r="L3174">
        <f t="shared" si="295"/>
        <v>21.381392381741982</v>
      </c>
      <c r="M3174">
        <v>7237</v>
      </c>
      <c r="N3174" s="2">
        <f t="shared" si="300"/>
        <v>256.57670858090381</v>
      </c>
      <c r="O3174">
        <v>12</v>
      </c>
    </row>
    <row r="3175" spans="1:15" x14ac:dyDescent="0.25">
      <c r="A3175" t="s">
        <v>46</v>
      </c>
      <c r="B3175" t="s">
        <v>16</v>
      </c>
      <c r="C3175" t="s">
        <v>41</v>
      </c>
      <c r="D3175" t="str">
        <f t="shared" si="296"/>
        <v>FAB3_1L  Ent Entera</v>
      </c>
      <c r="E3175">
        <v>2024</v>
      </c>
      <c r="F3175">
        <v>14</v>
      </c>
      <c r="G3175">
        <f t="shared" si="297"/>
        <v>4</v>
      </c>
      <c r="H3175" s="1">
        <f t="shared" si="298"/>
        <v>45383</v>
      </c>
      <c r="I3175" s="1">
        <f t="shared" si="299"/>
        <v>45383</v>
      </c>
      <c r="J3175">
        <v>466831</v>
      </c>
      <c r="K3175">
        <v>23052</v>
      </c>
      <c r="L3175">
        <f t="shared" si="295"/>
        <v>20.251214645150096</v>
      </c>
      <c r="M3175">
        <v>1921</v>
      </c>
      <c r="N3175" s="2">
        <f t="shared" si="300"/>
        <v>243.01457574180114</v>
      </c>
      <c r="O3175">
        <v>12</v>
      </c>
    </row>
    <row r="3176" spans="1:15" x14ac:dyDescent="0.25">
      <c r="A3176" t="s">
        <v>46</v>
      </c>
      <c r="B3176" t="s">
        <v>16</v>
      </c>
      <c r="C3176" t="s">
        <v>41</v>
      </c>
      <c r="D3176" t="str">
        <f t="shared" si="296"/>
        <v>FAB3_1L  Ent Entera</v>
      </c>
      <c r="E3176">
        <v>2024</v>
      </c>
      <c r="F3176">
        <v>14</v>
      </c>
      <c r="G3176">
        <f t="shared" si="297"/>
        <v>4</v>
      </c>
      <c r="H3176" s="1">
        <f t="shared" si="298"/>
        <v>45383</v>
      </c>
      <c r="I3176" s="1">
        <f t="shared" si="299"/>
        <v>45383</v>
      </c>
      <c r="J3176">
        <v>2111408.1999999979</v>
      </c>
      <c r="K3176">
        <v>94308</v>
      </c>
      <c r="L3176">
        <f t="shared" si="295"/>
        <v>22.388431522246233</v>
      </c>
      <c r="M3176">
        <v>7859</v>
      </c>
      <c r="N3176" s="2">
        <f t="shared" si="300"/>
        <v>268.66117826695483</v>
      </c>
      <c r="O3176">
        <v>12</v>
      </c>
    </row>
    <row r="3177" spans="1:15" x14ac:dyDescent="0.25">
      <c r="A3177" t="s">
        <v>46</v>
      </c>
      <c r="B3177" t="s">
        <v>16</v>
      </c>
      <c r="C3177" t="s">
        <v>41</v>
      </c>
      <c r="D3177" t="str">
        <f t="shared" si="296"/>
        <v>FAB3_1L  Ent Entera</v>
      </c>
      <c r="E3177">
        <v>2024</v>
      </c>
      <c r="F3177">
        <v>15</v>
      </c>
      <c r="G3177">
        <f t="shared" si="297"/>
        <v>4</v>
      </c>
      <c r="H3177" s="1">
        <f t="shared" si="298"/>
        <v>45390</v>
      </c>
      <c r="I3177" s="1">
        <f t="shared" si="299"/>
        <v>45383</v>
      </c>
      <c r="J3177">
        <v>1399680</v>
      </c>
      <c r="K3177">
        <v>69120</v>
      </c>
      <c r="L3177">
        <f t="shared" si="295"/>
        <v>20.25</v>
      </c>
      <c r="M3177">
        <v>5760</v>
      </c>
      <c r="N3177" s="2">
        <f t="shared" si="300"/>
        <v>243</v>
      </c>
      <c r="O3177">
        <v>12</v>
      </c>
    </row>
    <row r="3178" spans="1:15" x14ac:dyDescent="0.25">
      <c r="A3178" t="s">
        <v>46</v>
      </c>
      <c r="B3178" t="s">
        <v>16</v>
      </c>
      <c r="C3178" t="s">
        <v>41</v>
      </c>
      <c r="D3178" t="str">
        <f t="shared" si="296"/>
        <v>FAB3_1L  Ent Entera</v>
      </c>
      <c r="E3178">
        <v>2024</v>
      </c>
      <c r="F3178">
        <v>15</v>
      </c>
      <c r="G3178">
        <f t="shared" si="297"/>
        <v>4</v>
      </c>
      <c r="H3178" s="1">
        <f t="shared" si="298"/>
        <v>45390</v>
      </c>
      <c r="I3178" s="1">
        <f t="shared" si="299"/>
        <v>45383</v>
      </c>
      <c r="J3178">
        <v>1684435.1799999997</v>
      </c>
      <c r="K3178">
        <v>75216</v>
      </c>
      <c r="L3178">
        <f t="shared" si="295"/>
        <v>22.394639172516481</v>
      </c>
      <c r="M3178">
        <v>6268</v>
      </c>
      <c r="N3178" s="2">
        <f t="shared" si="300"/>
        <v>268.73567007019778</v>
      </c>
      <c r="O3178">
        <v>12</v>
      </c>
    </row>
    <row r="3179" spans="1:15" x14ac:dyDescent="0.25">
      <c r="A3179" t="s">
        <v>46</v>
      </c>
      <c r="B3179" t="s">
        <v>16</v>
      </c>
      <c r="C3179" t="s">
        <v>41</v>
      </c>
      <c r="D3179" t="str">
        <f t="shared" si="296"/>
        <v>FAB3_1L  Ent Entera</v>
      </c>
      <c r="E3179">
        <v>2024</v>
      </c>
      <c r="F3179">
        <v>16</v>
      </c>
      <c r="G3179">
        <f t="shared" si="297"/>
        <v>4</v>
      </c>
      <c r="H3179" s="1">
        <f t="shared" si="298"/>
        <v>45397</v>
      </c>
      <c r="I3179" s="1">
        <f t="shared" si="299"/>
        <v>45383</v>
      </c>
      <c r="J3179">
        <v>933120</v>
      </c>
      <c r="K3179">
        <v>46080</v>
      </c>
      <c r="L3179">
        <f t="shared" si="295"/>
        <v>20.25</v>
      </c>
      <c r="M3179">
        <v>3840</v>
      </c>
      <c r="N3179" s="2">
        <f t="shared" si="300"/>
        <v>243</v>
      </c>
      <c r="O3179">
        <v>12</v>
      </c>
    </row>
    <row r="3180" spans="1:15" x14ac:dyDescent="0.25">
      <c r="A3180" t="s">
        <v>46</v>
      </c>
      <c r="B3180" t="s">
        <v>16</v>
      </c>
      <c r="C3180" t="s">
        <v>41</v>
      </c>
      <c r="D3180" t="str">
        <f t="shared" si="296"/>
        <v>FAB3_1L  Ent Entera</v>
      </c>
      <c r="E3180">
        <v>2024</v>
      </c>
      <c r="F3180">
        <v>16</v>
      </c>
      <c r="G3180">
        <f t="shared" si="297"/>
        <v>4</v>
      </c>
      <c r="H3180" s="1">
        <f t="shared" si="298"/>
        <v>45397</v>
      </c>
      <c r="I3180" s="1">
        <f t="shared" si="299"/>
        <v>45383</v>
      </c>
      <c r="J3180">
        <v>2019442.679999999</v>
      </c>
      <c r="K3180">
        <v>90204</v>
      </c>
      <c r="L3180">
        <f t="shared" si="295"/>
        <v>22.387506984169207</v>
      </c>
      <c r="M3180">
        <v>7517</v>
      </c>
      <c r="N3180" s="2">
        <f t="shared" si="300"/>
        <v>268.65008381003048</v>
      </c>
      <c r="O3180">
        <v>12</v>
      </c>
    </row>
    <row r="3181" spans="1:15" x14ac:dyDescent="0.25">
      <c r="A3181" t="s">
        <v>46</v>
      </c>
      <c r="B3181" t="s">
        <v>16</v>
      </c>
      <c r="C3181" t="s">
        <v>41</v>
      </c>
      <c r="D3181" t="str">
        <f t="shared" si="296"/>
        <v>FAB3_1L  Ent Entera</v>
      </c>
      <c r="E3181">
        <v>2024</v>
      </c>
      <c r="F3181">
        <v>17</v>
      </c>
      <c r="G3181">
        <f t="shared" si="297"/>
        <v>4</v>
      </c>
      <c r="H3181" s="1">
        <f t="shared" si="298"/>
        <v>45404</v>
      </c>
      <c r="I3181" s="1">
        <f t="shared" si="299"/>
        <v>45383</v>
      </c>
      <c r="J3181">
        <v>-489968</v>
      </c>
      <c r="K3181">
        <v>-21696</v>
      </c>
      <c r="L3181">
        <f t="shared" si="295"/>
        <v>22.583333333333332</v>
      </c>
      <c r="M3181">
        <v>-1808</v>
      </c>
      <c r="N3181" s="2">
        <f t="shared" si="300"/>
        <v>271</v>
      </c>
      <c r="O3181">
        <v>12</v>
      </c>
    </row>
    <row r="3182" spans="1:15" x14ac:dyDescent="0.25">
      <c r="A3182" t="s">
        <v>46</v>
      </c>
      <c r="B3182" t="s">
        <v>16</v>
      </c>
      <c r="C3182" t="s">
        <v>41</v>
      </c>
      <c r="D3182" t="str">
        <f t="shared" si="296"/>
        <v>FAB3_1L  Ent Entera</v>
      </c>
      <c r="E3182">
        <v>2024</v>
      </c>
      <c r="F3182">
        <v>17</v>
      </c>
      <c r="G3182">
        <f t="shared" si="297"/>
        <v>4</v>
      </c>
      <c r="H3182" s="1">
        <f t="shared" si="298"/>
        <v>45404</v>
      </c>
      <c r="I3182" s="1">
        <f t="shared" si="299"/>
        <v>45383</v>
      </c>
      <c r="J3182">
        <v>1791535.1800000006</v>
      </c>
      <c r="K3182">
        <v>81036</v>
      </c>
      <c r="L3182">
        <f t="shared" si="295"/>
        <v>22.107892541586462</v>
      </c>
      <c r="M3182">
        <v>6753</v>
      </c>
      <c r="N3182" s="2">
        <f t="shared" si="300"/>
        <v>265.29471049903754</v>
      </c>
      <c r="O3182">
        <v>12</v>
      </c>
    </row>
    <row r="3183" spans="1:15" x14ac:dyDescent="0.25">
      <c r="A3183" t="s">
        <v>46</v>
      </c>
      <c r="B3183" t="s">
        <v>16</v>
      </c>
      <c r="C3183" t="s">
        <v>41</v>
      </c>
      <c r="D3183" t="str">
        <f t="shared" si="296"/>
        <v>FAB3_1L  Ent Entera</v>
      </c>
      <c r="E3183">
        <v>2024</v>
      </c>
      <c r="F3183">
        <v>18</v>
      </c>
      <c r="G3183">
        <f t="shared" si="297"/>
        <v>5</v>
      </c>
      <c r="H3183" s="1">
        <f t="shared" si="298"/>
        <v>45411</v>
      </c>
      <c r="I3183" s="1">
        <f t="shared" si="299"/>
        <v>45413</v>
      </c>
      <c r="J3183">
        <v>511648</v>
      </c>
      <c r="K3183">
        <v>22656</v>
      </c>
      <c r="L3183">
        <f t="shared" si="295"/>
        <v>22.583333333333332</v>
      </c>
      <c r="M3183">
        <v>1888</v>
      </c>
      <c r="N3183" s="2">
        <f t="shared" si="300"/>
        <v>271</v>
      </c>
      <c r="O3183">
        <v>12</v>
      </c>
    </row>
    <row r="3184" spans="1:15" x14ac:dyDescent="0.25">
      <c r="A3184" t="s">
        <v>46</v>
      </c>
      <c r="B3184" t="s">
        <v>16</v>
      </c>
      <c r="C3184" t="s">
        <v>41</v>
      </c>
      <c r="D3184" t="str">
        <f t="shared" si="296"/>
        <v>FAB3_1L  Ent Entera</v>
      </c>
      <c r="E3184">
        <v>2024</v>
      </c>
      <c r="F3184">
        <v>18</v>
      </c>
      <c r="G3184">
        <f t="shared" si="297"/>
        <v>5</v>
      </c>
      <c r="H3184" s="1">
        <f t="shared" si="298"/>
        <v>45411</v>
      </c>
      <c r="I3184" s="1">
        <f t="shared" si="299"/>
        <v>45413</v>
      </c>
      <c r="J3184">
        <v>2077337.4400000002</v>
      </c>
      <c r="K3184">
        <v>91896</v>
      </c>
      <c r="L3184">
        <f t="shared" si="295"/>
        <v>22.605308609732742</v>
      </c>
      <c r="M3184">
        <v>7658</v>
      </c>
      <c r="N3184" s="2">
        <f t="shared" si="300"/>
        <v>271.26370331679294</v>
      </c>
      <c r="O3184">
        <v>12</v>
      </c>
    </row>
    <row r="3185" spans="1:15" x14ac:dyDescent="0.25">
      <c r="A3185" t="s">
        <v>46</v>
      </c>
      <c r="B3185" t="s">
        <v>16</v>
      </c>
      <c r="C3185" t="s">
        <v>41</v>
      </c>
      <c r="D3185" t="str">
        <f t="shared" si="296"/>
        <v>FAB3_1L  Ent Entera</v>
      </c>
      <c r="E3185">
        <v>2024</v>
      </c>
      <c r="F3185">
        <v>19</v>
      </c>
      <c r="G3185">
        <f t="shared" si="297"/>
        <v>5</v>
      </c>
      <c r="H3185" s="1">
        <f t="shared" si="298"/>
        <v>45418</v>
      </c>
      <c r="I3185" s="1">
        <f t="shared" si="299"/>
        <v>45413</v>
      </c>
      <c r="J3185">
        <v>1510338.7500000009</v>
      </c>
      <c r="K3185">
        <v>62124</v>
      </c>
      <c r="L3185">
        <f t="shared" si="295"/>
        <v>24.31167906123239</v>
      </c>
      <c r="M3185">
        <v>5177</v>
      </c>
      <c r="N3185" s="2">
        <f t="shared" si="300"/>
        <v>291.74014873478865</v>
      </c>
      <c r="O3185">
        <v>12</v>
      </c>
    </row>
    <row r="3186" spans="1:15" x14ac:dyDescent="0.25">
      <c r="A3186" t="s">
        <v>46</v>
      </c>
      <c r="B3186" t="s">
        <v>16</v>
      </c>
      <c r="C3186" t="s">
        <v>41</v>
      </c>
      <c r="D3186" t="str">
        <f t="shared" si="296"/>
        <v>FAB3_1L  Ent Entera</v>
      </c>
      <c r="E3186">
        <v>2024</v>
      </c>
      <c r="F3186">
        <v>20</v>
      </c>
      <c r="G3186">
        <f t="shared" si="297"/>
        <v>5</v>
      </c>
      <c r="H3186" s="1">
        <f t="shared" si="298"/>
        <v>45425</v>
      </c>
      <c r="I3186" s="1">
        <f t="shared" si="299"/>
        <v>45413</v>
      </c>
      <c r="J3186">
        <v>965120</v>
      </c>
      <c r="K3186">
        <v>47616</v>
      </c>
      <c r="L3186">
        <f t="shared" si="295"/>
        <v>20.268817204301076</v>
      </c>
      <c r="M3186">
        <v>3968</v>
      </c>
      <c r="N3186" s="2">
        <f t="shared" si="300"/>
        <v>243.2258064516129</v>
      </c>
      <c r="O3186">
        <v>12</v>
      </c>
    </row>
    <row r="3187" spans="1:15" x14ac:dyDescent="0.25">
      <c r="A3187" t="s">
        <v>46</v>
      </c>
      <c r="B3187" t="s">
        <v>16</v>
      </c>
      <c r="C3187" t="s">
        <v>41</v>
      </c>
      <c r="D3187" t="str">
        <f t="shared" si="296"/>
        <v>FAB3_1L  Ent Entera</v>
      </c>
      <c r="E3187">
        <v>2024</v>
      </c>
      <c r="F3187">
        <v>20</v>
      </c>
      <c r="G3187">
        <f t="shared" si="297"/>
        <v>5</v>
      </c>
      <c r="H3187" s="1">
        <f t="shared" si="298"/>
        <v>45425</v>
      </c>
      <c r="I3187" s="1">
        <f t="shared" si="299"/>
        <v>45413</v>
      </c>
      <c r="J3187">
        <v>1555123.9400000002</v>
      </c>
      <c r="K3187">
        <v>64908</v>
      </c>
      <c r="L3187">
        <f t="shared" si="295"/>
        <v>23.958894743329022</v>
      </c>
      <c r="M3187">
        <v>5409</v>
      </c>
      <c r="N3187" s="2">
        <f t="shared" si="300"/>
        <v>287.50673691994825</v>
      </c>
      <c r="O3187">
        <v>12</v>
      </c>
    </row>
    <row r="3188" spans="1:15" x14ac:dyDescent="0.25">
      <c r="A3188" t="s">
        <v>46</v>
      </c>
      <c r="B3188" t="s">
        <v>16</v>
      </c>
      <c r="C3188" t="s">
        <v>41</v>
      </c>
      <c r="D3188" t="str">
        <f t="shared" si="296"/>
        <v>FAB3_1L  Ent Entera</v>
      </c>
      <c r="E3188">
        <v>2024</v>
      </c>
      <c r="F3188">
        <v>21</v>
      </c>
      <c r="G3188">
        <f t="shared" si="297"/>
        <v>5</v>
      </c>
      <c r="H3188" s="1">
        <f t="shared" si="298"/>
        <v>45432</v>
      </c>
      <c r="I3188" s="1">
        <f t="shared" si="299"/>
        <v>45413</v>
      </c>
      <c r="J3188">
        <v>933415</v>
      </c>
      <c r="K3188">
        <v>46092</v>
      </c>
      <c r="L3188">
        <f t="shared" si="295"/>
        <v>20.251128178425756</v>
      </c>
      <c r="M3188">
        <v>3841</v>
      </c>
      <c r="N3188" s="2">
        <f t="shared" si="300"/>
        <v>243.01353814110908</v>
      </c>
      <c r="O3188">
        <v>12</v>
      </c>
    </row>
    <row r="3189" spans="1:15" x14ac:dyDescent="0.25">
      <c r="A3189" t="s">
        <v>46</v>
      </c>
      <c r="B3189" t="s">
        <v>16</v>
      </c>
      <c r="C3189" t="s">
        <v>41</v>
      </c>
      <c r="D3189" t="str">
        <f t="shared" si="296"/>
        <v>FAB3_1L  Ent Entera</v>
      </c>
      <c r="E3189">
        <v>2024</v>
      </c>
      <c r="F3189">
        <v>21</v>
      </c>
      <c r="G3189">
        <f t="shared" si="297"/>
        <v>5</v>
      </c>
      <c r="H3189" s="1">
        <f t="shared" si="298"/>
        <v>45432</v>
      </c>
      <c r="I3189" s="1">
        <f t="shared" si="299"/>
        <v>45413</v>
      </c>
      <c r="J3189">
        <v>1413879.1900000018</v>
      </c>
      <c r="K3189">
        <v>59304</v>
      </c>
      <c r="L3189">
        <f t="shared" si="295"/>
        <v>23.84121121678136</v>
      </c>
      <c r="M3189">
        <v>4942</v>
      </c>
      <c r="N3189" s="2">
        <f t="shared" si="300"/>
        <v>286.09453460137632</v>
      </c>
      <c r="O3189">
        <v>12</v>
      </c>
    </row>
    <row r="3190" spans="1:15" x14ac:dyDescent="0.25">
      <c r="A3190" t="s">
        <v>46</v>
      </c>
      <c r="B3190" t="s">
        <v>16</v>
      </c>
      <c r="C3190" t="s">
        <v>41</v>
      </c>
      <c r="D3190" t="str">
        <f t="shared" si="296"/>
        <v>FAB3_1L  Ent Entera</v>
      </c>
      <c r="E3190">
        <v>2024</v>
      </c>
      <c r="F3190">
        <v>22</v>
      </c>
      <c r="G3190">
        <f t="shared" si="297"/>
        <v>5</v>
      </c>
      <c r="H3190" s="1">
        <f t="shared" si="298"/>
        <v>45439</v>
      </c>
      <c r="I3190" s="1">
        <f t="shared" si="299"/>
        <v>45413</v>
      </c>
      <c r="J3190">
        <v>466855</v>
      </c>
      <c r="K3190">
        <v>23052</v>
      </c>
      <c r="L3190">
        <f t="shared" si="295"/>
        <v>20.252255769564464</v>
      </c>
      <c r="M3190">
        <v>1921</v>
      </c>
      <c r="N3190" s="2">
        <f t="shared" si="300"/>
        <v>243.02706923477356</v>
      </c>
      <c r="O3190">
        <v>12</v>
      </c>
    </row>
    <row r="3191" spans="1:15" x14ac:dyDescent="0.25">
      <c r="A3191" t="s">
        <v>46</v>
      </c>
      <c r="B3191" t="s">
        <v>16</v>
      </c>
      <c r="C3191" t="s">
        <v>41</v>
      </c>
      <c r="D3191" t="str">
        <f t="shared" si="296"/>
        <v>FAB3_1L  Ent Entera</v>
      </c>
      <c r="E3191">
        <v>2024</v>
      </c>
      <c r="F3191">
        <v>22</v>
      </c>
      <c r="G3191">
        <f t="shared" si="297"/>
        <v>5</v>
      </c>
      <c r="H3191" s="1">
        <f t="shared" si="298"/>
        <v>45439</v>
      </c>
      <c r="I3191" s="1">
        <f t="shared" si="299"/>
        <v>45413</v>
      </c>
      <c r="J3191">
        <v>1742745.370000002</v>
      </c>
      <c r="K3191">
        <v>75192</v>
      </c>
      <c r="L3191">
        <f t="shared" si="295"/>
        <v>23.177271119268035</v>
      </c>
      <c r="M3191">
        <v>6266</v>
      </c>
      <c r="N3191" s="2">
        <f t="shared" si="300"/>
        <v>278.12725343121639</v>
      </c>
      <c r="O3191">
        <v>12</v>
      </c>
    </row>
    <row r="3192" spans="1:15" x14ac:dyDescent="0.25">
      <c r="A3192" t="s">
        <v>46</v>
      </c>
      <c r="B3192" t="s">
        <v>16</v>
      </c>
      <c r="C3192" t="s">
        <v>41</v>
      </c>
      <c r="D3192" t="str">
        <f t="shared" si="296"/>
        <v>FAB3_1L  Ent Entera</v>
      </c>
      <c r="E3192">
        <v>2024</v>
      </c>
      <c r="F3192">
        <v>23</v>
      </c>
      <c r="G3192">
        <f t="shared" si="297"/>
        <v>6</v>
      </c>
      <c r="H3192" s="1">
        <f t="shared" si="298"/>
        <v>45446</v>
      </c>
      <c r="I3192" s="1">
        <f t="shared" si="299"/>
        <v>45444</v>
      </c>
      <c r="J3192">
        <v>540</v>
      </c>
      <c r="K3192">
        <v>24</v>
      </c>
      <c r="L3192">
        <f t="shared" si="295"/>
        <v>22.5</v>
      </c>
      <c r="M3192">
        <v>2</v>
      </c>
      <c r="N3192" s="2">
        <f t="shared" si="300"/>
        <v>270</v>
      </c>
      <c r="O3192">
        <v>12</v>
      </c>
    </row>
    <row r="3193" spans="1:15" x14ac:dyDescent="0.25">
      <c r="A3193" t="s">
        <v>46</v>
      </c>
      <c r="B3193" t="s">
        <v>16</v>
      </c>
      <c r="C3193" t="s">
        <v>41</v>
      </c>
      <c r="D3193" t="str">
        <f t="shared" si="296"/>
        <v>FAB3_1L  Ent Entera</v>
      </c>
      <c r="E3193">
        <v>2024</v>
      </c>
      <c r="F3193">
        <v>23</v>
      </c>
      <c r="G3193">
        <f t="shared" si="297"/>
        <v>6</v>
      </c>
      <c r="H3193" s="1">
        <f t="shared" si="298"/>
        <v>45446</v>
      </c>
      <c r="I3193" s="1">
        <f t="shared" si="299"/>
        <v>45444</v>
      </c>
      <c r="J3193">
        <v>1865790.4100000011</v>
      </c>
      <c r="K3193">
        <v>80184</v>
      </c>
      <c r="L3193">
        <f t="shared" si="295"/>
        <v>23.268861742991135</v>
      </c>
      <c r="M3193">
        <v>6682</v>
      </c>
      <c r="N3193" s="2">
        <f t="shared" si="300"/>
        <v>279.22634091589362</v>
      </c>
      <c r="O3193">
        <v>12</v>
      </c>
    </row>
    <row r="3194" spans="1:15" x14ac:dyDescent="0.25">
      <c r="A3194" t="s">
        <v>46</v>
      </c>
      <c r="B3194" t="s">
        <v>16</v>
      </c>
      <c r="C3194" t="s">
        <v>41</v>
      </c>
      <c r="D3194" t="str">
        <f t="shared" si="296"/>
        <v>FAB3_1L  Ent Entera</v>
      </c>
      <c r="E3194">
        <v>2024</v>
      </c>
      <c r="F3194">
        <v>24</v>
      </c>
      <c r="G3194">
        <f t="shared" si="297"/>
        <v>6</v>
      </c>
      <c r="H3194" s="1">
        <f t="shared" si="298"/>
        <v>45453</v>
      </c>
      <c r="I3194" s="1">
        <f t="shared" si="299"/>
        <v>45444</v>
      </c>
      <c r="J3194">
        <v>1186.78</v>
      </c>
      <c r="K3194">
        <v>48</v>
      </c>
      <c r="L3194">
        <f t="shared" si="295"/>
        <v>24.724583333333332</v>
      </c>
      <c r="M3194">
        <v>4</v>
      </c>
      <c r="N3194" s="2">
        <f t="shared" si="300"/>
        <v>296.69499999999999</v>
      </c>
      <c r="O3194">
        <v>12</v>
      </c>
    </row>
    <row r="3195" spans="1:15" x14ac:dyDescent="0.25">
      <c r="A3195" t="s">
        <v>46</v>
      </c>
      <c r="B3195" t="s">
        <v>16</v>
      </c>
      <c r="C3195" t="s">
        <v>41</v>
      </c>
      <c r="D3195" t="str">
        <f t="shared" si="296"/>
        <v>FAB3_1L  Ent Entera</v>
      </c>
      <c r="E3195">
        <v>2024</v>
      </c>
      <c r="F3195">
        <v>24</v>
      </c>
      <c r="G3195">
        <f t="shared" si="297"/>
        <v>6</v>
      </c>
      <c r="H3195" s="1">
        <f t="shared" si="298"/>
        <v>45453</v>
      </c>
      <c r="I3195" s="1">
        <f t="shared" si="299"/>
        <v>45444</v>
      </c>
      <c r="J3195">
        <v>3990731.9599999981</v>
      </c>
      <c r="K3195">
        <v>185508</v>
      </c>
      <c r="L3195">
        <f t="shared" si="295"/>
        <v>21.512452077538423</v>
      </c>
      <c r="M3195">
        <v>15459</v>
      </c>
      <c r="N3195" s="2">
        <f t="shared" si="300"/>
        <v>258.14942493046112</v>
      </c>
      <c r="O3195">
        <v>12</v>
      </c>
    </row>
    <row r="3196" spans="1:15" x14ac:dyDescent="0.25">
      <c r="A3196" t="s">
        <v>46</v>
      </c>
      <c r="B3196" t="s">
        <v>16</v>
      </c>
      <c r="C3196" t="s">
        <v>41</v>
      </c>
      <c r="D3196" t="str">
        <f t="shared" si="296"/>
        <v>FAB3_1L  Ent Entera</v>
      </c>
      <c r="E3196">
        <v>2024</v>
      </c>
      <c r="F3196">
        <v>25</v>
      </c>
      <c r="G3196">
        <f t="shared" si="297"/>
        <v>6</v>
      </c>
      <c r="H3196" s="1">
        <f t="shared" si="298"/>
        <v>45460</v>
      </c>
      <c r="I3196" s="1">
        <f t="shared" si="299"/>
        <v>45444</v>
      </c>
      <c r="J3196">
        <v>3862.12</v>
      </c>
      <c r="K3196">
        <v>156</v>
      </c>
      <c r="L3196">
        <f t="shared" si="295"/>
        <v>24.757179487179485</v>
      </c>
      <c r="M3196">
        <v>13</v>
      </c>
      <c r="N3196" s="2">
        <f t="shared" si="300"/>
        <v>297.08615384615382</v>
      </c>
      <c r="O3196">
        <v>12</v>
      </c>
    </row>
    <row r="3197" spans="1:15" x14ac:dyDescent="0.25">
      <c r="A3197" t="s">
        <v>46</v>
      </c>
      <c r="B3197" t="s">
        <v>16</v>
      </c>
      <c r="C3197" t="s">
        <v>41</v>
      </c>
      <c r="D3197" t="str">
        <f t="shared" si="296"/>
        <v>FAB3_1L  Ent Entera</v>
      </c>
      <c r="E3197">
        <v>2024</v>
      </c>
      <c r="F3197">
        <v>25</v>
      </c>
      <c r="G3197">
        <f t="shared" si="297"/>
        <v>6</v>
      </c>
      <c r="H3197" s="1">
        <f t="shared" si="298"/>
        <v>45460</v>
      </c>
      <c r="I3197" s="1">
        <f t="shared" si="299"/>
        <v>45444</v>
      </c>
      <c r="J3197">
        <v>1769869.0500000021</v>
      </c>
      <c r="K3197">
        <v>76992</v>
      </c>
      <c r="L3197">
        <f t="shared" si="295"/>
        <v>22.98770067019953</v>
      </c>
      <c r="M3197">
        <v>6416</v>
      </c>
      <c r="N3197" s="2">
        <f t="shared" si="300"/>
        <v>275.85240804239436</v>
      </c>
      <c r="O3197">
        <v>12</v>
      </c>
    </row>
    <row r="3198" spans="1:15" x14ac:dyDescent="0.25">
      <c r="A3198" t="s">
        <v>46</v>
      </c>
      <c r="B3198" t="s">
        <v>16</v>
      </c>
      <c r="C3198" t="s">
        <v>41</v>
      </c>
      <c r="D3198" t="str">
        <f t="shared" si="296"/>
        <v>FAB3_1L  Ent Entera</v>
      </c>
      <c r="E3198">
        <v>2024</v>
      </c>
      <c r="F3198">
        <v>26</v>
      </c>
      <c r="G3198">
        <f t="shared" si="297"/>
        <v>6</v>
      </c>
      <c r="H3198" s="1">
        <f t="shared" si="298"/>
        <v>45467</v>
      </c>
      <c r="I3198" s="1">
        <f t="shared" si="299"/>
        <v>45444</v>
      </c>
      <c r="J3198">
        <v>19735.34</v>
      </c>
      <c r="K3198">
        <v>804</v>
      </c>
      <c r="L3198">
        <f t="shared" ref="L3198:L3261" si="301">J3198/(M3198*O3198)</f>
        <v>24.546442786069651</v>
      </c>
      <c r="M3198">
        <v>67</v>
      </c>
      <c r="N3198" s="2">
        <f t="shared" si="300"/>
        <v>294.55731343283583</v>
      </c>
      <c r="O3198">
        <v>12</v>
      </c>
    </row>
    <row r="3199" spans="1:15" x14ac:dyDescent="0.25">
      <c r="A3199" t="s">
        <v>46</v>
      </c>
      <c r="B3199" t="s">
        <v>16</v>
      </c>
      <c r="C3199" t="s">
        <v>41</v>
      </c>
      <c r="D3199" t="str">
        <f t="shared" si="296"/>
        <v>FAB3_1L  Ent Entera</v>
      </c>
      <c r="E3199">
        <v>2024</v>
      </c>
      <c r="F3199">
        <v>26</v>
      </c>
      <c r="G3199">
        <f t="shared" si="297"/>
        <v>6</v>
      </c>
      <c r="H3199" s="1">
        <f t="shared" si="298"/>
        <v>45467</v>
      </c>
      <c r="I3199" s="1">
        <f t="shared" si="299"/>
        <v>45444</v>
      </c>
      <c r="J3199">
        <v>1190642.74</v>
      </c>
      <c r="K3199">
        <v>50616</v>
      </c>
      <c r="L3199">
        <f t="shared" si="301"/>
        <v>23.523050813971867</v>
      </c>
      <c r="M3199">
        <v>4218</v>
      </c>
      <c r="N3199" s="2">
        <f t="shared" si="300"/>
        <v>282.27660976766242</v>
      </c>
      <c r="O3199">
        <v>12</v>
      </c>
    </row>
    <row r="3200" spans="1:15" x14ac:dyDescent="0.25">
      <c r="A3200" t="s">
        <v>46</v>
      </c>
      <c r="B3200" t="s">
        <v>16</v>
      </c>
      <c r="C3200" t="s">
        <v>41</v>
      </c>
      <c r="D3200" t="str">
        <f t="shared" si="296"/>
        <v>FAB3_1L  Ent Entera</v>
      </c>
      <c r="E3200">
        <v>2024</v>
      </c>
      <c r="F3200">
        <v>27</v>
      </c>
      <c r="G3200">
        <f t="shared" si="297"/>
        <v>7</v>
      </c>
      <c r="H3200" s="1">
        <f t="shared" si="298"/>
        <v>45474</v>
      </c>
      <c r="I3200" s="1">
        <f t="shared" si="299"/>
        <v>45474</v>
      </c>
      <c r="J3200">
        <v>37280.78</v>
      </c>
      <c r="K3200">
        <v>1524</v>
      </c>
      <c r="L3200">
        <f t="shared" si="301"/>
        <v>24.46245406824147</v>
      </c>
      <c r="M3200">
        <v>127</v>
      </c>
      <c r="N3200" s="2">
        <f t="shared" si="300"/>
        <v>293.54944881889764</v>
      </c>
      <c r="O3200">
        <v>12</v>
      </c>
    </row>
    <row r="3201" spans="1:15" x14ac:dyDescent="0.25">
      <c r="A3201" t="s">
        <v>46</v>
      </c>
      <c r="B3201" t="s">
        <v>16</v>
      </c>
      <c r="C3201" t="s">
        <v>41</v>
      </c>
      <c r="D3201" t="str">
        <f t="shared" si="296"/>
        <v>FAB3_1L  Ent Entera</v>
      </c>
      <c r="E3201">
        <v>2024</v>
      </c>
      <c r="F3201">
        <v>27</v>
      </c>
      <c r="G3201">
        <f t="shared" si="297"/>
        <v>7</v>
      </c>
      <c r="H3201" s="1">
        <f t="shared" si="298"/>
        <v>45474</v>
      </c>
      <c r="I3201" s="1">
        <f t="shared" si="299"/>
        <v>45474</v>
      </c>
      <c r="J3201">
        <v>1547699.5700000005</v>
      </c>
      <c r="K3201">
        <v>65076</v>
      </c>
      <c r="L3201">
        <f t="shared" si="301"/>
        <v>23.782954852787519</v>
      </c>
      <c r="M3201">
        <v>5423</v>
      </c>
      <c r="N3201" s="2">
        <f t="shared" si="300"/>
        <v>285.3954582334502</v>
      </c>
      <c r="O3201">
        <v>12</v>
      </c>
    </row>
    <row r="3202" spans="1:15" x14ac:dyDescent="0.25">
      <c r="A3202" t="s">
        <v>46</v>
      </c>
      <c r="B3202" t="s">
        <v>16</v>
      </c>
      <c r="C3202" t="s">
        <v>41</v>
      </c>
      <c r="D3202" t="str">
        <f t="shared" si="296"/>
        <v>FAB3_1L  Ent Entera</v>
      </c>
      <c r="E3202">
        <v>2024</v>
      </c>
      <c r="F3202">
        <v>28</v>
      </c>
      <c r="G3202">
        <f t="shared" si="297"/>
        <v>7</v>
      </c>
      <c r="H3202" s="1">
        <f t="shared" si="298"/>
        <v>45481</v>
      </c>
      <c r="I3202" s="1">
        <f t="shared" si="299"/>
        <v>45474</v>
      </c>
      <c r="J3202">
        <v>25745.98</v>
      </c>
      <c r="K3202">
        <v>1092</v>
      </c>
      <c r="L3202">
        <f t="shared" si="301"/>
        <v>23.57690476190476</v>
      </c>
      <c r="M3202">
        <v>91</v>
      </c>
      <c r="N3202" s="2">
        <f t="shared" si="300"/>
        <v>282.92285714285714</v>
      </c>
      <c r="O3202">
        <v>12</v>
      </c>
    </row>
    <row r="3203" spans="1:15" x14ac:dyDescent="0.25">
      <c r="A3203" t="s">
        <v>46</v>
      </c>
      <c r="B3203" t="s">
        <v>16</v>
      </c>
      <c r="C3203" t="s">
        <v>41</v>
      </c>
      <c r="D3203" t="str">
        <f t="shared" ref="D3203:D3266" si="302">B3203&amp;"_"&amp;C3203</f>
        <v>FAB3_1L  Ent Entera</v>
      </c>
      <c r="E3203">
        <v>2024</v>
      </c>
      <c r="F3203">
        <v>28</v>
      </c>
      <c r="G3203">
        <f t="shared" ref="G3203:G3266" si="303">MONTH(DATE(E3203,1,4)+(F3203-1)*7-WEEKDAY(DATE(E3203,1,4),2)+4)</f>
        <v>7</v>
      </c>
      <c r="H3203" s="1">
        <f t="shared" ref="H3203:H3266" si="304">DATE(E3203,1,-2)-WEEKDAY(DATE(E3203,1,3))+F3203*7</f>
        <v>45481</v>
      </c>
      <c r="I3203" s="1">
        <f t="shared" ref="I3203:I3266" si="305">DATE(E3203,G3203,1)</f>
        <v>45474</v>
      </c>
      <c r="J3203">
        <v>1351293.4799999995</v>
      </c>
      <c r="K3203">
        <v>58824</v>
      </c>
      <c r="L3203">
        <f t="shared" si="301"/>
        <v>22.971805385556909</v>
      </c>
      <c r="M3203">
        <v>4902</v>
      </c>
      <c r="N3203" s="2">
        <f t="shared" ref="N3203:N3266" si="306">J3203/M3203</f>
        <v>275.66166462668286</v>
      </c>
      <c r="O3203">
        <v>12</v>
      </c>
    </row>
    <row r="3204" spans="1:15" x14ac:dyDescent="0.25">
      <c r="A3204" t="s">
        <v>46</v>
      </c>
      <c r="B3204" t="s">
        <v>16</v>
      </c>
      <c r="C3204" t="s">
        <v>41</v>
      </c>
      <c r="D3204" t="str">
        <f t="shared" si="302"/>
        <v>FAB3_1L  Ent Entera</v>
      </c>
      <c r="E3204">
        <v>2024</v>
      </c>
      <c r="F3204">
        <v>29</v>
      </c>
      <c r="G3204">
        <f t="shared" si="303"/>
        <v>7</v>
      </c>
      <c r="H3204" s="1">
        <f t="shared" si="304"/>
        <v>45488</v>
      </c>
      <c r="I3204" s="1">
        <f t="shared" si="305"/>
        <v>45474</v>
      </c>
      <c r="J3204">
        <v>32091.42</v>
      </c>
      <c r="K3204">
        <v>1380</v>
      </c>
      <c r="L3204">
        <f t="shared" si="301"/>
        <v>23.254652173913041</v>
      </c>
      <c r="M3204">
        <v>115</v>
      </c>
      <c r="N3204" s="2">
        <f t="shared" si="306"/>
        <v>279.05582608695653</v>
      </c>
      <c r="O3204">
        <v>12</v>
      </c>
    </row>
    <row r="3205" spans="1:15" x14ac:dyDescent="0.25">
      <c r="A3205" t="s">
        <v>46</v>
      </c>
      <c r="B3205" t="s">
        <v>16</v>
      </c>
      <c r="C3205" t="s">
        <v>41</v>
      </c>
      <c r="D3205" t="str">
        <f t="shared" si="302"/>
        <v>FAB3_1L  Ent Entera</v>
      </c>
      <c r="E3205">
        <v>2024</v>
      </c>
      <c r="F3205">
        <v>29</v>
      </c>
      <c r="G3205">
        <f t="shared" si="303"/>
        <v>7</v>
      </c>
      <c r="H3205" s="1">
        <f t="shared" si="304"/>
        <v>45488</v>
      </c>
      <c r="I3205" s="1">
        <f t="shared" si="305"/>
        <v>45474</v>
      </c>
      <c r="J3205">
        <v>1624909.550000001</v>
      </c>
      <c r="K3205">
        <v>70356</v>
      </c>
      <c r="L3205">
        <f t="shared" si="301"/>
        <v>23.095536272670433</v>
      </c>
      <c r="M3205">
        <v>5863</v>
      </c>
      <c r="N3205" s="2">
        <f t="shared" si="306"/>
        <v>277.14643527204521</v>
      </c>
      <c r="O3205">
        <v>12</v>
      </c>
    </row>
    <row r="3206" spans="1:15" x14ac:dyDescent="0.25">
      <c r="A3206" t="s">
        <v>46</v>
      </c>
      <c r="B3206" t="s">
        <v>16</v>
      </c>
      <c r="C3206" t="s">
        <v>41</v>
      </c>
      <c r="D3206" t="str">
        <f t="shared" si="302"/>
        <v>FAB3_1L  Ent Entera</v>
      </c>
      <c r="E3206">
        <v>2024</v>
      </c>
      <c r="F3206">
        <v>30</v>
      </c>
      <c r="G3206">
        <f t="shared" si="303"/>
        <v>7</v>
      </c>
      <c r="H3206" s="1">
        <f t="shared" si="304"/>
        <v>45495</v>
      </c>
      <c r="I3206" s="1">
        <f t="shared" si="305"/>
        <v>45474</v>
      </c>
      <c r="J3206">
        <v>60427</v>
      </c>
      <c r="K3206">
        <v>2460</v>
      </c>
      <c r="L3206">
        <f t="shared" si="301"/>
        <v>24.563821138211381</v>
      </c>
      <c r="M3206">
        <v>205</v>
      </c>
      <c r="N3206" s="2">
        <f t="shared" si="306"/>
        <v>294.76585365853657</v>
      </c>
      <c r="O3206">
        <v>12</v>
      </c>
    </row>
    <row r="3207" spans="1:15" x14ac:dyDescent="0.25">
      <c r="A3207" t="s">
        <v>46</v>
      </c>
      <c r="B3207" t="s">
        <v>16</v>
      </c>
      <c r="C3207" t="s">
        <v>41</v>
      </c>
      <c r="D3207" t="str">
        <f t="shared" si="302"/>
        <v>FAB3_1L  Ent Entera</v>
      </c>
      <c r="E3207">
        <v>2024</v>
      </c>
      <c r="F3207">
        <v>30</v>
      </c>
      <c r="G3207">
        <f t="shared" si="303"/>
        <v>7</v>
      </c>
      <c r="H3207" s="1">
        <f t="shared" si="304"/>
        <v>45495</v>
      </c>
      <c r="I3207" s="1">
        <f t="shared" si="305"/>
        <v>45474</v>
      </c>
      <c r="J3207">
        <v>1970556.3399999973</v>
      </c>
      <c r="K3207">
        <v>88020</v>
      </c>
      <c r="L3207">
        <f t="shared" si="301"/>
        <v>22.387597591456455</v>
      </c>
      <c r="M3207">
        <v>7335</v>
      </c>
      <c r="N3207" s="2">
        <f t="shared" si="306"/>
        <v>268.65117109747746</v>
      </c>
      <c r="O3207">
        <v>12</v>
      </c>
    </row>
    <row r="3208" spans="1:15" x14ac:dyDescent="0.25">
      <c r="A3208" t="s">
        <v>46</v>
      </c>
      <c r="B3208" t="s">
        <v>16</v>
      </c>
      <c r="C3208" t="s">
        <v>41</v>
      </c>
      <c r="D3208" t="str">
        <f t="shared" si="302"/>
        <v>FAB3_1L  Ent Entera</v>
      </c>
      <c r="E3208">
        <v>2024</v>
      </c>
      <c r="F3208">
        <v>31</v>
      </c>
      <c r="G3208">
        <f t="shared" si="303"/>
        <v>8</v>
      </c>
      <c r="H3208" s="1">
        <f t="shared" si="304"/>
        <v>45502</v>
      </c>
      <c r="I3208" s="1">
        <f t="shared" si="305"/>
        <v>45505</v>
      </c>
      <c r="J3208">
        <v>23005.14</v>
      </c>
      <c r="K3208">
        <v>984</v>
      </c>
      <c r="L3208">
        <f t="shared" si="301"/>
        <v>23.37920731707317</v>
      </c>
      <c r="M3208">
        <v>82</v>
      </c>
      <c r="N3208" s="2">
        <f t="shared" si="306"/>
        <v>280.55048780487806</v>
      </c>
      <c r="O3208">
        <v>12</v>
      </c>
    </row>
    <row r="3209" spans="1:15" x14ac:dyDescent="0.25">
      <c r="A3209" t="s">
        <v>46</v>
      </c>
      <c r="B3209" t="s">
        <v>16</v>
      </c>
      <c r="C3209" t="s">
        <v>41</v>
      </c>
      <c r="D3209" t="str">
        <f t="shared" si="302"/>
        <v>FAB3_1L  Ent Entera</v>
      </c>
      <c r="E3209">
        <v>2024</v>
      </c>
      <c r="F3209">
        <v>31</v>
      </c>
      <c r="G3209">
        <f t="shared" si="303"/>
        <v>8</v>
      </c>
      <c r="H3209" s="1">
        <f t="shared" si="304"/>
        <v>45502</v>
      </c>
      <c r="I3209" s="1">
        <f t="shared" si="305"/>
        <v>45505</v>
      </c>
      <c r="J3209">
        <v>1763170.7799999998</v>
      </c>
      <c r="K3209">
        <v>76188</v>
      </c>
      <c r="L3209">
        <f t="shared" si="301"/>
        <v>23.142368614479967</v>
      </c>
      <c r="M3209">
        <v>6349</v>
      </c>
      <c r="N3209" s="2">
        <f t="shared" si="306"/>
        <v>277.70842337375962</v>
      </c>
      <c r="O3209">
        <v>12</v>
      </c>
    </row>
    <row r="3210" spans="1:15" x14ac:dyDescent="0.25">
      <c r="A3210" t="s">
        <v>46</v>
      </c>
      <c r="B3210" t="s">
        <v>16</v>
      </c>
      <c r="C3210" t="s">
        <v>41</v>
      </c>
      <c r="D3210" t="str">
        <f t="shared" si="302"/>
        <v>FAB3_1L  Ent Entera</v>
      </c>
      <c r="E3210">
        <v>2024</v>
      </c>
      <c r="F3210">
        <v>32</v>
      </c>
      <c r="G3210">
        <f t="shared" si="303"/>
        <v>8</v>
      </c>
      <c r="H3210" s="1">
        <f t="shared" si="304"/>
        <v>45509</v>
      </c>
      <c r="I3210" s="1">
        <f t="shared" si="305"/>
        <v>45505</v>
      </c>
      <c r="J3210">
        <v>78780.010000000009</v>
      </c>
      <c r="K3210">
        <v>3384</v>
      </c>
      <c r="L3210">
        <f t="shared" si="301"/>
        <v>23.280144799054376</v>
      </c>
      <c r="M3210">
        <v>282</v>
      </c>
      <c r="N3210" s="2">
        <f t="shared" si="306"/>
        <v>279.36173758865249</v>
      </c>
      <c r="O3210">
        <v>12</v>
      </c>
    </row>
    <row r="3211" spans="1:15" x14ac:dyDescent="0.25">
      <c r="A3211" t="s">
        <v>46</v>
      </c>
      <c r="B3211" t="s">
        <v>16</v>
      </c>
      <c r="C3211" t="s">
        <v>41</v>
      </c>
      <c r="D3211" t="str">
        <f t="shared" si="302"/>
        <v>FAB3_1L  Ent Entera</v>
      </c>
      <c r="E3211">
        <v>2024</v>
      </c>
      <c r="F3211">
        <v>32</v>
      </c>
      <c r="G3211">
        <f t="shared" si="303"/>
        <v>8</v>
      </c>
      <c r="H3211" s="1">
        <f t="shared" si="304"/>
        <v>45509</v>
      </c>
      <c r="I3211" s="1">
        <f t="shared" si="305"/>
        <v>45505</v>
      </c>
      <c r="J3211">
        <v>3762285.5700000008</v>
      </c>
      <c r="K3211">
        <v>177960</v>
      </c>
      <c r="L3211">
        <f t="shared" si="301"/>
        <v>21.141186614969662</v>
      </c>
      <c r="M3211">
        <v>14830</v>
      </c>
      <c r="N3211" s="2">
        <f t="shared" si="306"/>
        <v>253.69423937963592</v>
      </c>
      <c r="O3211">
        <v>12</v>
      </c>
    </row>
    <row r="3212" spans="1:15" x14ac:dyDescent="0.25">
      <c r="A3212" t="s">
        <v>46</v>
      </c>
      <c r="B3212" t="s">
        <v>16</v>
      </c>
      <c r="C3212" t="s">
        <v>41</v>
      </c>
      <c r="D3212" t="str">
        <f t="shared" si="302"/>
        <v>FAB3_1L  Ent Entera</v>
      </c>
      <c r="E3212">
        <v>2024</v>
      </c>
      <c r="F3212">
        <v>33</v>
      </c>
      <c r="G3212">
        <f t="shared" si="303"/>
        <v>8</v>
      </c>
      <c r="H3212" s="1">
        <f t="shared" si="304"/>
        <v>45516</v>
      </c>
      <c r="I3212" s="1">
        <f t="shared" si="305"/>
        <v>45505</v>
      </c>
      <c r="J3212">
        <v>95626.489999999991</v>
      </c>
      <c r="K3212">
        <v>5232</v>
      </c>
      <c r="L3212">
        <f t="shared" si="301"/>
        <v>18.277234327217123</v>
      </c>
      <c r="M3212">
        <v>436</v>
      </c>
      <c r="N3212" s="2">
        <f t="shared" si="306"/>
        <v>219.32681192660547</v>
      </c>
      <c r="O3212">
        <v>12</v>
      </c>
    </row>
    <row r="3213" spans="1:15" x14ac:dyDescent="0.25">
      <c r="A3213" t="s">
        <v>46</v>
      </c>
      <c r="B3213" t="s">
        <v>16</v>
      </c>
      <c r="C3213" t="s">
        <v>41</v>
      </c>
      <c r="D3213" t="str">
        <f t="shared" si="302"/>
        <v>FAB3_1L  Ent Entera</v>
      </c>
      <c r="E3213">
        <v>2024</v>
      </c>
      <c r="F3213">
        <v>33</v>
      </c>
      <c r="G3213">
        <f t="shared" si="303"/>
        <v>8</v>
      </c>
      <c r="H3213" s="1">
        <f t="shared" si="304"/>
        <v>45516</v>
      </c>
      <c r="I3213" s="1">
        <f t="shared" si="305"/>
        <v>45505</v>
      </c>
      <c r="J3213">
        <v>4754979.0499999989</v>
      </c>
      <c r="K3213">
        <v>227916</v>
      </c>
      <c r="L3213">
        <f t="shared" si="301"/>
        <v>20.862857587883251</v>
      </c>
      <c r="M3213">
        <v>18993</v>
      </c>
      <c r="N3213" s="2">
        <f t="shared" si="306"/>
        <v>250.354291054599</v>
      </c>
      <c r="O3213">
        <v>12</v>
      </c>
    </row>
    <row r="3214" spans="1:15" x14ac:dyDescent="0.25">
      <c r="A3214" t="s">
        <v>46</v>
      </c>
      <c r="B3214" t="s">
        <v>16</v>
      </c>
      <c r="C3214" t="s">
        <v>41</v>
      </c>
      <c r="D3214" t="str">
        <f t="shared" si="302"/>
        <v>FAB3_1L  Ent Entera</v>
      </c>
      <c r="E3214">
        <v>2024</v>
      </c>
      <c r="F3214">
        <v>34</v>
      </c>
      <c r="G3214">
        <f t="shared" si="303"/>
        <v>8</v>
      </c>
      <c r="H3214" s="1">
        <f t="shared" si="304"/>
        <v>45523</v>
      </c>
      <c r="I3214" s="1">
        <f t="shared" si="305"/>
        <v>45505</v>
      </c>
      <c r="J3214">
        <v>17222.559999999998</v>
      </c>
      <c r="K3214">
        <v>1092</v>
      </c>
      <c r="L3214">
        <f t="shared" si="301"/>
        <v>15.771575091575089</v>
      </c>
      <c r="M3214">
        <v>91</v>
      </c>
      <c r="N3214" s="2">
        <f t="shared" si="306"/>
        <v>189.25890109890108</v>
      </c>
      <c r="O3214">
        <v>12</v>
      </c>
    </row>
    <row r="3215" spans="1:15" x14ac:dyDescent="0.25">
      <c r="A3215" t="s">
        <v>46</v>
      </c>
      <c r="B3215" t="s">
        <v>16</v>
      </c>
      <c r="C3215" t="s">
        <v>41</v>
      </c>
      <c r="D3215" t="str">
        <f t="shared" si="302"/>
        <v>FAB3_1L  Ent Entera</v>
      </c>
      <c r="E3215">
        <v>2024</v>
      </c>
      <c r="F3215">
        <v>34</v>
      </c>
      <c r="G3215">
        <f t="shared" si="303"/>
        <v>8</v>
      </c>
      <c r="H3215" s="1">
        <f t="shared" si="304"/>
        <v>45523</v>
      </c>
      <c r="I3215" s="1">
        <f t="shared" si="305"/>
        <v>45505</v>
      </c>
      <c r="J3215">
        <v>1490320.2200000002</v>
      </c>
      <c r="K3215">
        <v>64332</v>
      </c>
      <c r="L3215">
        <f t="shared" si="301"/>
        <v>23.166079400609341</v>
      </c>
      <c r="M3215">
        <v>5361</v>
      </c>
      <c r="N3215" s="2">
        <f t="shared" si="306"/>
        <v>277.99295280731212</v>
      </c>
      <c r="O3215">
        <v>12</v>
      </c>
    </row>
    <row r="3216" spans="1:15" x14ac:dyDescent="0.25">
      <c r="A3216" t="s">
        <v>46</v>
      </c>
      <c r="B3216" t="s">
        <v>16</v>
      </c>
      <c r="C3216" t="s">
        <v>41</v>
      </c>
      <c r="D3216" t="str">
        <f t="shared" si="302"/>
        <v>FAB3_1L  Ent Entera</v>
      </c>
      <c r="E3216">
        <v>2024</v>
      </c>
      <c r="F3216">
        <v>35</v>
      </c>
      <c r="G3216">
        <f t="shared" si="303"/>
        <v>8</v>
      </c>
      <c r="H3216" s="1">
        <f t="shared" si="304"/>
        <v>45530</v>
      </c>
      <c r="I3216" s="1">
        <f t="shared" si="305"/>
        <v>45505</v>
      </c>
      <c r="J3216">
        <v>590</v>
      </c>
      <c r="K3216">
        <v>24</v>
      </c>
      <c r="L3216">
        <f t="shared" si="301"/>
        <v>24.583333333333332</v>
      </c>
      <c r="M3216">
        <v>2</v>
      </c>
      <c r="N3216" s="2">
        <f t="shared" si="306"/>
        <v>295</v>
      </c>
      <c r="O3216">
        <v>12</v>
      </c>
    </row>
    <row r="3217" spans="1:15" x14ac:dyDescent="0.25">
      <c r="A3217" t="s">
        <v>46</v>
      </c>
      <c r="B3217" t="s">
        <v>16</v>
      </c>
      <c r="C3217" t="s">
        <v>41</v>
      </c>
      <c r="D3217" t="str">
        <f t="shared" si="302"/>
        <v>FAB3_1L  Ent Entera</v>
      </c>
      <c r="E3217">
        <v>2024</v>
      </c>
      <c r="F3217">
        <v>35</v>
      </c>
      <c r="G3217">
        <f t="shared" si="303"/>
        <v>8</v>
      </c>
      <c r="H3217" s="1">
        <f t="shared" si="304"/>
        <v>45530</v>
      </c>
      <c r="I3217" s="1">
        <f t="shared" si="305"/>
        <v>45505</v>
      </c>
      <c r="J3217">
        <v>1355046.2500000012</v>
      </c>
      <c r="K3217">
        <v>55320</v>
      </c>
      <c r="L3217">
        <f t="shared" si="301"/>
        <v>24.494689985538706</v>
      </c>
      <c r="M3217">
        <v>4610</v>
      </c>
      <c r="N3217" s="2">
        <f t="shared" si="306"/>
        <v>293.93627982646444</v>
      </c>
      <c r="O3217">
        <v>12</v>
      </c>
    </row>
    <row r="3218" spans="1:15" x14ac:dyDescent="0.25">
      <c r="A3218" t="s">
        <v>46</v>
      </c>
      <c r="B3218" t="s">
        <v>16</v>
      </c>
      <c r="C3218" t="s">
        <v>41</v>
      </c>
      <c r="D3218" t="str">
        <f t="shared" si="302"/>
        <v>FAB3_1L  Ent Entera</v>
      </c>
      <c r="E3218">
        <v>2024</v>
      </c>
      <c r="F3218">
        <v>36</v>
      </c>
      <c r="G3218">
        <f t="shared" si="303"/>
        <v>9</v>
      </c>
      <c r="H3218" s="1">
        <f t="shared" si="304"/>
        <v>45537</v>
      </c>
      <c r="I3218" s="1">
        <f t="shared" si="305"/>
        <v>45536</v>
      </c>
      <c r="J3218">
        <v>1866043.3800000001</v>
      </c>
      <c r="K3218">
        <v>80232</v>
      </c>
      <c r="L3218">
        <f t="shared" si="301"/>
        <v>23.258093778043676</v>
      </c>
      <c r="M3218">
        <v>6686</v>
      </c>
      <c r="N3218" s="2">
        <f t="shared" si="306"/>
        <v>279.09712533652407</v>
      </c>
      <c r="O3218">
        <v>12</v>
      </c>
    </row>
    <row r="3219" spans="1:15" x14ac:dyDescent="0.25">
      <c r="A3219" t="s">
        <v>46</v>
      </c>
      <c r="B3219" t="s">
        <v>16</v>
      </c>
      <c r="C3219" t="s">
        <v>41</v>
      </c>
      <c r="D3219" t="str">
        <f t="shared" si="302"/>
        <v>FAB3_1L  Ent Entera</v>
      </c>
      <c r="E3219">
        <v>2024</v>
      </c>
      <c r="F3219">
        <v>37</v>
      </c>
      <c r="G3219">
        <f t="shared" si="303"/>
        <v>9</v>
      </c>
      <c r="H3219" s="1">
        <f t="shared" si="304"/>
        <v>45544</v>
      </c>
      <c r="I3219" s="1">
        <f t="shared" si="305"/>
        <v>45536</v>
      </c>
      <c r="J3219">
        <v>1180</v>
      </c>
      <c r="K3219">
        <v>48</v>
      </c>
      <c r="L3219">
        <f t="shared" si="301"/>
        <v>24.583333333333332</v>
      </c>
      <c r="M3219">
        <v>4</v>
      </c>
      <c r="N3219" s="2">
        <f t="shared" si="306"/>
        <v>295</v>
      </c>
      <c r="O3219">
        <v>12</v>
      </c>
    </row>
    <row r="3220" spans="1:15" x14ac:dyDescent="0.25">
      <c r="A3220" t="s">
        <v>46</v>
      </c>
      <c r="B3220" t="s">
        <v>16</v>
      </c>
      <c r="C3220" t="s">
        <v>41</v>
      </c>
      <c r="D3220" t="str">
        <f t="shared" si="302"/>
        <v>FAB3_1L  Ent Entera</v>
      </c>
      <c r="E3220">
        <v>2024</v>
      </c>
      <c r="F3220">
        <v>37</v>
      </c>
      <c r="G3220">
        <f t="shared" si="303"/>
        <v>9</v>
      </c>
      <c r="H3220" s="1">
        <f t="shared" si="304"/>
        <v>45544</v>
      </c>
      <c r="I3220" s="1">
        <f t="shared" si="305"/>
        <v>45536</v>
      </c>
      <c r="J3220">
        <v>1503735.12</v>
      </c>
      <c r="K3220">
        <v>63432</v>
      </c>
      <c r="L3220">
        <f t="shared" si="301"/>
        <v>23.706254256526677</v>
      </c>
      <c r="M3220">
        <v>5286</v>
      </c>
      <c r="N3220" s="2">
        <f t="shared" si="306"/>
        <v>284.47505107832012</v>
      </c>
      <c r="O3220">
        <v>12</v>
      </c>
    </row>
    <row r="3221" spans="1:15" x14ac:dyDescent="0.25">
      <c r="A3221" t="s">
        <v>46</v>
      </c>
      <c r="B3221" t="s">
        <v>16</v>
      </c>
      <c r="C3221" t="s">
        <v>41</v>
      </c>
      <c r="D3221" t="str">
        <f t="shared" si="302"/>
        <v>FAB3_1L  Ent Entera</v>
      </c>
      <c r="E3221">
        <v>2024</v>
      </c>
      <c r="F3221">
        <v>38</v>
      </c>
      <c r="G3221">
        <f t="shared" si="303"/>
        <v>9</v>
      </c>
      <c r="H3221" s="1">
        <f t="shared" si="304"/>
        <v>45551</v>
      </c>
      <c r="I3221" s="1">
        <f t="shared" si="305"/>
        <v>45536</v>
      </c>
      <c r="J3221">
        <v>295</v>
      </c>
      <c r="K3221">
        <v>12</v>
      </c>
      <c r="L3221">
        <f t="shared" si="301"/>
        <v>24.583333333333332</v>
      </c>
      <c r="M3221">
        <v>1</v>
      </c>
      <c r="N3221" s="2">
        <f t="shared" si="306"/>
        <v>295</v>
      </c>
      <c r="O3221">
        <v>12</v>
      </c>
    </row>
    <row r="3222" spans="1:15" x14ac:dyDescent="0.25">
      <c r="A3222" t="s">
        <v>46</v>
      </c>
      <c r="B3222" t="s">
        <v>16</v>
      </c>
      <c r="C3222" t="s">
        <v>41</v>
      </c>
      <c r="D3222" t="str">
        <f t="shared" si="302"/>
        <v>FAB3_1L  Ent Entera</v>
      </c>
      <c r="E3222">
        <v>2024</v>
      </c>
      <c r="F3222">
        <v>38</v>
      </c>
      <c r="G3222">
        <f t="shared" si="303"/>
        <v>9</v>
      </c>
      <c r="H3222" s="1">
        <f t="shared" si="304"/>
        <v>45551</v>
      </c>
      <c r="I3222" s="1">
        <f t="shared" si="305"/>
        <v>45536</v>
      </c>
      <c r="J3222">
        <v>1470823.4200000011</v>
      </c>
      <c r="K3222">
        <v>60804</v>
      </c>
      <c r="L3222">
        <f t="shared" si="301"/>
        <v>24.189583251101919</v>
      </c>
      <c r="M3222">
        <v>5067</v>
      </c>
      <c r="N3222" s="2">
        <f t="shared" si="306"/>
        <v>290.27499901322301</v>
      </c>
      <c r="O3222">
        <v>12</v>
      </c>
    </row>
    <row r="3223" spans="1:15" x14ac:dyDescent="0.25">
      <c r="A3223" t="s">
        <v>46</v>
      </c>
      <c r="B3223" t="s">
        <v>16</v>
      </c>
      <c r="C3223" t="s">
        <v>41</v>
      </c>
      <c r="D3223" t="str">
        <f t="shared" si="302"/>
        <v>FAB3_1L  Ent Entera</v>
      </c>
      <c r="E3223">
        <v>2024</v>
      </c>
      <c r="F3223">
        <v>39</v>
      </c>
      <c r="G3223">
        <f t="shared" si="303"/>
        <v>9</v>
      </c>
      <c r="H3223" s="1">
        <f t="shared" si="304"/>
        <v>45558</v>
      </c>
      <c r="I3223" s="1">
        <f t="shared" si="305"/>
        <v>45536</v>
      </c>
      <c r="J3223">
        <v>2246787.9099999997</v>
      </c>
      <c r="K3223">
        <v>101652</v>
      </c>
      <c r="L3223">
        <f t="shared" si="301"/>
        <v>22.102741805375199</v>
      </c>
      <c r="M3223">
        <v>8471</v>
      </c>
      <c r="N3223" s="2">
        <f t="shared" si="306"/>
        <v>265.23290166450238</v>
      </c>
      <c r="O3223">
        <v>12</v>
      </c>
    </row>
    <row r="3224" spans="1:15" x14ac:dyDescent="0.25">
      <c r="A3224" t="s">
        <v>46</v>
      </c>
      <c r="B3224" t="s">
        <v>16</v>
      </c>
      <c r="C3224" t="s">
        <v>41</v>
      </c>
      <c r="D3224" t="str">
        <f t="shared" si="302"/>
        <v>FAB3_1L  Ent Entera</v>
      </c>
      <c r="E3224">
        <v>2024</v>
      </c>
      <c r="F3224">
        <v>40</v>
      </c>
      <c r="G3224">
        <f t="shared" si="303"/>
        <v>10</v>
      </c>
      <c r="H3224" s="1">
        <f t="shared" si="304"/>
        <v>45565</v>
      </c>
      <c r="I3224" s="1">
        <f t="shared" si="305"/>
        <v>45566</v>
      </c>
      <c r="J3224">
        <v>2302763.7699999991</v>
      </c>
      <c r="K3224">
        <v>100632</v>
      </c>
      <c r="L3224">
        <f t="shared" si="301"/>
        <v>22.883017032355504</v>
      </c>
      <c r="M3224">
        <v>8386</v>
      </c>
      <c r="N3224" s="2">
        <f t="shared" si="306"/>
        <v>274.59620438826607</v>
      </c>
      <c r="O3224">
        <v>12</v>
      </c>
    </row>
    <row r="3225" spans="1:15" x14ac:dyDescent="0.25">
      <c r="A3225" t="s">
        <v>46</v>
      </c>
      <c r="B3225" t="s">
        <v>16</v>
      </c>
      <c r="C3225" t="s">
        <v>41</v>
      </c>
      <c r="D3225" t="str">
        <f t="shared" si="302"/>
        <v>FAB3_1L  Ent Entera</v>
      </c>
      <c r="E3225">
        <v>2024</v>
      </c>
      <c r="F3225">
        <v>41</v>
      </c>
      <c r="G3225">
        <f t="shared" si="303"/>
        <v>10</v>
      </c>
      <c r="H3225" s="1">
        <f t="shared" si="304"/>
        <v>45572</v>
      </c>
      <c r="I3225" s="1">
        <f t="shared" si="305"/>
        <v>45566</v>
      </c>
      <c r="J3225">
        <v>1612408.0300000012</v>
      </c>
      <c r="K3225">
        <v>67800</v>
      </c>
      <c r="L3225">
        <f t="shared" si="301"/>
        <v>23.781829351032467</v>
      </c>
      <c r="M3225">
        <v>5650</v>
      </c>
      <c r="N3225" s="2">
        <f t="shared" si="306"/>
        <v>285.38195221238959</v>
      </c>
      <c r="O3225">
        <v>12</v>
      </c>
    </row>
    <row r="3226" spans="1:15" x14ac:dyDescent="0.25">
      <c r="A3226" t="s">
        <v>46</v>
      </c>
      <c r="B3226" t="s">
        <v>16</v>
      </c>
      <c r="C3226" t="s">
        <v>41</v>
      </c>
      <c r="D3226" t="str">
        <f t="shared" si="302"/>
        <v>FAB3_1L  Ent Entera</v>
      </c>
      <c r="E3226">
        <v>2024</v>
      </c>
      <c r="F3226">
        <v>42</v>
      </c>
      <c r="G3226">
        <f t="shared" si="303"/>
        <v>10</v>
      </c>
      <c r="H3226" s="1">
        <f t="shared" si="304"/>
        <v>45579</v>
      </c>
      <c r="I3226" s="1">
        <f t="shared" si="305"/>
        <v>45566</v>
      </c>
      <c r="J3226">
        <v>2600114.0900000022</v>
      </c>
      <c r="K3226">
        <v>117516</v>
      </c>
      <c r="L3226">
        <f t="shared" si="301"/>
        <v>22.125617703121296</v>
      </c>
      <c r="M3226">
        <v>9793</v>
      </c>
      <c r="N3226" s="2">
        <f t="shared" si="306"/>
        <v>265.50741243745557</v>
      </c>
      <c r="O3226">
        <v>12</v>
      </c>
    </row>
    <row r="3227" spans="1:15" x14ac:dyDescent="0.25">
      <c r="A3227" t="s">
        <v>46</v>
      </c>
      <c r="B3227" t="s">
        <v>16</v>
      </c>
      <c r="C3227" t="s">
        <v>41</v>
      </c>
      <c r="D3227" t="str">
        <f t="shared" si="302"/>
        <v>FAB3_1L  Ent Entera</v>
      </c>
      <c r="E3227">
        <v>2024</v>
      </c>
      <c r="F3227">
        <v>43</v>
      </c>
      <c r="G3227">
        <f t="shared" si="303"/>
        <v>10</v>
      </c>
      <c r="H3227" s="1">
        <f t="shared" si="304"/>
        <v>45586</v>
      </c>
      <c r="I3227" s="1">
        <f t="shared" si="305"/>
        <v>45566</v>
      </c>
      <c r="J3227">
        <v>1978665.610000002</v>
      </c>
      <c r="K3227">
        <v>87408</v>
      </c>
      <c r="L3227">
        <f t="shared" si="301"/>
        <v>22.637122574592738</v>
      </c>
      <c r="M3227">
        <v>7284</v>
      </c>
      <c r="N3227" s="2">
        <f t="shared" si="306"/>
        <v>271.64547089511285</v>
      </c>
      <c r="O3227">
        <v>12</v>
      </c>
    </row>
    <row r="3228" spans="1:15" x14ac:dyDescent="0.25">
      <c r="A3228" t="s">
        <v>46</v>
      </c>
      <c r="B3228" t="s">
        <v>16</v>
      </c>
      <c r="C3228" t="s">
        <v>41</v>
      </c>
      <c r="D3228" t="str">
        <f t="shared" si="302"/>
        <v>FAB3_1L  Ent Entera</v>
      </c>
      <c r="E3228">
        <v>2024</v>
      </c>
      <c r="F3228">
        <v>44</v>
      </c>
      <c r="G3228">
        <f t="shared" si="303"/>
        <v>10</v>
      </c>
      <c r="H3228" s="1">
        <f t="shared" si="304"/>
        <v>45593</v>
      </c>
      <c r="I3228" s="1">
        <f t="shared" si="305"/>
        <v>45566</v>
      </c>
      <c r="J3228">
        <v>1284429.9500000016</v>
      </c>
      <c r="K3228">
        <v>52428</v>
      </c>
      <c r="L3228">
        <f t="shared" si="301"/>
        <v>24.498930914778391</v>
      </c>
      <c r="M3228">
        <v>4369</v>
      </c>
      <c r="N3228" s="2">
        <f t="shared" si="306"/>
        <v>293.98717097734072</v>
      </c>
      <c r="O3228">
        <v>12</v>
      </c>
    </row>
    <row r="3229" spans="1:15" x14ac:dyDescent="0.25">
      <c r="A3229" t="s">
        <v>46</v>
      </c>
      <c r="B3229" t="s">
        <v>16</v>
      </c>
      <c r="C3229" t="s">
        <v>41</v>
      </c>
      <c r="D3229" t="str">
        <f t="shared" si="302"/>
        <v>FAB3_1L  Ent Entera</v>
      </c>
      <c r="E3229">
        <v>2024</v>
      </c>
      <c r="F3229">
        <v>45</v>
      </c>
      <c r="G3229">
        <f t="shared" si="303"/>
        <v>11</v>
      </c>
      <c r="H3229" s="1">
        <f t="shared" si="304"/>
        <v>45600</v>
      </c>
      <c r="I3229" s="1">
        <f t="shared" si="305"/>
        <v>45597</v>
      </c>
      <c r="J3229">
        <v>1988172.7500000019</v>
      </c>
      <c r="K3229">
        <v>86580</v>
      </c>
      <c r="L3229">
        <f t="shared" si="301"/>
        <v>22.963418225918247</v>
      </c>
      <c r="M3229">
        <v>7215</v>
      </c>
      <c r="N3229" s="2">
        <f t="shared" si="306"/>
        <v>275.56101871101896</v>
      </c>
      <c r="O3229">
        <v>12</v>
      </c>
    </row>
    <row r="3230" spans="1:15" x14ac:dyDescent="0.25">
      <c r="A3230" t="s">
        <v>46</v>
      </c>
      <c r="B3230" t="s">
        <v>16</v>
      </c>
      <c r="C3230" t="s">
        <v>41</v>
      </c>
      <c r="D3230" t="str">
        <f t="shared" si="302"/>
        <v>FAB3_1L  Ent Entera</v>
      </c>
      <c r="E3230">
        <v>2024</v>
      </c>
      <c r="F3230">
        <v>46</v>
      </c>
      <c r="G3230">
        <f t="shared" si="303"/>
        <v>11</v>
      </c>
      <c r="H3230" s="1">
        <f t="shared" si="304"/>
        <v>45607</v>
      </c>
      <c r="I3230" s="1">
        <f t="shared" si="305"/>
        <v>45597</v>
      </c>
      <c r="J3230">
        <v>2174866.9899999998</v>
      </c>
      <c r="K3230">
        <v>95328</v>
      </c>
      <c r="L3230">
        <f t="shared" si="301"/>
        <v>22.814566444276601</v>
      </c>
      <c r="M3230">
        <v>7944</v>
      </c>
      <c r="N3230" s="2">
        <f t="shared" si="306"/>
        <v>273.77479733131918</v>
      </c>
      <c r="O3230">
        <v>12</v>
      </c>
    </row>
    <row r="3231" spans="1:15" x14ac:dyDescent="0.25">
      <c r="A3231" t="s">
        <v>46</v>
      </c>
      <c r="B3231" t="s">
        <v>16</v>
      </c>
      <c r="C3231" t="s">
        <v>41</v>
      </c>
      <c r="D3231" t="str">
        <f t="shared" si="302"/>
        <v>FAB3_1L  Ent Entera</v>
      </c>
      <c r="E3231">
        <v>2024</v>
      </c>
      <c r="F3231">
        <v>47</v>
      </c>
      <c r="G3231">
        <f t="shared" si="303"/>
        <v>11</v>
      </c>
      <c r="H3231" s="1">
        <f t="shared" si="304"/>
        <v>45614</v>
      </c>
      <c r="I3231" s="1">
        <f t="shared" si="305"/>
        <v>45597</v>
      </c>
      <c r="J3231">
        <v>1861794.8000000012</v>
      </c>
      <c r="K3231">
        <v>76524</v>
      </c>
      <c r="L3231">
        <f t="shared" si="301"/>
        <v>24.329554126809906</v>
      </c>
      <c r="M3231">
        <v>6377</v>
      </c>
      <c r="N3231" s="2">
        <f t="shared" si="306"/>
        <v>291.95464952171886</v>
      </c>
      <c r="O3231">
        <v>12</v>
      </c>
    </row>
    <row r="3232" spans="1:15" x14ac:dyDescent="0.25">
      <c r="A3232" t="s">
        <v>46</v>
      </c>
      <c r="B3232" t="s">
        <v>16</v>
      </c>
      <c r="C3232" t="s">
        <v>41</v>
      </c>
      <c r="D3232" t="str">
        <f t="shared" si="302"/>
        <v>FAB3_1L  Ent Entera</v>
      </c>
      <c r="E3232">
        <v>2024</v>
      </c>
      <c r="F3232">
        <v>48</v>
      </c>
      <c r="G3232">
        <f t="shared" si="303"/>
        <v>11</v>
      </c>
      <c r="H3232" s="1">
        <f t="shared" si="304"/>
        <v>45621</v>
      </c>
      <c r="I3232" s="1">
        <f t="shared" si="305"/>
        <v>45597</v>
      </c>
      <c r="J3232">
        <v>295</v>
      </c>
      <c r="K3232">
        <v>12</v>
      </c>
      <c r="L3232">
        <f t="shared" si="301"/>
        <v>24.583333333333332</v>
      </c>
      <c r="M3232">
        <v>1</v>
      </c>
      <c r="N3232" s="2">
        <f t="shared" si="306"/>
        <v>295</v>
      </c>
      <c r="O3232">
        <v>12</v>
      </c>
    </row>
    <row r="3233" spans="1:15" x14ac:dyDescent="0.25">
      <c r="A3233" t="s">
        <v>46</v>
      </c>
      <c r="B3233" t="s">
        <v>16</v>
      </c>
      <c r="C3233" t="s">
        <v>41</v>
      </c>
      <c r="D3233" t="str">
        <f t="shared" si="302"/>
        <v>FAB3_1L  Ent Entera</v>
      </c>
      <c r="E3233">
        <v>2024</v>
      </c>
      <c r="F3233">
        <v>48</v>
      </c>
      <c r="G3233">
        <f t="shared" si="303"/>
        <v>11</v>
      </c>
      <c r="H3233" s="1">
        <f t="shared" si="304"/>
        <v>45621</v>
      </c>
      <c r="I3233" s="1">
        <f t="shared" si="305"/>
        <v>45597</v>
      </c>
      <c r="J3233">
        <v>1453637.7500000005</v>
      </c>
      <c r="K3233">
        <v>62076</v>
      </c>
      <c r="L3233">
        <f t="shared" si="301"/>
        <v>23.417065371480128</v>
      </c>
      <c r="M3233">
        <v>5173</v>
      </c>
      <c r="N3233" s="2">
        <f t="shared" si="306"/>
        <v>281.00478445776156</v>
      </c>
      <c r="O3233">
        <v>12</v>
      </c>
    </row>
    <row r="3234" spans="1:15" x14ac:dyDescent="0.25">
      <c r="A3234" t="s">
        <v>46</v>
      </c>
      <c r="B3234" t="s">
        <v>16</v>
      </c>
      <c r="C3234" t="s">
        <v>41</v>
      </c>
      <c r="D3234" t="str">
        <f t="shared" si="302"/>
        <v>FAB3_1L  Ent Entera</v>
      </c>
      <c r="E3234">
        <v>2024</v>
      </c>
      <c r="F3234">
        <v>49</v>
      </c>
      <c r="G3234">
        <f t="shared" si="303"/>
        <v>12</v>
      </c>
      <c r="H3234" s="1">
        <f t="shared" si="304"/>
        <v>45628</v>
      </c>
      <c r="I3234" s="1">
        <f t="shared" si="305"/>
        <v>45627</v>
      </c>
      <c r="J3234">
        <v>1747037.8400000003</v>
      </c>
      <c r="K3234">
        <v>75492</v>
      </c>
      <c r="L3234">
        <f t="shared" si="301"/>
        <v>23.142026174958939</v>
      </c>
      <c r="M3234">
        <v>6291</v>
      </c>
      <c r="N3234" s="2">
        <f t="shared" si="306"/>
        <v>277.70431409950726</v>
      </c>
      <c r="O3234">
        <v>12</v>
      </c>
    </row>
    <row r="3235" spans="1:15" x14ac:dyDescent="0.25">
      <c r="A3235" t="s">
        <v>46</v>
      </c>
      <c r="B3235" t="s">
        <v>16</v>
      </c>
      <c r="C3235" t="s">
        <v>41</v>
      </c>
      <c r="D3235" t="str">
        <f t="shared" si="302"/>
        <v>FAB3_1L  Ent Entera</v>
      </c>
      <c r="E3235">
        <v>2024</v>
      </c>
      <c r="F3235">
        <v>50</v>
      </c>
      <c r="G3235">
        <f t="shared" si="303"/>
        <v>12</v>
      </c>
      <c r="H3235" s="1">
        <f t="shared" si="304"/>
        <v>45635</v>
      </c>
      <c r="I3235" s="1">
        <f t="shared" si="305"/>
        <v>45627</v>
      </c>
      <c r="J3235">
        <v>590</v>
      </c>
      <c r="K3235">
        <v>24</v>
      </c>
      <c r="L3235">
        <f t="shared" si="301"/>
        <v>24.583333333333332</v>
      </c>
      <c r="M3235">
        <v>2</v>
      </c>
      <c r="N3235" s="2">
        <f t="shared" si="306"/>
        <v>295</v>
      </c>
      <c r="O3235">
        <v>12</v>
      </c>
    </row>
    <row r="3236" spans="1:15" x14ac:dyDescent="0.25">
      <c r="A3236" t="s">
        <v>46</v>
      </c>
      <c r="B3236" t="s">
        <v>16</v>
      </c>
      <c r="C3236" t="s">
        <v>41</v>
      </c>
      <c r="D3236" t="str">
        <f t="shared" si="302"/>
        <v>FAB3_1L  Ent Entera</v>
      </c>
      <c r="E3236">
        <v>2024</v>
      </c>
      <c r="F3236">
        <v>50</v>
      </c>
      <c r="G3236">
        <f t="shared" si="303"/>
        <v>12</v>
      </c>
      <c r="H3236" s="1">
        <f t="shared" si="304"/>
        <v>45635</v>
      </c>
      <c r="I3236" s="1">
        <f t="shared" si="305"/>
        <v>45627</v>
      </c>
      <c r="J3236">
        <v>1711659.9400000006</v>
      </c>
      <c r="K3236">
        <v>73356</v>
      </c>
      <c r="L3236">
        <f t="shared" si="301"/>
        <v>23.333605158405593</v>
      </c>
      <c r="M3236">
        <v>6113</v>
      </c>
      <c r="N3236" s="2">
        <f t="shared" si="306"/>
        <v>280.00326190086713</v>
      </c>
      <c r="O3236">
        <v>12</v>
      </c>
    </row>
    <row r="3237" spans="1:15" x14ac:dyDescent="0.25">
      <c r="A3237" t="s">
        <v>46</v>
      </c>
      <c r="B3237" t="s">
        <v>16</v>
      </c>
      <c r="C3237" t="s">
        <v>41</v>
      </c>
      <c r="D3237" t="str">
        <f t="shared" si="302"/>
        <v>FAB3_1L  Ent Entera</v>
      </c>
      <c r="E3237">
        <v>2024</v>
      </c>
      <c r="F3237">
        <v>51</v>
      </c>
      <c r="G3237">
        <f t="shared" si="303"/>
        <v>12</v>
      </c>
      <c r="H3237" s="1">
        <f t="shared" si="304"/>
        <v>45642</v>
      </c>
      <c r="I3237" s="1">
        <f t="shared" si="305"/>
        <v>45627</v>
      </c>
      <c r="J3237">
        <v>1587531.9000000008</v>
      </c>
      <c r="K3237">
        <v>65748</v>
      </c>
      <c r="L3237">
        <f t="shared" si="301"/>
        <v>24.145706333272507</v>
      </c>
      <c r="M3237">
        <v>5479</v>
      </c>
      <c r="N3237" s="2">
        <f t="shared" si="306"/>
        <v>289.74847599927011</v>
      </c>
      <c r="O3237">
        <v>12</v>
      </c>
    </row>
    <row r="3238" spans="1:15" x14ac:dyDescent="0.25">
      <c r="A3238" t="s">
        <v>46</v>
      </c>
      <c r="B3238" t="s">
        <v>16</v>
      </c>
      <c r="C3238" t="s">
        <v>41</v>
      </c>
      <c r="D3238" t="str">
        <f t="shared" si="302"/>
        <v>FAB3_1L  Ent Entera</v>
      </c>
      <c r="E3238">
        <v>2024</v>
      </c>
      <c r="F3238">
        <v>52</v>
      </c>
      <c r="G3238">
        <f t="shared" si="303"/>
        <v>12</v>
      </c>
      <c r="H3238" s="1">
        <f t="shared" si="304"/>
        <v>45649</v>
      </c>
      <c r="I3238" s="1">
        <f t="shared" si="305"/>
        <v>45627</v>
      </c>
      <c r="J3238">
        <v>488800</v>
      </c>
      <c r="K3238">
        <v>24960</v>
      </c>
      <c r="L3238">
        <f t="shared" si="301"/>
        <v>19.583333333333332</v>
      </c>
      <c r="M3238">
        <v>2080</v>
      </c>
      <c r="N3238" s="2">
        <f t="shared" si="306"/>
        <v>235</v>
      </c>
      <c r="O3238">
        <v>12</v>
      </c>
    </row>
    <row r="3239" spans="1:15" x14ac:dyDescent="0.25">
      <c r="A3239" t="s">
        <v>46</v>
      </c>
      <c r="B3239" t="s">
        <v>16</v>
      </c>
      <c r="C3239" t="s">
        <v>41</v>
      </c>
      <c r="D3239" t="str">
        <f t="shared" si="302"/>
        <v>FAB3_1L  Ent Entera</v>
      </c>
      <c r="E3239">
        <v>2024</v>
      </c>
      <c r="F3239">
        <v>52</v>
      </c>
      <c r="G3239">
        <f t="shared" si="303"/>
        <v>12</v>
      </c>
      <c r="H3239" s="1">
        <f t="shared" si="304"/>
        <v>45649</v>
      </c>
      <c r="I3239" s="1">
        <f t="shared" si="305"/>
        <v>45627</v>
      </c>
      <c r="J3239">
        <v>1144427.8700000006</v>
      </c>
      <c r="K3239">
        <v>47952</v>
      </c>
      <c r="L3239">
        <f t="shared" si="301"/>
        <v>23.866113405071751</v>
      </c>
      <c r="M3239">
        <v>3996</v>
      </c>
      <c r="N3239" s="2">
        <f t="shared" si="306"/>
        <v>286.39336086086098</v>
      </c>
      <c r="O3239">
        <v>12</v>
      </c>
    </row>
    <row r="3240" spans="1:15" x14ac:dyDescent="0.25">
      <c r="A3240" t="s">
        <v>46</v>
      </c>
      <c r="B3240" t="s">
        <v>16</v>
      </c>
      <c r="C3240" t="s">
        <v>41</v>
      </c>
      <c r="D3240" t="str">
        <f t="shared" si="302"/>
        <v>FAB3_1L  Ent Entera</v>
      </c>
      <c r="E3240">
        <v>2025</v>
      </c>
      <c r="F3240">
        <v>1</v>
      </c>
      <c r="G3240">
        <f t="shared" si="303"/>
        <v>1</v>
      </c>
      <c r="H3240" s="1">
        <f t="shared" si="304"/>
        <v>45656</v>
      </c>
      <c r="I3240" s="1">
        <f t="shared" si="305"/>
        <v>45658</v>
      </c>
      <c r="J3240">
        <v>432400</v>
      </c>
      <c r="K3240">
        <v>22080</v>
      </c>
      <c r="L3240">
        <f t="shared" si="301"/>
        <v>19.583333333333332</v>
      </c>
      <c r="M3240">
        <v>1840</v>
      </c>
      <c r="N3240" s="2">
        <f t="shared" si="306"/>
        <v>235</v>
      </c>
      <c r="O3240">
        <v>12</v>
      </c>
    </row>
    <row r="3241" spans="1:15" x14ac:dyDescent="0.25">
      <c r="A3241" t="s">
        <v>46</v>
      </c>
      <c r="B3241" t="s">
        <v>16</v>
      </c>
      <c r="C3241" t="s">
        <v>41</v>
      </c>
      <c r="D3241" t="str">
        <f t="shared" si="302"/>
        <v>FAB3_1L  Ent Entera</v>
      </c>
      <c r="E3241">
        <v>2025</v>
      </c>
      <c r="F3241">
        <v>1</v>
      </c>
      <c r="G3241">
        <f t="shared" si="303"/>
        <v>1</v>
      </c>
      <c r="H3241" s="1">
        <f t="shared" si="304"/>
        <v>45656</v>
      </c>
      <c r="I3241" s="1">
        <f t="shared" si="305"/>
        <v>45658</v>
      </c>
      <c r="J3241">
        <v>1874627.0300000021</v>
      </c>
      <c r="K3241">
        <v>81348</v>
      </c>
      <c r="L3241">
        <f t="shared" si="301"/>
        <v>23.04453741948176</v>
      </c>
      <c r="M3241">
        <v>6779</v>
      </c>
      <c r="N3241" s="2">
        <f t="shared" si="306"/>
        <v>276.53444903378113</v>
      </c>
      <c r="O3241">
        <v>12</v>
      </c>
    </row>
    <row r="3242" spans="1:15" x14ac:dyDescent="0.25">
      <c r="A3242" t="s">
        <v>46</v>
      </c>
      <c r="B3242" t="s">
        <v>16</v>
      </c>
      <c r="C3242" t="s">
        <v>41</v>
      </c>
      <c r="D3242" t="str">
        <f t="shared" si="302"/>
        <v>FAB3_1L  Ent Entera</v>
      </c>
      <c r="E3242">
        <v>2025</v>
      </c>
      <c r="F3242">
        <v>2</v>
      </c>
      <c r="G3242">
        <f t="shared" si="303"/>
        <v>1</v>
      </c>
      <c r="H3242" s="1">
        <f t="shared" si="304"/>
        <v>45663</v>
      </c>
      <c r="I3242" s="1">
        <f t="shared" si="305"/>
        <v>45658</v>
      </c>
      <c r="J3242">
        <v>323139</v>
      </c>
      <c r="K3242">
        <v>16272</v>
      </c>
      <c r="L3242">
        <f t="shared" si="301"/>
        <v>19.858591445427727</v>
      </c>
      <c r="M3242">
        <v>1356</v>
      </c>
      <c r="N3242" s="2">
        <f t="shared" si="306"/>
        <v>238.30309734513276</v>
      </c>
      <c r="O3242">
        <v>12</v>
      </c>
    </row>
    <row r="3243" spans="1:15" x14ac:dyDescent="0.25">
      <c r="A3243" t="s">
        <v>46</v>
      </c>
      <c r="B3243" t="s">
        <v>16</v>
      </c>
      <c r="C3243" t="s">
        <v>41</v>
      </c>
      <c r="D3243" t="str">
        <f t="shared" si="302"/>
        <v>FAB3_1L  Ent Entera</v>
      </c>
      <c r="E3243">
        <v>2025</v>
      </c>
      <c r="F3243">
        <v>2</v>
      </c>
      <c r="G3243">
        <f t="shared" si="303"/>
        <v>1</v>
      </c>
      <c r="H3243" s="1">
        <f t="shared" si="304"/>
        <v>45663</v>
      </c>
      <c r="I3243" s="1">
        <f t="shared" si="305"/>
        <v>45658</v>
      </c>
      <c r="J3243">
        <v>1778306.5100000012</v>
      </c>
      <c r="K3243">
        <v>77436</v>
      </c>
      <c r="L3243">
        <f t="shared" si="301"/>
        <v>22.964854977013292</v>
      </c>
      <c r="M3243">
        <v>6453</v>
      </c>
      <c r="N3243" s="2">
        <f t="shared" si="306"/>
        <v>275.57825972415947</v>
      </c>
      <c r="O3243">
        <v>12</v>
      </c>
    </row>
    <row r="3244" spans="1:15" x14ac:dyDescent="0.25">
      <c r="A3244" t="s">
        <v>46</v>
      </c>
      <c r="B3244" t="s">
        <v>16</v>
      </c>
      <c r="C3244" t="s">
        <v>41</v>
      </c>
      <c r="D3244" t="str">
        <f t="shared" si="302"/>
        <v>FAB3_1L  Ent Entera</v>
      </c>
      <c r="E3244">
        <v>2025</v>
      </c>
      <c r="F3244">
        <v>3</v>
      </c>
      <c r="G3244">
        <f t="shared" si="303"/>
        <v>1</v>
      </c>
      <c r="H3244" s="1">
        <f t="shared" si="304"/>
        <v>45670</v>
      </c>
      <c r="I3244" s="1">
        <f t="shared" si="305"/>
        <v>45658</v>
      </c>
      <c r="J3244">
        <v>991116.78</v>
      </c>
      <c r="K3244">
        <v>50472</v>
      </c>
      <c r="L3244">
        <f t="shared" si="301"/>
        <v>19.6369626723728</v>
      </c>
      <c r="M3244">
        <v>4206</v>
      </c>
      <c r="N3244" s="2">
        <f t="shared" si="306"/>
        <v>235.64355206847361</v>
      </c>
      <c r="O3244">
        <v>12</v>
      </c>
    </row>
    <row r="3245" spans="1:15" x14ac:dyDescent="0.25">
      <c r="A3245" t="s">
        <v>46</v>
      </c>
      <c r="B3245" t="s">
        <v>16</v>
      </c>
      <c r="C3245" t="s">
        <v>41</v>
      </c>
      <c r="D3245" t="str">
        <f t="shared" si="302"/>
        <v>FAB3_1L  Ent Entera</v>
      </c>
      <c r="E3245">
        <v>2025</v>
      </c>
      <c r="F3245">
        <v>3</v>
      </c>
      <c r="G3245">
        <f t="shared" si="303"/>
        <v>1</v>
      </c>
      <c r="H3245" s="1">
        <f t="shared" si="304"/>
        <v>45670</v>
      </c>
      <c r="I3245" s="1">
        <f t="shared" si="305"/>
        <v>45658</v>
      </c>
      <c r="J3245">
        <v>1632113.9900000012</v>
      </c>
      <c r="K3245">
        <v>70536</v>
      </c>
      <c r="L3245">
        <f t="shared" si="301"/>
        <v>23.138737524101185</v>
      </c>
      <c r="M3245">
        <v>5878</v>
      </c>
      <c r="N3245" s="2">
        <f t="shared" si="306"/>
        <v>277.6648502892142</v>
      </c>
      <c r="O3245">
        <v>12</v>
      </c>
    </row>
    <row r="3246" spans="1:15" x14ac:dyDescent="0.25">
      <c r="A3246" t="s">
        <v>46</v>
      </c>
      <c r="B3246" t="s">
        <v>16</v>
      </c>
      <c r="C3246" t="s">
        <v>41</v>
      </c>
      <c r="D3246" t="str">
        <f t="shared" si="302"/>
        <v>FAB3_1L  Ent Entera</v>
      </c>
      <c r="E3246">
        <v>2025</v>
      </c>
      <c r="F3246">
        <v>4</v>
      </c>
      <c r="G3246">
        <f t="shared" si="303"/>
        <v>1</v>
      </c>
      <c r="H3246" s="1">
        <f t="shared" si="304"/>
        <v>45677</v>
      </c>
      <c r="I3246" s="1">
        <f t="shared" si="305"/>
        <v>45658</v>
      </c>
      <c r="J3246">
        <v>1447600</v>
      </c>
      <c r="K3246">
        <v>73920</v>
      </c>
      <c r="L3246">
        <f t="shared" si="301"/>
        <v>19.583333333333332</v>
      </c>
      <c r="M3246">
        <v>6160</v>
      </c>
      <c r="N3246" s="2">
        <f t="shared" si="306"/>
        <v>235</v>
      </c>
      <c r="O3246">
        <v>12</v>
      </c>
    </row>
    <row r="3247" spans="1:15" x14ac:dyDescent="0.25">
      <c r="A3247" t="s">
        <v>46</v>
      </c>
      <c r="B3247" t="s">
        <v>16</v>
      </c>
      <c r="C3247" t="s">
        <v>41</v>
      </c>
      <c r="D3247" t="str">
        <f t="shared" si="302"/>
        <v>FAB3_1L  Ent Entera</v>
      </c>
      <c r="E3247">
        <v>2025</v>
      </c>
      <c r="F3247">
        <v>4</v>
      </c>
      <c r="G3247">
        <f t="shared" si="303"/>
        <v>1</v>
      </c>
      <c r="H3247" s="1">
        <f t="shared" si="304"/>
        <v>45677</v>
      </c>
      <c r="I3247" s="1">
        <f t="shared" si="305"/>
        <v>45658</v>
      </c>
      <c r="J3247">
        <v>1249763.1100000017</v>
      </c>
      <c r="K3247">
        <v>52152</v>
      </c>
      <c r="L3247">
        <f t="shared" si="301"/>
        <v>23.963857761926707</v>
      </c>
      <c r="M3247">
        <v>4346</v>
      </c>
      <c r="N3247" s="2">
        <f t="shared" si="306"/>
        <v>287.5662931431205</v>
      </c>
      <c r="O3247">
        <v>12</v>
      </c>
    </row>
    <row r="3248" spans="1:15" x14ac:dyDescent="0.25">
      <c r="A3248" t="s">
        <v>46</v>
      </c>
      <c r="B3248" t="s">
        <v>16</v>
      </c>
      <c r="C3248" t="s">
        <v>41</v>
      </c>
      <c r="D3248" t="str">
        <f t="shared" si="302"/>
        <v>FAB3_1L  Ent Entera</v>
      </c>
      <c r="E3248">
        <v>2025</v>
      </c>
      <c r="F3248">
        <v>5</v>
      </c>
      <c r="G3248">
        <f t="shared" si="303"/>
        <v>1</v>
      </c>
      <c r="H3248" s="1">
        <f t="shared" si="304"/>
        <v>45684</v>
      </c>
      <c r="I3248" s="1">
        <f t="shared" si="305"/>
        <v>45658</v>
      </c>
      <c r="J3248">
        <v>523020</v>
      </c>
      <c r="K3248">
        <v>26352</v>
      </c>
      <c r="L3248">
        <f t="shared" si="301"/>
        <v>19.84744990892532</v>
      </c>
      <c r="M3248">
        <v>2196</v>
      </c>
      <c r="N3248" s="2">
        <f t="shared" si="306"/>
        <v>238.16939890710381</v>
      </c>
      <c r="O3248">
        <v>12</v>
      </c>
    </row>
    <row r="3249" spans="1:15" x14ac:dyDescent="0.25">
      <c r="A3249" t="s">
        <v>46</v>
      </c>
      <c r="B3249" t="s">
        <v>16</v>
      </c>
      <c r="C3249" t="s">
        <v>41</v>
      </c>
      <c r="D3249" t="str">
        <f t="shared" si="302"/>
        <v>FAB3_1L  Ent Entera</v>
      </c>
      <c r="E3249">
        <v>2025</v>
      </c>
      <c r="F3249">
        <v>5</v>
      </c>
      <c r="G3249">
        <f t="shared" si="303"/>
        <v>1</v>
      </c>
      <c r="H3249" s="1">
        <f t="shared" si="304"/>
        <v>45684</v>
      </c>
      <c r="I3249" s="1">
        <f t="shared" si="305"/>
        <v>45658</v>
      </c>
      <c r="J3249">
        <v>1531343.7300000009</v>
      </c>
      <c r="K3249">
        <v>64536</v>
      </c>
      <c r="L3249">
        <f t="shared" si="301"/>
        <v>23.728519431015261</v>
      </c>
      <c r="M3249">
        <v>5378</v>
      </c>
      <c r="N3249" s="2">
        <f t="shared" si="306"/>
        <v>284.74223317218315</v>
      </c>
      <c r="O3249">
        <v>12</v>
      </c>
    </row>
    <row r="3250" spans="1:15" x14ac:dyDescent="0.25">
      <c r="A3250" t="s">
        <v>46</v>
      </c>
      <c r="B3250" t="s">
        <v>16</v>
      </c>
      <c r="C3250" t="s">
        <v>41</v>
      </c>
      <c r="D3250" t="str">
        <f t="shared" si="302"/>
        <v>FAB3_1L  Ent Entera</v>
      </c>
      <c r="E3250">
        <v>2025</v>
      </c>
      <c r="F3250">
        <v>6</v>
      </c>
      <c r="G3250">
        <f t="shared" si="303"/>
        <v>2</v>
      </c>
      <c r="H3250" s="1">
        <f t="shared" si="304"/>
        <v>45691</v>
      </c>
      <c r="I3250" s="1">
        <f t="shared" si="305"/>
        <v>45689</v>
      </c>
      <c r="J3250">
        <v>491501.78</v>
      </c>
      <c r="K3250">
        <v>24972</v>
      </c>
      <c r="L3250">
        <f t="shared" si="301"/>
        <v>19.68211516898927</v>
      </c>
      <c r="M3250">
        <v>2081</v>
      </c>
      <c r="N3250" s="2">
        <f t="shared" si="306"/>
        <v>236.18538202787124</v>
      </c>
      <c r="O3250">
        <v>12</v>
      </c>
    </row>
    <row r="3251" spans="1:15" x14ac:dyDescent="0.25">
      <c r="A3251" t="s">
        <v>46</v>
      </c>
      <c r="B3251" t="s">
        <v>16</v>
      </c>
      <c r="C3251" t="s">
        <v>41</v>
      </c>
      <c r="D3251" t="str">
        <f t="shared" si="302"/>
        <v>FAB3_1L  Ent Entera</v>
      </c>
      <c r="E3251">
        <v>2025</v>
      </c>
      <c r="F3251">
        <v>6</v>
      </c>
      <c r="G3251">
        <f t="shared" si="303"/>
        <v>2</v>
      </c>
      <c r="H3251" s="1">
        <f t="shared" si="304"/>
        <v>45691</v>
      </c>
      <c r="I3251" s="1">
        <f t="shared" si="305"/>
        <v>45689</v>
      </c>
      <c r="J3251">
        <v>1769449.4799999981</v>
      </c>
      <c r="K3251">
        <v>78588</v>
      </c>
      <c r="L3251">
        <f t="shared" si="301"/>
        <v>22.515517381788545</v>
      </c>
      <c r="M3251">
        <v>6549</v>
      </c>
      <c r="N3251" s="2">
        <f t="shared" si="306"/>
        <v>270.18620858146255</v>
      </c>
      <c r="O3251">
        <v>12</v>
      </c>
    </row>
    <row r="3252" spans="1:15" x14ac:dyDescent="0.25">
      <c r="A3252" t="s">
        <v>46</v>
      </c>
      <c r="B3252" t="s">
        <v>16</v>
      </c>
      <c r="C3252" t="s">
        <v>41</v>
      </c>
      <c r="D3252" t="str">
        <f t="shared" si="302"/>
        <v>FAB3_1L  Ent Entera</v>
      </c>
      <c r="E3252">
        <v>2025</v>
      </c>
      <c r="F3252">
        <v>7</v>
      </c>
      <c r="G3252">
        <f t="shared" si="303"/>
        <v>2</v>
      </c>
      <c r="H3252" s="1">
        <f t="shared" si="304"/>
        <v>45698</v>
      </c>
      <c r="I3252" s="1">
        <f t="shared" si="305"/>
        <v>45689</v>
      </c>
      <c r="J3252">
        <v>52360</v>
      </c>
      <c r="K3252">
        <v>2136</v>
      </c>
      <c r="L3252">
        <f t="shared" si="301"/>
        <v>24.513108614232209</v>
      </c>
      <c r="M3252">
        <v>178</v>
      </c>
      <c r="N3252" s="2">
        <f t="shared" si="306"/>
        <v>294.15730337078651</v>
      </c>
      <c r="O3252">
        <v>12</v>
      </c>
    </row>
    <row r="3253" spans="1:15" x14ac:dyDescent="0.25">
      <c r="A3253" t="s">
        <v>46</v>
      </c>
      <c r="B3253" t="s">
        <v>16</v>
      </c>
      <c r="C3253" t="s">
        <v>41</v>
      </c>
      <c r="D3253" t="str">
        <f t="shared" si="302"/>
        <v>FAB3_1L  Ent Entera</v>
      </c>
      <c r="E3253">
        <v>2025</v>
      </c>
      <c r="F3253">
        <v>7</v>
      </c>
      <c r="G3253">
        <f t="shared" si="303"/>
        <v>2</v>
      </c>
      <c r="H3253" s="1">
        <f t="shared" si="304"/>
        <v>45698</v>
      </c>
      <c r="I3253" s="1">
        <f t="shared" si="305"/>
        <v>45689</v>
      </c>
      <c r="J3253">
        <v>2177514.6100000003</v>
      </c>
      <c r="K3253">
        <v>100500</v>
      </c>
      <c r="L3253">
        <f t="shared" si="301"/>
        <v>21.666812039800998</v>
      </c>
      <c r="M3253">
        <v>8375</v>
      </c>
      <c r="N3253" s="2">
        <f t="shared" si="306"/>
        <v>260.00174447761196</v>
      </c>
      <c r="O3253">
        <v>12</v>
      </c>
    </row>
    <row r="3254" spans="1:15" x14ac:dyDescent="0.25">
      <c r="A3254" t="s">
        <v>46</v>
      </c>
      <c r="B3254" t="s">
        <v>16</v>
      </c>
      <c r="C3254" t="s">
        <v>41</v>
      </c>
      <c r="D3254" t="str">
        <f t="shared" si="302"/>
        <v>FAB3_1L  Ent Entera</v>
      </c>
      <c r="E3254">
        <v>2025</v>
      </c>
      <c r="F3254">
        <v>8</v>
      </c>
      <c r="G3254">
        <f t="shared" si="303"/>
        <v>2</v>
      </c>
      <c r="H3254" s="1">
        <f t="shared" si="304"/>
        <v>45705</v>
      </c>
      <c r="I3254" s="1">
        <f t="shared" si="305"/>
        <v>45689</v>
      </c>
      <c r="J3254">
        <v>22420</v>
      </c>
      <c r="K3254">
        <v>912</v>
      </c>
      <c r="L3254">
        <f t="shared" si="301"/>
        <v>24.583333333333332</v>
      </c>
      <c r="M3254">
        <v>76</v>
      </c>
      <c r="N3254" s="2">
        <f t="shared" si="306"/>
        <v>295</v>
      </c>
      <c r="O3254">
        <v>12</v>
      </c>
    </row>
    <row r="3255" spans="1:15" x14ac:dyDescent="0.25">
      <c r="A3255" t="s">
        <v>46</v>
      </c>
      <c r="B3255" t="s">
        <v>16</v>
      </c>
      <c r="C3255" t="s">
        <v>41</v>
      </c>
      <c r="D3255" t="str">
        <f t="shared" si="302"/>
        <v>FAB3_1L  Ent Entera</v>
      </c>
      <c r="E3255">
        <v>2025</v>
      </c>
      <c r="F3255">
        <v>8</v>
      </c>
      <c r="G3255">
        <f t="shared" si="303"/>
        <v>2</v>
      </c>
      <c r="H3255" s="1">
        <f t="shared" si="304"/>
        <v>45705</v>
      </c>
      <c r="I3255" s="1">
        <f t="shared" si="305"/>
        <v>45689</v>
      </c>
      <c r="J3255">
        <v>1750746.8400000012</v>
      </c>
      <c r="K3255">
        <v>74760</v>
      </c>
      <c r="L3255">
        <f t="shared" si="301"/>
        <v>23.418229534510449</v>
      </c>
      <c r="M3255">
        <v>6230</v>
      </c>
      <c r="N3255" s="2">
        <f t="shared" si="306"/>
        <v>281.0187544141254</v>
      </c>
      <c r="O3255">
        <v>12</v>
      </c>
    </row>
    <row r="3256" spans="1:15" x14ac:dyDescent="0.25">
      <c r="A3256" t="s">
        <v>46</v>
      </c>
      <c r="B3256" t="s">
        <v>16</v>
      </c>
      <c r="C3256" t="s">
        <v>41</v>
      </c>
      <c r="D3256" t="str">
        <f t="shared" si="302"/>
        <v>FAB3_1L  Ent Entera</v>
      </c>
      <c r="E3256">
        <v>2025</v>
      </c>
      <c r="F3256">
        <v>9</v>
      </c>
      <c r="G3256">
        <f t="shared" si="303"/>
        <v>2</v>
      </c>
      <c r="H3256" s="1">
        <f t="shared" si="304"/>
        <v>45712</v>
      </c>
      <c r="I3256" s="1">
        <f t="shared" si="305"/>
        <v>45689</v>
      </c>
      <c r="J3256">
        <v>977895</v>
      </c>
      <c r="K3256">
        <v>49932</v>
      </c>
      <c r="L3256">
        <f t="shared" si="301"/>
        <v>19.584534967555875</v>
      </c>
      <c r="M3256">
        <v>4161</v>
      </c>
      <c r="N3256" s="2">
        <f t="shared" si="306"/>
        <v>235.0144196106705</v>
      </c>
      <c r="O3256">
        <v>12</v>
      </c>
    </row>
    <row r="3257" spans="1:15" x14ac:dyDescent="0.25">
      <c r="A3257" t="s">
        <v>46</v>
      </c>
      <c r="B3257" t="s">
        <v>16</v>
      </c>
      <c r="C3257" t="s">
        <v>41</v>
      </c>
      <c r="D3257" t="str">
        <f t="shared" si="302"/>
        <v>FAB3_1L  Ent Entera</v>
      </c>
      <c r="E3257">
        <v>2025</v>
      </c>
      <c r="F3257">
        <v>9</v>
      </c>
      <c r="G3257">
        <f t="shared" si="303"/>
        <v>2</v>
      </c>
      <c r="H3257" s="1">
        <f t="shared" si="304"/>
        <v>45712</v>
      </c>
      <c r="I3257" s="1">
        <f t="shared" si="305"/>
        <v>45689</v>
      </c>
      <c r="J3257">
        <v>1257076.0700000012</v>
      </c>
      <c r="K3257">
        <v>51216</v>
      </c>
      <c r="L3257">
        <f t="shared" si="301"/>
        <v>24.544596805685746</v>
      </c>
      <c r="M3257">
        <v>4268</v>
      </c>
      <c r="N3257" s="2">
        <f t="shared" si="306"/>
        <v>294.53516166822897</v>
      </c>
      <c r="O3257">
        <v>12</v>
      </c>
    </row>
    <row r="3258" spans="1:15" x14ac:dyDescent="0.25">
      <c r="A3258" t="s">
        <v>46</v>
      </c>
      <c r="B3258" t="s">
        <v>16</v>
      </c>
      <c r="C3258" t="s">
        <v>41</v>
      </c>
      <c r="D3258" t="str">
        <f t="shared" si="302"/>
        <v>FAB3_1L  Ent Entera</v>
      </c>
      <c r="E3258">
        <v>2025</v>
      </c>
      <c r="F3258">
        <v>10</v>
      </c>
      <c r="G3258">
        <f t="shared" si="303"/>
        <v>3</v>
      </c>
      <c r="H3258" s="1">
        <f t="shared" si="304"/>
        <v>45719</v>
      </c>
      <c r="I3258" s="1">
        <f t="shared" si="305"/>
        <v>45717</v>
      </c>
      <c r="J3258">
        <v>502960</v>
      </c>
      <c r="K3258">
        <v>25536</v>
      </c>
      <c r="L3258">
        <f t="shared" si="301"/>
        <v>19.69611528822055</v>
      </c>
      <c r="M3258">
        <v>2128</v>
      </c>
      <c r="N3258" s="2">
        <f t="shared" si="306"/>
        <v>236.35338345864662</v>
      </c>
      <c r="O3258">
        <v>12</v>
      </c>
    </row>
    <row r="3259" spans="1:15" x14ac:dyDescent="0.25">
      <c r="A3259" t="s">
        <v>46</v>
      </c>
      <c r="B3259" t="s">
        <v>16</v>
      </c>
      <c r="C3259" t="s">
        <v>41</v>
      </c>
      <c r="D3259" t="str">
        <f t="shared" si="302"/>
        <v>FAB3_1L  Ent Entera</v>
      </c>
      <c r="E3259">
        <v>2025</v>
      </c>
      <c r="F3259">
        <v>10</v>
      </c>
      <c r="G3259">
        <f t="shared" si="303"/>
        <v>3</v>
      </c>
      <c r="H3259" s="1">
        <f t="shared" si="304"/>
        <v>45719</v>
      </c>
      <c r="I3259" s="1">
        <f t="shared" si="305"/>
        <v>45717</v>
      </c>
      <c r="J3259">
        <v>1834051.5400000005</v>
      </c>
      <c r="K3259">
        <v>76896</v>
      </c>
      <c r="L3259">
        <f t="shared" si="301"/>
        <v>23.851065595089477</v>
      </c>
      <c r="M3259">
        <v>6408</v>
      </c>
      <c r="N3259" s="2">
        <f t="shared" si="306"/>
        <v>286.21278714107376</v>
      </c>
      <c r="O3259">
        <v>12</v>
      </c>
    </row>
    <row r="3260" spans="1:15" x14ac:dyDescent="0.25">
      <c r="A3260" t="s">
        <v>46</v>
      </c>
      <c r="B3260" t="s">
        <v>16</v>
      </c>
      <c r="C3260" t="s">
        <v>41</v>
      </c>
      <c r="D3260" t="str">
        <f t="shared" si="302"/>
        <v>FAB3_1L  Ent Entera</v>
      </c>
      <c r="E3260">
        <v>2025</v>
      </c>
      <c r="F3260">
        <v>11</v>
      </c>
      <c r="G3260">
        <f t="shared" si="303"/>
        <v>3</v>
      </c>
      <c r="H3260" s="1">
        <f t="shared" si="304"/>
        <v>45726</v>
      </c>
      <c r="I3260" s="1">
        <f t="shared" si="305"/>
        <v>45717</v>
      </c>
      <c r="J3260">
        <v>18290</v>
      </c>
      <c r="K3260">
        <v>744</v>
      </c>
      <c r="L3260">
        <f t="shared" si="301"/>
        <v>24.583333333333332</v>
      </c>
      <c r="M3260">
        <v>62</v>
      </c>
      <c r="N3260" s="2">
        <f t="shared" si="306"/>
        <v>295</v>
      </c>
      <c r="O3260">
        <v>12</v>
      </c>
    </row>
    <row r="3261" spans="1:15" x14ac:dyDescent="0.25">
      <c r="A3261" t="s">
        <v>46</v>
      </c>
      <c r="B3261" t="s">
        <v>16</v>
      </c>
      <c r="C3261" t="s">
        <v>41</v>
      </c>
      <c r="D3261" t="str">
        <f t="shared" si="302"/>
        <v>FAB3_1L  Ent Entera</v>
      </c>
      <c r="E3261">
        <v>2025</v>
      </c>
      <c r="F3261">
        <v>11</v>
      </c>
      <c r="G3261">
        <f t="shared" si="303"/>
        <v>3</v>
      </c>
      <c r="H3261" s="1">
        <f t="shared" si="304"/>
        <v>45726</v>
      </c>
      <c r="I3261" s="1">
        <f t="shared" si="305"/>
        <v>45717</v>
      </c>
      <c r="J3261">
        <v>1542836.2499999998</v>
      </c>
      <c r="K3261">
        <v>66672</v>
      </c>
      <c r="L3261">
        <f t="shared" si="301"/>
        <v>23.14069249460043</v>
      </c>
      <c r="M3261">
        <v>5556</v>
      </c>
      <c r="N3261" s="2">
        <f t="shared" si="306"/>
        <v>277.68830993520515</v>
      </c>
      <c r="O3261">
        <v>12</v>
      </c>
    </row>
    <row r="3262" spans="1:15" x14ac:dyDescent="0.25">
      <c r="A3262" t="s">
        <v>46</v>
      </c>
      <c r="B3262" t="s">
        <v>16</v>
      </c>
      <c r="C3262" t="s">
        <v>41</v>
      </c>
      <c r="D3262" t="str">
        <f t="shared" si="302"/>
        <v>FAB3_1L  Ent Entera</v>
      </c>
      <c r="E3262">
        <v>2025</v>
      </c>
      <c r="F3262">
        <v>12</v>
      </c>
      <c r="G3262">
        <f t="shared" si="303"/>
        <v>3</v>
      </c>
      <c r="H3262" s="1">
        <f t="shared" si="304"/>
        <v>45733</v>
      </c>
      <c r="I3262" s="1">
        <f t="shared" si="305"/>
        <v>45717</v>
      </c>
      <c r="J3262">
        <v>502927.5</v>
      </c>
      <c r="K3262">
        <v>25536</v>
      </c>
      <c r="L3262">
        <f t="shared" ref="L3262:L3325" si="307">J3262/(M3262*O3262)</f>
        <v>19.69484257518797</v>
      </c>
      <c r="M3262">
        <v>2128</v>
      </c>
      <c r="N3262" s="2">
        <f t="shared" si="306"/>
        <v>236.33811090225564</v>
      </c>
      <c r="O3262">
        <v>12</v>
      </c>
    </row>
    <row r="3263" spans="1:15" x14ac:dyDescent="0.25">
      <c r="A3263" t="s">
        <v>46</v>
      </c>
      <c r="B3263" t="s">
        <v>16</v>
      </c>
      <c r="C3263" t="s">
        <v>41</v>
      </c>
      <c r="D3263" t="str">
        <f t="shared" si="302"/>
        <v>FAB3_1L  Ent Entera</v>
      </c>
      <c r="E3263">
        <v>2025</v>
      </c>
      <c r="F3263">
        <v>12</v>
      </c>
      <c r="G3263">
        <f t="shared" si="303"/>
        <v>3</v>
      </c>
      <c r="H3263" s="1">
        <f t="shared" si="304"/>
        <v>45733</v>
      </c>
      <c r="I3263" s="1">
        <f t="shared" si="305"/>
        <v>45717</v>
      </c>
      <c r="J3263">
        <v>1746725.64</v>
      </c>
      <c r="K3263">
        <v>74940</v>
      </c>
      <c r="L3263">
        <f t="shared" si="307"/>
        <v>23.308321857485989</v>
      </c>
      <c r="M3263">
        <v>6245</v>
      </c>
      <c r="N3263" s="2">
        <f t="shared" si="306"/>
        <v>279.69986228983186</v>
      </c>
      <c r="O3263">
        <v>12</v>
      </c>
    </row>
    <row r="3264" spans="1:15" x14ac:dyDescent="0.25">
      <c r="A3264" t="s">
        <v>46</v>
      </c>
      <c r="B3264" t="s">
        <v>16</v>
      </c>
      <c r="C3264" t="s">
        <v>41</v>
      </c>
      <c r="D3264" t="str">
        <f t="shared" si="302"/>
        <v>FAB3_1L  Ent Entera</v>
      </c>
      <c r="E3264">
        <v>2025</v>
      </c>
      <c r="F3264">
        <v>13</v>
      </c>
      <c r="G3264">
        <f t="shared" si="303"/>
        <v>3</v>
      </c>
      <c r="H3264" s="1">
        <f t="shared" si="304"/>
        <v>45740</v>
      </c>
      <c r="I3264" s="1">
        <f t="shared" si="305"/>
        <v>45717</v>
      </c>
      <c r="J3264">
        <v>999135</v>
      </c>
      <c r="K3264">
        <v>50796</v>
      </c>
      <c r="L3264">
        <f t="shared" si="307"/>
        <v>19.669560595322466</v>
      </c>
      <c r="M3264">
        <v>4233</v>
      </c>
      <c r="N3264" s="2">
        <f t="shared" si="306"/>
        <v>236.03472714386959</v>
      </c>
      <c r="O3264">
        <v>12</v>
      </c>
    </row>
    <row r="3265" spans="1:15" x14ac:dyDescent="0.25">
      <c r="A3265" t="s">
        <v>46</v>
      </c>
      <c r="B3265" t="s">
        <v>16</v>
      </c>
      <c r="C3265" t="s">
        <v>41</v>
      </c>
      <c r="D3265" t="str">
        <f t="shared" si="302"/>
        <v>FAB3_1L  Ent Entera</v>
      </c>
      <c r="E3265">
        <v>2025</v>
      </c>
      <c r="F3265">
        <v>13</v>
      </c>
      <c r="G3265">
        <f t="shared" si="303"/>
        <v>3</v>
      </c>
      <c r="H3265" s="1">
        <f t="shared" si="304"/>
        <v>45740</v>
      </c>
      <c r="I3265" s="1">
        <f t="shared" si="305"/>
        <v>45717</v>
      </c>
      <c r="J3265">
        <v>1433855.4300000002</v>
      </c>
      <c r="K3265">
        <v>61632</v>
      </c>
      <c r="L3265">
        <f t="shared" si="307"/>
        <v>23.264788259345796</v>
      </c>
      <c r="M3265">
        <v>5136</v>
      </c>
      <c r="N3265" s="2">
        <f t="shared" si="306"/>
        <v>279.17745911214956</v>
      </c>
      <c r="O3265">
        <v>12</v>
      </c>
    </row>
    <row r="3266" spans="1:15" x14ac:dyDescent="0.25">
      <c r="A3266" t="s">
        <v>46</v>
      </c>
      <c r="B3266" t="s">
        <v>16</v>
      </c>
      <c r="C3266" t="s">
        <v>41</v>
      </c>
      <c r="D3266" t="str">
        <f t="shared" si="302"/>
        <v>FAB3_1L  Ent Entera</v>
      </c>
      <c r="E3266">
        <v>2025</v>
      </c>
      <c r="F3266">
        <v>14</v>
      </c>
      <c r="G3266">
        <f t="shared" si="303"/>
        <v>4</v>
      </c>
      <c r="H3266" s="1">
        <f t="shared" si="304"/>
        <v>45747</v>
      </c>
      <c r="I3266" s="1">
        <f t="shared" si="305"/>
        <v>45748</v>
      </c>
      <c r="J3266">
        <v>20650</v>
      </c>
      <c r="K3266">
        <v>840</v>
      </c>
      <c r="L3266">
        <f t="shared" si="307"/>
        <v>24.583333333333332</v>
      </c>
      <c r="M3266">
        <v>70</v>
      </c>
      <c r="N3266" s="2">
        <f t="shared" si="306"/>
        <v>295</v>
      </c>
      <c r="O3266">
        <v>12</v>
      </c>
    </row>
    <row r="3267" spans="1:15" x14ac:dyDescent="0.25">
      <c r="A3267" t="s">
        <v>46</v>
      </c>
      <c r="B3267" t="s">
        <v>16</v>
      </c>
      <c r="C3267" t="s">
        <v>41</v>
      </c>
      <c r="D3267" t="str">
        <f t="shared" ref="D3267:D3297" si="308">B3267&amp;"_"&amp;C3267</f>
        <v>FAB3_1L  Ent Entera</v>
      </c>
      <c r="E3267">
        <v>2025</v>
      </c>
      <c r="F3267">
        <v>14</v>
      </c>
      <c r="G3267">
        <f t="shared" ref="G3267:G3297" si="309">MONTH(DATE(E3267,1,4)+(F3267-1)*7-WEEKDAY(DATE(E3267,1,4),2)+4)</f>
        <v>4</v>
      </c>
      <c r="H3267" s="1">
        <f t="shared" ref="H3267:H3297" si="310">DATE(E3267,1,-2)-WEEKDAY(DATE(E3267,1,3))+F3267*7</f>
        <v>45747</v>
      </c>
      <c r="I3267" s="1">
        <f t="shared" ref="I3267:I3297" si="311">DATE(E3267,G3267,1)</f>
        <v>45748</v>
      </c>
      <c r="J3267">
        <v>1791349.2500000005</v>
      </c>
      <c r="K3267">
        <v>75276</v>
      </c>
      <c r="L3267">
        <f t="shared" si="307"/>
        <v>23.797083399755572</v>
      </c>
      <c r="M3267">
        <v>6273</v>
      </c>
      <c r="N3267" s="2">
        <f t="shared" ref="N3267:N3297" si="312">J3267/M3267</f>
        <v>285.56500079706689</v>
      </c>
      <c r="O3267">
        <v>12</v>
      </c>
    </row>
    <row r="3268" spans="1:15" x14ac:dyDescent="0.25">
      <c r="A3268" t="s">
        <v>46</v>
      </c>
      <c r="B3268" t="s">
        <v>16</v>
      </c>
      <c r="C3268" t="s">
        <v>41</v>
      </c>
      <c r="D3268" t="str">
        <f t="shared" si="308"/>
        <v>FAB3_1L  Ent Entera</v>
      </c>
      <c r="E3268">
        <v>2025</v>
      </c>
      <c r="F3268">
        <v>15</v>
      </c>
      <c r="G3268">
        <f t="shared" si="309"/>
        <v>4</v>
      </c>
      <c r="H3268" s="1">
        <f t="shared" si="310"/>
        <v>45754</v>
      </c>
      <c r="I3268" s="1">
        <f t="shared" si="311"/>
        <v>45748</v>
      </c>
      <c r="J3268">
        <v>1265147.8900000008</v>
      </c>
      <c r="K3268">
        <v>51504</v>
      </c>
      <c r="L3268">
        <f t="shared" si="307"/>
        <v>24.564070557626607</v>
      </c>
      <c r="M3268">
        <v>4292</v>
      </c>
      <c r="N3268" s="2">
        <f t="shared" si="312"/>
        <v>294.76884669151929</v>
      </c>
      <c r="O3268">
        <v>12</v>
      </c>
    </row>
    <row r="3269" spans="1:15" x14ac:dyDescent="0.25">
      <c r="A3269" t="s">
        <v>46</v>
      </c>
      <c r="B3269" t="s">
        <v>16</v>
      </c>
      <c r="C3269" t="s">
        <v>41</v>
      </c>
      <c r="D3269" t="str">
        <f t="shared" si="308"/>
        <v>FAB3_1L  Ent Entera</v>
      </c>
      <c r="E3269">
        <v>2025</v>
      </c>
      <c r="F3269">
        <v>16</v>
      </c>
      <c r="G3269">
        <f t="shared" si="309"/>
        <v>4</v>
      </c>
      <c r="H3269" s="1">
        <f t="shared" si="310"/>
        <v>45761</v>
      </c>
      <c r="I3269" s="1">
        <f t="shared" si="311"/>
        <v>45748</v>
      </c>
      <c r="J3269">
        <v>1630867.0700000015</v>
      </c>
      <c r="K3269">
        <v>67140</v>
      </c>
      <c r="L3269">
        <f t="shared" si="307"/>
        <v>24.290543193327398</v>
      </c>
      <c r="M3269">
        <v>5595</v>
      </c>
      <c r="N3269" s="2">
        <f t="shared" si="312"/>
        <v>291.48651831992879</v>
      </c>
      <c r="O3269">
        <v>12</v>
      </c>
    </row>
    <row r="3270" spans="1:15" x14ac:dyDescent="0.25">
      <c r="A3270" t="s">
        <v>46</v>
      </c>
      <c r="B3270" t="s">
        <v>16</v>
      </c>
      <c r="C3270" t="s">
        <v>41</v>
      </c>
      <c r="D3270" t="str">
        <f t="shared" si="308"/>
        <v>FAB3_1L  Ent Entera</v>
      </c>
      <c r="E3270">
        <v>2025</v>
      </c>
      <c r="F3270">
        <v>17</v>
      </c>
      <c r="G3270">
        <f t="shared" si="309"/>
        <v>4</v>
      </c>
      <c r="H3270" s="1">
        <f t="shared" si="310"/>
        <v>45768</v>
      </c>
      <c r="I3270" s="1">
        <f t="shared" si="311"/>
        <v>45748</v>
      </c>
      <c r="J3270">
        <v>0</v>
      </c>
      <c r="K3270">
        <v>0</v>
      </c>
      <c r="M3270">
        <v>0</v>
      </c>
      <c r="O3270">
        <v>12</v>
      </c>
    </row>
    <row r="3271" spans="1:15" x14ac:dyDescent="0.25">
      <c r="A3271" t="s">
        <v>46</v>
      </c>
      <c r="B3271" t="s">
        <v>16</v>
      </c>
      <c r="C3271" t="s">
        <v>41</v>
      </c>
      <c r="D3271" t="str">
        <f t="shared" si="308"/>
        <v>FAB3_1L  Ent Entera</v>
      </c>
      <c r="E3271">
        <v>2025</v>
      </c>
      <c r="F3271">
        <v>17</v>
      </c>
      <c r="G3271">
        <f t="shared" si="309"/>
        <v>4</v>
      </c>
      <c r="H3271" s="1">
        <f t="shared" si="310"/>
        <v>45768</v>
      </c>
      <c r="I3271" s="1">
        <f t="shared" si="311"/>
        <v>45748</v>
      </c>
      <c r="J3271">
        <v>1299662.0000000007</v>
      </c>
      <c r="K3271">
        <v>52980</v>
      </c>
      <c r="L3271">
        <f t="shared" ref="L3271:L3297" si="313">J3271/(M3271*O3271)</f>
        <v>24.531181577953959</v>
      </c>
      <c r="M3271">
        <v>4415</v>
      </c>
      <c r="N3271" s="2">
        <f t="shared" si="312"/>
        <v>294.3741789354475</v>
      </c>
      <c r="O3271">
        <v>12</v>
      </c>
    </row>
    <row r="3272" spans="1:15" x14ac:dyDescent="0.25">
      <c r="A3272" t="s">
        <v>46</v>
      </c>
      <c r="B3272" t="s">
        <v>16</v>
      </c>
      <c r="C3272" t="s">
        <v>41</v>
      </c>
      <c r="D3272" t="str">
        <f t="shared" si="308"/>
        <v>FAB3_1L  Ent Entera</v>
      </c>
      <c r="E3272">
        <v>2025</v>
      </c>
      <c r="F3272">
        <v>18</v>
      </c>
      <c r="G3272">
        <f t="shared" si="309"/>
        <v>5</v>
      </c>
      <c r="H3272" s="1">
        <f t="shared" si="310"/>
        <v>45775</v>
      </c>
      <c r="I3272" s="1">
        <f t="shared" si="311"/>
        <v>45778</v>
      </c>
      <c r="J3272">
        <v>1504000</v>
      </c>
      <c r="K3272">
        <v>76800</v>
      </c>
      <c r="L3272">
        <f t="shared" si="313"/>
        <v>19.583333333333332</v>
      </c>
      <c r="M3272">
        <v>6400</v>
      </c>
      <c r="N3272" s="2">
        <f t="shared" si="312"/>
        <v>235</v>
      </c>
      <c r="O3272">
        <v>12</v>
      </c>
    </row>
    <row r="3273" spans="1:15" x14ac:dyDescent="0.25">
      <c r="A3273" t="s">
        <v>46</v>
      </c>
      <c r="B3273" t="s">
        <v>16</v>
      </c>
      <c r="C3273" t="s">
        <v>41</v>
      </c>
      <c r="D3273" t="str">
        <f t="shared" si="308"/>
        <v>FAB3_1L  Ent Entera</v>
      </c>
      <c r="E3273">
        <v>2025</v>
      </c>
      <c r="F3273">
        <v>18</v>
      </c>
      <c r="G3273">
        <f t="shared" si="309"/>
        <v>5</v>
      </c>
      <c r="H3273" s="1">
        <f t="shared" si="310"/>
        <v>45775</v>
      </c>
      <c r="I3273" s="1">
        <f t="shared" si="311"/>
        <v>45778</v>
      </c>
      <c r="J3273">
        <v>1960934.3800000006</v>
      </c>
      <c r="K3273">
        <v>82692</v>
      </c>
      <c r="L3273">
        <f t="shared" si="313"/>
        <v>23.713713297537858</v>
      </c>
      <c r="M3273">
        <v>6891</v>
      </c>
      <c r="N3273" s="2">
        <f t="shared" si="312"/>
        <v>284.56455957045432</v>
      </c>
      <c r="O3273">
        <v>12</v>
      </c>
    </row>
    <row r="3274" spans="1:15" x14ac:dyDescent="0.25">
      <c r="A3274" t="s">
        <v>46</v>
      </c>
      <c r="B3274" t="s">
        <v>16</v>
      </c>
      <c r="C3274" t="s">
        <v>41</v>
      </c>
      <c r="D3274" t="str">
        <f t="shared" si="308"/>
        <v>FAB3_1L  Ent Entera</v>
      </c>
      <c r="E3274">
        <v>2025</v>
      </c>
      <c r="F3274">
        <v>19</v>
      </c>
      <c r="G3274">
        <f t="shared" si="309"/>
        <v>5</v>
      </c>
      <c r="H3274" s="1">
        <f t="shared" si="310"/>
        <v>45782</v>
      </c>
      <c r="I3274" s="1">
        <f t="shared" si="311"/>
        <v>45778</v>
      </c>
      <c r="J3274">
        <v>565</v>
      </c>
      <c r="K3274">
        <v>24</v>
      </c>
      <c r="L3274">
        <f t="shared" si="313"/>
        <v>23.541666666666668</v>
      </c>
      <c r="M3274">
        <v>2</v>
      </c>
      <c r="N3274" s="2">
        <f t="shared" si="312"/>
        <v>282.5</v>
      </c>
      <c r="O3274">
        <v>12</v>
      </c>
    </row>
    <row r="3275" spans="1:15" x14ac:dyDescent="0.25">
      <c r="A3275" t="s">
        <v>46</v>
      </c>
      <c r="B3275" t="s">
        <v>16</v>
      </c>
      <c r="C3275" t="s">
        <v>41</v>
      </c>
      <c r="D3275" t="str">
        <f t="shared" si="308"/>
        <v>FAB3_1L  Ent Entera</v>
      </c>
      <c r="E3275">
        <v>2025</v>
      </c>
      <c r="F3275">
        <v>19</v>
      </c>
      <c r="G3275">
        <f t="shared" si="309"/>
        <v>5</v>
      </c>
      <c r="H3275" s="1">
        <f t="shared" si="310"/>
        <v>45782</v>
      </c>
      <c r="I3275" s="1">
        <f t="shared" si="311"/>
        <v>45778</v>
      </c>
      <c r="J3275">
        <v>1614999.7199999997</v>
      </c>
      <c r="K3275">
        <v>64320</v>
      </c>
      <c r="L3275">
        <f t="shared" si="313"/>
        <v>25.108826492537311</v>
      </c>
      <c r="M3275">
        <v>5360</v>
      </c>
      <c r="N3275" s="2">
        <f t="shared" si="312"/>
        <v>301.3059179104477</v>
      </c>
      <c r="O3275">
        <v>12</v>
      </c>
    </row>
    <row r="3276" spans="1:15" x14ac:dyDescent="0.25">
      <c r="A3276" t="s">
        <v>46</v>
      </c>
      <c r="B3276" t="s">
        <v>16</v>
      </c>
      <c r="C3276" t="s">
        <v>41</v>
      </c>
      <c r="D3276" t="str">
        <f t="shared" si="308"/>
        <v>FAB3_1L  Ent Entera</v>
      </c>
      <c r="E3276">
        <v>2025</v>
      </c>
      <c r="F3276">
        <v>20</v>
      </c>
      <c r="G3276">
        <f t="shared" si="309"/>
        <v>5</v>
      </c>
      <c r="H3276" s="1">
        <f t="shared" si="310"/>
        <v>45789</v>
      </c>
      <c r="I3276" s="1">
        <f t="shared" si="311"/>
        <v>45778</v>
      </c>
      <c r="J3276">
        <v>1405994.3299999987</v>
      </c>
      <c r="K3276">
        <v>56868</v>
      </c>
      <c r="L3276">
        <f t="shared" si="313"/>
        <v>24.723822360554244</v>
      </c>
      <c r="M3276">
        <v>4739</v>
      </c>
      <c r="N3276" s="2">
        <f t="shared" si="312"/>
        <v>296.6858683266509</v>
      </c>
      <c r="O3276">
        <v>12</v>
      </c>
    </row>
    <row r="3277" spans="1:15" x14ac:dyDescent="0.25">
      <c r="A3277" t="s">
        <v>46</v>
      </c>
      <c r="B3277" t="s">
        <v>16</v>
      </c>
      <c r="C3277" t="s">
        <v>41</v>
      </c>
      <c r="D3277" t="str">
        <f t="shared" si="308"/>
        <v>FAB3_1L  Ent Entera</v>
      </c>
      <c r="E3277">
        <v>2025</v>
      </c>
      <c r="F3277">
        <v>21</v>
      </c>
      <c r="G3277">
        <f t="shared" si="309"/>
        <v>5</v>
      </c>
      <c r="H3277" s="1">
        <f t="shared" si="310"/>
        <v>45796</v>
      </c>
      <c r="I3277" s="1">
        <f t="shared" si="311"/>
        <v>45778</v>
      </c>
      <c r="J3277">
        <v>315</v>
      </c>
      <c r="K3277">
        <v>12</v>
      </c>
      <c r="L3277">
        <f t="shared" si="313"/>
        <v>26.25</v>
      </c>
      <c r="M3277">
        <v>1</v>
      </c>
      <c r="N3277" s="2">
        <f t="shared" si="312"/>
        <v>315</v>
      </c>
      <c r="O3277">
        <v>12</v>
      </c>
    </row>
    <row r="3278" spans="1:15" x14ac:dyDescent="0.25">
      <c r="A3278" t="s">
        <v>46</v>
      </c>
      <c r="B3278" t="s">
        <v>16</v>
      </c>
      <c r="C3278" t="s">
        <v>41</v>
      </c>
      <c r="D3278" t="str">
        <f t="shared" si="308"/>
        <v>FAB3_1L  Ent Entera</v>
      </c>
      <c r="E3278">
        <v>2025</v>
      </c>
      <c r="F3278">
        <v>21</v>
      </c>
      <c r="G3278">
        <f t="shared" si="309"/>
        <v>5</v>
      </c>
      <c r="H3278" s="1">
        <f t="shared" si="310"/>
        <v>45796</v>
      </c>
      <c r="I3278" s="1">
        <f t="shared" si="311"/>
        <v>45778</v>
      </c>
      <c r="J3278">
        <v>1411518.6799999983</v>
      </c>
      <c r="K3278">
        <v>56844</v>
      </c>
      <c r="L3278">
        <f t="shared" si="313"/>
        <v>24.831445359228738</v>
      </c>
      <c r="M3278">
        <v>4737</v>
      </c>
      <c r="N3278" s="2">
        <f t="shared" si="312"/>
        <v>297.97734431074485</v>
      </c>
      <c r="O3278">
        <v>12</v>
      </c>
    </row>
    <row r="3279" spans="1:15" x14ac:dyDescent="0.25">
      <c r="A3279" t="s">
        <v>46</v>
      </c>
      <c r="B3279" t="s">
        <v>16</v>
      </c>
      <c r="C3279" t="s">
        <v>41</v>
      </c>
      <c r="D3279" t="str">
        <f t="shared" si="308"/>
        <v>FAB3_1L  Ent Entera</v>
      </c>
      <c r="E3279">
        <v>2025</v>
      </c>
      <c r="F3279">
        <v>22</v>
      </c>
      <c r="G3279">
        <f t="shared" si="309"/>
        <v>5</v>
      </c>
      <c r="H3279" s="1">
        <f t="shared" si="310"/>
        <v>45803</v>
      </c>
      <c r="I3279" s="1">
        <f t="shared" si="311"/>
        <v>45778</v>
      </c>
      <c r="J3279">
        <v>1019200</v>
      </c>
      <c r="K3279">
        <v>49920</v>
      </c>
      <c r="L3279">
        <f t="shared" si="313"/>
        <v>20.416666666666668</v>
      </c>
      <c r="M3279">
        <v>4160</v>
      </c>
      <c r="N3279" s="2">
        <f t="shared" si="312"/>
        <v>245</v>
      </c>
      <c r="O3279">
        <v>12</v>
      </c>
    </row>
    <row r="3280" spans="1:15" x14ac:dyDescent="0.25">
      <c r="A3280" t="s">
        <v>46</v>
      </c>
      <c r="B3280" t="s">
        <v>16</v>
      </c>
      <c r="C3280" t="s">
        <v>41</v>
      </c>
      <c r="D3280" t="str">
        <f t="shared" si="308"/>
        <v>FAB3_1L  Ent Entera</v>
      </c>
      <c r="E3280">
        <v>2025</v>
      </c>
      <c r="F3280">
        <v>22</v>
      </c>
      <c r="G3280">
        <f t="shared" si="309"/>
        <v>5</v>
      </c>
      <c r="H3280" s="1">
        <f t="shared" si="310"/>
        <v>45803</v>
      </c>
      <c r="I3280" s="1">
        <f t="shared" si="311"/>
        <v>45778</v>
      </c>
      <c r="J3280">
        <v>1248581.2499999986</v>
      </c>
      <c r="K3280">
        <v>49212</v>
      </c>
      <c r="L3280">
        <f t="shared" si="313"/>
        <v>25.371479517190899</v>
      </c>
      <c r="M3280">
        <v>4101</v>
      </c>
      <c r="N3280" s="2">
        <f t="shared" si="312"/>
        <v>304.45775420629082</v>
      </c>
      <c r="O3280">
        <v>12</v>
      </c>
    </row>
    <row r="3281" spans="1:15" x14ac:dyDescent="0.25">
      <c r="A3281" t="s">
        <v>46</v>
      </c>
      <c r="B3281" t="s">
        <v>16</v>
      </c>
      <c r="C3281" t="s">
        <v>41</v>
      </c>
      <c r="D3281" t="str">
        <f t="shared" si="308"/>
        <v>FAB3_1L  Ent Entera</v>
      </c>
      <c r="E3281">
        <v>2025</v>
      </c>
      <c r="F3281">
        <v>23</v>
      </c>
      <c r="G3281">
        <f t="shared" si="309"/>
        <v>6</v>
      </c>
      <c r="H3281" s="1">
        <f t="shared" si="310"/>
        <v>45810</v>
      </c>
      <c r="I3281" s="1">
        <f t="shared" si="311"/>
        <v>45809</v>
      </c>
      <c r="J3281">
        <v>1494853.9199999995</v>
      </c>
      <c r="K3281">
        <v>57768</v>
      </c>
      <c r="L3281">
        <f t="shared" si="313"/>
        <v>25.876850851682583</v>
      </c>
      <c r="M3281">
        <v>4814</v>
      </c>
      <c r="N3281" s="2">
        <f t="shared" si="312"/>
        <v>310.52221022019097</v>
      </c>
      <c r="O3281">
        <v>12</v>
      </c>
    </row>
    <row r="3282" spans="1:15" x14ac:dyDescent="0.25">
      <c r="A3282" t="s">
        <v>46</v>
      </c>
      <c r="B3282" t="s">
        <v>16</v>
      </c>
      <c r="C3282" t="s">
        <v>41</v>
      </c>
      <c r="D3282" t="str">
        <f t="shared" si="308"/>
        <v>FAB3_1L  Ent Entera</v>
      </c>
      <c r="E3282">
        <v>2025</v>
      </c>
      <c r="F3282">
        <v>24</v>
      </c>
      <c r="G3282">
        <f t="shared" si="309"/>
        <v>6</v>
      </c>
      <c r="H3282" s="1">
        <f t="shared" si="310"/>
        <v>45817</v>
      </c>
      <c r="I3282" s="1">
        <f t="shared" si="311"/>
        <v>45809</v>
      </c>
      <c r="J3282">
        <v>241.4</v>
      </c>
      <c r="K3282">
        <v>12</v>
      </c>
      <c r="L3282">
        <f t="shared" si="313"/>
        <v>20.116666666666667</v>
      </c>
      <c r="M3282">
        <v>1</v>
      </c>
      <c r="N3282" s="2">
        <f t="shared" si="312"/>
        <v>241.4</v>
      </c>
      <c r="O3282">
        <v>12</v>
      </c>
    </row>
    <row r="3283" spans="1:15" x14ac:dyDescent="0.25">
      <c r="A3283" t="s">
        <v>46</v>
      </c>
      <c r="B3283" t="s">
        <v>16</v>
      </c>
      <c r="C3283" t="s">
        <v>41</v>
      </c>
      <c r="D3283" t="str">
        <f t="shared" si="308"/>
        <v>FAB3_1L  Ent Entera</v>
      </c>
      <c r="E3283">
        <v>2025</v>
      </c>
      <c r="F3283">
        <v>24</v>
      </c>
      <c r="G3283">
        <f t="shared" si="309"/>
        <v>6</v>
      </c>
      <c r="H3283" s="1">
        <f t="shared" si="310"/>
        <v>45817</v>
      </c>
      <c r="I3283" s="1">
        <f t="shared" si="311"/>
        <v>45809</v>
      </c>
      <c r="J3283">
        <v>1753300.33</v>
      </c>
      <c r="K3283">
        <v>76356</v>
      </c>
      <c r="L3283">
        <f t="shared" si="313"/>
        <v>22.96218149195872</v>
      </c>
      <c r="M3283">
        <v>6363</v>
      </c>
      <c r="N3283" s="2">
        <f t="shared" si="312"/>
        <v>275.54617790350466</v>
      </c>
      <c r="O3283">
        <v>12</v>
      </c>
    </row>
    <row r="3284" spans="1:15" x14ac:dyDescent="0.25">
      <c r="A3284" t="s">
        <v>46</v>
      </c>
      <c r="B3284" t="s">
        <v>16</v>
      </c>
      <c r="C3284" t="s">
        <v>41</v>
      </c>
      <c r="D3284" t="str">
        <f t="shared" si="308"/>
        <v>FAB3_1L  Ent Entera</v>
      </c>
      <c r="E3284">
        <v>2025</v>
      </c>
      <c r="F3284">
        <v>25</v>
      </c>
      <c r="G3284">
        <f t="shared" si="309"/>
        <v>6</v>
      </c>
      <c r="H3284" s="1">
        <f t="shared" si="310"/>
        <v>45824</v>
      </c>
      <c r="I3284" s="1">
        <f t="shared" si="311"/>
        <v>45809</v>
      </c>
      <c r="J3284">
        <v>1135.52</v>
      </c>
      <c r="K3284">
        <v>48</v>
      </c>
      <c r="L3284">
        <f t="shared" si="313"/>
        <v>23.656666666666666</v>
      </c>
      <c r="M3284">
        <v>4</v>
      </c>
      <c r="N3284" s="2">
        <f t="shared" si="312"/>
        <v>283.88</v>
      </c>
      <c r="O3284">
        <v>12</v>
      </c>
    </row>
    <row r="3285" spans="1:15" x14ac:dyDescent="0.25">
      <c r="A3285" t="s">
        <v>46</v>
      </c>
      <c r="B3285" t="s">
        <v>16</v>
      </c>
      <c r="C3285" t="s">
        <v>41</v>
      </c>
      <c r="D3285" t="str">
        <f t="shared" si="308"/>
        <v>FAB3_1L  Ent Entera</v>
      </c>
      <c r="E3285">
        <v>2025</v>
      </c>
      <c r="F3285">
        <v>25</v>
      </c>
      <c r="G3285">
        <f t="shared" si="309"/>
        <v>6</v>
      </c>
      <c r="H3285" s="1">
        <f t="shared" si="310"/>
        <v>45824</v>
      </c>
      <c r="I3285" s="1">
        <f t="shared" si="311"/>
        <v>45809</v>
      </c>
      <c r="J3285">
        <v>1339939.9499999986</v>
      </c>
      <c r="K3285">
        <v>55344</v>
      </c>
      <c r="L3285">
        <f t="shared" si="313"/>
        <v>24.211115026019055</v>
      </c>
      <c r="M3285">
        <v>4612</v>
      </c>
      <c r="N3285" s="2">
        <f t="shared" si="312"/>
        <v>290.53338031222864</v>
      </c>
      <c r="O3285">
        <v>12</v>
      </c>
    </row>
    <row r="3286" spans="1:15" x14ac:dyDescent="0.25">
      <c r="A3286" t="s">
        <v>46</v>
      </c>
      <c r="B3286" t="s">
        <v>16</v>
      </c>
      <c r="C3286" t="s">
        <v>41</v>
      </c>
      <c r="D3286" t="str">
        <f t="shared" si="308"/>
        <v>FAB3_1L  Ent Entera</v>
      </c>
      <c r="E3286">
        <v>2025</v>
      </c>
      <c r="F3286">
        <v>26</v>
      </c>
      <c r="G3286">
        <f t="shared" si="309"/>
        <v>6</v>
      </c>
      <c r="H3286" s="1">
        <f t="shared" si="310"/>
        <v>45831</v>
      </c>
      <c r="I3286" s="1">
        <f t="shared" si="311"/>
        <v>45809</v>
      </c>
      <c r="J3286">
        <v>183815.96</v>
      </c>
      <c r="K3286">
        <v>7752</v>
      </c>
      <c r="L3286">
        <f t="shared" si="313"/>
        <v>23.71206914344685</v>
      </c>
      <c r="M3286">
        <v>646</v>
      </c>
      <c r="N3286" s="2">
        <f t="shared" si="312"/>
        <v>284.54482972136219</v>
      </c>
      <c r="O3286">
        <v>12</v>
      </c>
    </row>
    <row r="3287" spans="1:15" x14ac:dyDescent="0.25">
      <c r="A3287" t="s">
        <v>46</v>
      </c>
      <c r="B3287" t="s">
        <v>16</v>
      </c>
      <c r="C3287" t="s">
        <v>41</v>
      </c>
      <c r="D3287" t="str">
        <f t="shared" si="308"/>
        <v>FAB3_1L  Ent Entera</v>
      </c>
      <c r="E3287">
        <v>2025</v>
      </c>
      <c r="F3287">
        <v>26</v>
      </c>
      <c r="G3287">
        <f t="shared" si="309"/>
        <v>6</v>
      </c>
      <c r="H3287" s="1">
        <f t="shared" si="310"/>
        <v>45831</v>
      </c>
      <c r="I3287" s="1">
        <f t="shared" si="311"/>
        <v>45809</v>
      </c>
      <c r="J3287">
        <v>1070999.8300000005</v>
      </c>
      <c r="K3287">
        <v>44976</v>
      </c>
      <c r="L3287">
        <f t="shared" si="313"/>
        <v>23.812696326929931</v>
      </c>
      <c r="M3287">
        <v>3748</v>
      </c>
      <c r="N3287" s="2">
        <f t="shared" si="312"/>
        <v>285.75235592315914</v>
      </c>
      <c r="O3287">
        <v>12</v>
      </c>
    </row>
    <row r="3288" spans="1:15" x14ac:dyDescent="0.25">
      <c r="A3288" t="s">
        <v>46</v>
      </c>
      <c r="B3288" t="s">
        <v>16</v>
      </c>
      <c r="C3288" t="s">
        <v>41</v>
      </c>
      <c r="D3288" t="str">
        <f t="shared" si="308"/>
        <v>FAB3_1L  Ent Entera</v>
      </c>
      <c r="E3288">
        <v>2025</v>
      </c>
      <c r="F3288">
        <v>27</v>
      </c>
      <c r="G3288">
        <f t="shared" si="309"/>
        <v>7</v>
      </c>
      <c r="H3288" s="1">
        <f t="shared" si="310"/>
        <v>45838</v>
      </c>
      <c r="I3288" s="1">
        <f t="shared" si="311"/>
        <v>45839</v>
      </c>
      <c r="J3288">
        <v>663807.53999999992</v>
      </c>
      <c r="K3288">
        <v>28080</v>
      </c>
      <c r="L3288">
        <f t="shared" si="313"/>
        <v>23.639869658119654</v>
      </c>
      <c r="M3288">
        <v>2340</v>
      </c>
      <c r="N3288" s="2">
        <f t="shared" si="312"/>
        <v>283.67843589743586</v>
      </c>
      <c r="O3288">
        <v>12</v>
      </c>
    </row>
    <row r="3289" spans="1:15" x14ac:dyDescent="0.25">
      <c r="A3289" t="s">
        <v>46</v>
      </c>
      <c r="B3289" t="s">
        <v>16</v>
      </c>
      <c r="C3289" t="s">
        <v>41</v>
      </c>
      <c r="D3289" t="str">
        <f t="shared" si="308"/>
        <v>FAB3_1L  Ent Entera</v>
      </c>
      <c r="E3289">
        <v>2025</v>
      </c>
      <c r="F3289">
        <v>27</v>
      </c>
      <c r="G3289">
        <f t="shared" si="309"/>
        <v>7</v>
      </c>
      <c r="H3289" s="1">
        <f t="shared" si="310"/>
        <v>45838</v>
      </c>
      <c r="I3289" s="1">
        <f t="shared" si="311"/>
        <v>45839</v>
      </c>
      <c r="J3289">
        <v>932626.67000000062</v>
      </c>
      <c r="K3289">
        <v>39432</v>
      </c>
      <c r="L3289">
        <f t="shared" si="313"/>
        <v>23.651518310002043</v>
      </c>
      <c r="M3289">
        <v>3286</v>
      </c>
      <c r="N3289" s="2">
        <f t="shared" si="312"/>
        <v>283.81821972002456</v>
      </c>
      <c r="O3289">
        <v>12</v>
      </c>
    </row>
    <row r="3290" spans="1:15" x14ac:dyDescent="0.25">
      <c r="A3290" t="s">
        <v>46</v>
      </c>
      <c r="B3290" t="s">
        <v>16</v>
      </c>
      <c r="C3290" t="s">
        <v>41</v>
      </c>
      <c r="D3290" t="str">
        <f t="shared" si="308"/>
        <v>FAB3_1L  Ent Entera</v>
      </c>
      <c r="E3290">
        <v>2025</v>
      </c>
      <c r="F3290">
        <v>28</v>
      </c>
      <c r="G3290">
        <f t="shared" si="309"/>
        <v>7</v>
      </c>
      <c r="H3290" s="1">
        <f t="shared" si="310"/>
        <v>45845</v>
      </c>
      <c r="I3290" s="1">
        <f t="shared" si="311"/>
        <v>45839</v>
      </c>
      <c r="J3290">
        <v>740771.28999999969</v>
      </c>
      <c r="K3290">
        <v>31452</v>
      </c>
      <c r="L3290">
        <f t="shared" si="313"/>
        <v>23.552438318707864</v>
      </c>
      <c r="M3290">
        <v>2621</v>
      </c>
      <c r="N3290" s="2">
        <f t="shared" si="312"/>
        <v>282.62925982449434</v>
      </c>
      <c r="O3290">
        <v>12</v>
      </c>
    </row>
    <row r="3291" spans="1:15" x14ac:dyDescent="0.25">
      <c r="A3291" t="s">
        <v>46</v>
      </c>
      <c r="B3291" t="s">
        <v>16</v>
      </c>
      <c r="C3291" t="s">
        <v>41</v>
      </c>
      <c r="D3291" t="str">
        <f t="shared" si="308"/>
        <v>FAB3_1L  Ent Entera</v>
      </c>
      <c r="E3291">
        <v>2025</v>
      </c>
      <c r="F3291">
        <v>28</v>
      </c>
      <c r="G3291">
        <f t="shared" si="309"/>
        <v>7</v>
      </c>
      <c r="H3291" s="1">
        <f t="shared" si="310"/>
        <v>45845</v>
      </c>
      <c r="I3291" s="1">
        <f t="shared" si="311"/>
        <v>45839</v>
      </c>
      <c r="J3291">
        <v>530585.65000000014</v>
      </c>
      <c r="K3291">
        <v>22620</v>
      </c>
      <c r="L3291">
        <f t="shared" si="313"/>
        <v>23.456483200707346</v>
      </c>
      <c r="M3291">
        <v>1885</v>
      </c>
      <c r="N3291" s="2">
        <f t="shared" si="312"/>
        <v>281.47779840848813</v>
      </c>
      <c r="O3291">
        <v>12</v>
      </c>
    </row>
    <row r="3292" spans="1:15" x14ac:dyDescent="0.25">
      <c r="A3292" t="s">
        <v>46</v>
      </c>
      <c r="B3292" t="s">
        <v>16</v>
      </c>
      <c r="C3292" t="s">
        <v>41</v>
      </c>
      <c r="D3292" t="str">
        <f t="shared" si="308"/>
        <v>FAB3_1L  Ent Entera</v>
      </c>
      <c r="E3292">
        <v>2025</v>
      </c>
      <c r="F3292">
        <v>29</v>
      </c>
      <c r="G3292">
        <f t="shared" si="309"/>
        <v>7</v>
      </c>
      <c r="H3292" s="1">
        <f t="shared" si="310"/>
        <v>45852</v>
      </c>
      <c r="I3292" s="1">
        <f t="shared" si="311"/>
        <v>45839</v>
      </c>
      <c r="J3292">
        <v>1538490.6599999995</v>
      </c>
      <c r="K3292">
        <v>68664</v>
      </c>
      <c r="L3292">
        <f t="shared" si="313"/>
        <v>22.406073925200971</v>
      </c>
      <c r="M3292">
        <v>5722</v>
      </c>
      <c r="N3292" s="2">
        <f t="shared" si="312"/>
        <v>268.87288710241165</v>
      </c>
      <c r="O3292">
        <v>12</v>
      </c>
    </row>
    <row r="3293" spans="1:15" x14ac:dyDescent="0.25">
      <c r="A3293" t="s">
        <v>46</v>
      </c>
      <c r="B3293" t="s">
        <v>16</v>
      </c>
      <c r="C3293" t="s">
        <v>41</v>
      </c>
      <c r="D3293" t="str">
        <f t="shared" si="308"/>
        <v>FAB3_1L  Ent Entera</v>
      </c>
      <c r="E3293">
        <v>2025</v>
      </c>
      <c r="F3293">
        <v>29</v>
      </c>
      <c r="G3293">
        <f t="shared" si="309"/>
        <v>7</v>
      </c>
      <c r="H3293" s="1">
        <f t="shared" si="310"/>
        <v>45852</v>
      </c>
      <c r="I3293" s="1">
        <f t="shared" si="311"/>
        <v>45839</v>
      </c>
      <c r="J3293">
        <v>639315.94999999995</v>
      </c>
      <c r="K3293">
        <v>27696</v>
      </c>
      <c r="L3293">
        <f t="shared" si="313"/>
        <v>23.083331528018483</v>
      </c>
      <c r="M3293">
        <v>2308</v>
      </c>
      <c r="N3293" s="2">
        <f t="shared" si="312"/>
        <v>276.99997833622183</v>
      </c>
      <c r="O3293">
        <v>12</v>
      </c>
    </row>
    <row r="3294" spans="1:15" x14ac:dyDescent="0.25">
      <c r="A3294" t="s">
        <v>46</v>
      </c>
      <c r="B3294" t="s">
        <v>16</v>
      </c>
      <c r="C3294" t="s">
        <v>41</v>
      </c>
      <c r="D3294" t="str">
        <f t="shared" si="308"/>
        <v>FAB3_1L  Ent Entera</v>
      </c>
      <c r="E3294">
        <v>2025</v>
      </c>
      <c r="F3294">
        <v>30</v>
      </c>
      <c r="G3294">
        <f t="shared" si="309"/>
        <v>7</v>
      </c>
      <c r="H3294" s="1">
        <f t="shared" si="310"/>
        <v>45859</v>
      </c>
      <c r="I3294" s="1">
        <f t="shared" si="311"/>
        <v>45839</v>
      </c>
      <c r="J3294">
        <v>1533783.8</v>
      </c>
      <c r="K3294">
        <v>69432</v>
      </c>
      <c r="L3294">
        <f t="shared" si="313"/>
        <v>22.090445327802744</v>
      </c>
      <c r="M3294">
        <v>5786</v>
      </c>
      <c r="N3294" s="2">
        <f t="shared" si="312"/>
        <v>265.08534393363294</v>
      </c>
      <c r="O3294">
        <v>12</v>
      </c>
    </row>
    <row r="3295" spans="1:15" x14ac:dyDescent="0.25">
      <c r="A3295" t="s">
        <v>46</v>
      </c>
      <c r="B3295" t="s">
        <v>16</v>
      </c>
      <c r="C3295" t="s">
        <v>41</v>
      </c>
      <c r="D3295" t="str">
        <f t="shared" si="308"/>
        <v>FAB3_1L  Ent Entera</v>
      </c>
      <c r="E3295">
        <v>2025</v>
      </c>
      <c r="F3295">
        <v>30</v>
      </c>
      <c r="G3295">
        <f t="shared" si="309"/>
        <v>7</v>
      </c>
      <c r="H3295" s="1">
        <f t="shared" si="310"/>
        <v>45859</v>
      </c>
      <c r="I3295" s="1">
        <f t="shared" si="311"/>
        <v>45839</v>
      </c>
      <c r="J3295">
        <v>547482.24000000022</v>
      </c>
      <c r="K3295">
        <v>23940</v>
      </c>
      <c r="L3295">
        <f t="shared" si="313"/>
        <v>22.868932330827079</v>
      </c>
      <c r="M3295">
        <v>1995</v>
      </c>
      <c r="N3295" s="2">
        <f t="shared" si="312"/>
        <v>274.42718796992494</v>
      </c>
      <c r="O3295">
        <v>12</v>
      </c>
    </row>
    <row r="3296" spans="1:15" x14ac:dyDescent="0.25">
      <c r="A3296" t="s">
        <v>46</v>
      </c>
      <c r="B3296" t="s">
        <v>16</v>
      </c>
      <c r="C3296" t="s">
        <v>41</v>
      </c>
      <c r="D3296" t="str">
        <f t="shared" si="308"/>
        <v>FAB3_1L  Ent Entera</v>
      </c>
      <c r="E3296">
        <v>2025</v>
      </c>
      <c r="F3296">
        <v>31</v>
      </c>
      <c r="G3296">
        <f t="shared" si="309"/>
        <v>7</v>
      </c>
      <c r="H3296" s="1">
        <f t="shared" si="310"/>
        <v>45866</v>
      </c>
      <c r="I3296" s="1">
        <f t="shared" si="311"/>
        <v>45839</v>
      </c>
      <c r="J3296">
        <v>2091665.5299999993</v>
      </c>
      <c r="K3296">
        <v>96276</v>
      </c>
      <c r="L3296">
        <f t="shared" si="313"/>
        <v>21.725721155843608</v>
      </c>
      <c r="M3296">
        <v>8023</v>
      </c>
      <c r="N3296" s="2">
        <f t="shared" si="312"/>
        <v>260.70865387012333</v>
      </c>
      <c r="O3296">
        <v>12</v>
      </c>
    </row>
    <row r="3297" spans="1:15" x14ac:dyDescent="0.25">
      <c r="A3297" t="s">
        <v>46</v>
      </c>
      <c r="B3297" t="s">
        <v>16</v>
      </c>
      <c r="C3297" t="s">
        <v>41</v>
      </c>
      <c r="D3297" t="str">
        <f t="shared" si="308"/>
        <v>FAB3_1L  Ent Entera</v>
      </c>
      <c r="E3297">
        <v>2025</v>
      </c>
      <c r="F3297">
        <v>31</v>
      </c>
      <c r="G3297">
        <f t="shared" si="309"/>
        <v>7</v>
      </c>
      <c r="H3297" s="1">
        <f t="shared" si="310"/>
        <v>45866</v>
      </c>
      <c r="I3297" s="1">
        <f t="shared" si="311"/>
        <v>45839</v>
      </c>
      <c r="J3297">
        <v>520048</v>
      </c>
      <c r="K3297">
        <v>22044</v>
      </c>
      <c r="L3297">
        <f t="shared" si="313"/>
        <v>23.59136272908728</v>
      </c>
      <c r="M3297">
        <v>1837</v>
      </c>
      <c r="N3297" s="2">
        <f t="shared" si="312"/>
        <v>283.09635274904736</v>
      </c>
      <c r="O3297">
        <v>12</v>
      </c>
    </row>
  </sheetData>
  <autoFilter ref="B1:O3297" xr:uid="{705E84B2-5FE9-45BB-8C7F-FD2568B6C74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datos</vt:lpstr>
      <vt:lpstr>datos!_FilterDatabase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Alberto Dorantes Dosamantes</dc:creator>
  <cp:lastModifiedBy>Carlos Alberto Dorantes Dosamantes</cp:lastModifiedBy>
  <dcterms:created xsi:type="dcterms:W3CDTF">2026-08-25T01:22:45Z</dcterms:created>
  <dcterms:modified xsi:type="dcterms:W3CDTF">2026-08-26T16:24:58Z</dcterms:modified>
</cp:coreProperties>
</file>